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cf6f982a1c9c99f/Desktop/Test BoQs/"/>
    </mc:Choice>
  </mc:AlternateContent>
  <xr:revisionPtr revIDLastSave="1" documentId="8_{E1C7A269-E78D-4DDB-9EFA-5BBF08E8245D}" xr6:coauthVersionLast="47" xr6:coauthVersionMax="47" xr10:uidLastSave="{2FACD483-2C9A-430B-9C55-A50108F95FA3}"/>
  <bookViews>
    <workbookView xWindow="-110" yWindow="-110" windowWidth="22180" windowHeight="14500" activeTab="1" xr2:uid="{00000000-000D-0000-FFFF-FFFF00000000}"/>
  </bookViews>
  <sheets>
    <sheet name="SUMMARY OF ELECTRICAL &amp; ELV BOQ" sheetId="1" r:id="rId1"/>
    <sheet name="ELECTRICAL &amp; ELV BOQ" sheetId="2" r:id="rId2"/>
    <sheet name="LIGHT FIXTURES" sheetId="3" r:id="rId3"/>
    <sheet name="LMS" sheetId="4" r:id="rId4"/>
    <sheet name="FIRE FIGHTING" sheetId="5" r:id="rId5"/>
    <sheet name="SUMMARY OF HVAC WORK" sheetId="6" r:id="rId6"/>
    <sheet name="HVAC BOQ" sheetId="7" r:id="rId7"/>
    <sheet name="IT BOQ" sheetId="8" r:id="rId8"/>
    <sheet name="Hybrid PBX Solution" sheetId="9" r:id="rId9"/>
    <sheet name="AV" sheetId="10" r:id="rId10"/>
    <sheet name="AUDIO &amp; VISUAL SYSTEMS" sheetId="11" r:id="rId11"/>
    <sheet name="SUMMARY OF Kitchen Work BOQ" sheetId="12" r:id="rId12"/>
    <sheet name="PNG PIPELINE" sheetId="13" r:id="rId13"/>
  </sheets>
  <calcPr calcId="191029"/>
  <extLst>
    <ext uri="GoogleSheetsCustomDataVersion2">
      <go:sheetsCustomData xmlns:go="http://customooxmlschemas.google.com/" r:id="rId17" roundtripDataChecksum="vyImLlNuXb54fzUs2ysy9m/gg3vm7K21Dshe5V07+fE="/>
    </ext>
  </extLst>
</workbook>
</file>

<file path=xl/calcChain.xml><?xml version="1.0" encoding="utf-8"?>
<calcChain xmlns="http://schemas.openxmlformats.org/spreadsheetml/2006/main">
  <c r="I27" i="8" l="1"/>
  <c r="H27" i="8"/>
  <c r="I26" i="8"/>
  <c r="H26" i="8"/>
  <c r="I25" i="8"/>
  <c r="H25" i="8"/>
  <c r="I24" i="8"/>
  <c r="H24" i="8"/>
  <c r="I23" i="8"/>
  <c r="H23" i="8"/>
  <c r="I22" i="8"/>
  <c r="H22" i="8"/>
  <c r="I21" i="8"/>
  <c r="H21" i="8"/>
  <c r="I20" i="8"/>
  <c r="H20" i="8"/>
  <c r="I19" i="8"/>
  <c r="H19" i="8"/>
  <c r="I18" i="8"/>
  <c r="H18" i="8"/>
  <c r="I17" i="8"/>
  <c r="H17" i="8"/>
  <c r="I16" i="8"/>
  <c r="H16" i="8"/>
  <c r="I15" i="8"/>
  <c r="H15" i="8"/>
  <c r="I14" i="8"/>
  <c r="H14" i="8"/>
  <c r="I13" i="8"/>
  <c r="H13" i="8"/>
  <c r="I12" i="8"/>
  <c r="H12" i="8"/>
  <c r="I11" i="8"/>
  <c r="H11" i="8"/>
  <c r="I10" i="8"/>
  <c r="H10" i="8"/>
  <c r="I9" i="8"/>
  <c r="H9" i="8"/>
  <c r="I8" i="8"/>
  <c r="H8" i="8"/>
  <c r="I7" i="8"/>
  <c r="H7" i="8"/>
  <c r="I6" i="8"/>
  <c r="H6" i="8"/>
  <c r="I5" i="8"/>
  <c r="H5" i="8"/>
  <c r="I678" i="7"/>
  <c r="H678" i="7"/>
  <c r="I677" i="7"/>
  <c r="H677" i="7"/>
  <c r="I676" i="7"/>
  <c r="H676" i="7"/>
  <c r="I673" i="7"/>
  <c r="H673" i="7"/>
  <c r="I672" i="7"/>
  <c r="H672" i="7"/>
  <c r="I671" i="7"/>
  <c r="H671" i="7"/>
  <c r="I668" i="7"/>
  <c r="H668" i="7"/>
  <c r="I666" i="7"/>
  <c r="H666" i="7"/>
  <c r="I664" i="7"/>
  <c r="H664" i="7"/>
  <c r="I662" i="7"/>
  <c r="H662" i="7"/>
  <c r="I660" i="7"/>
  <c r="H660" i="7"/>
  <c r="I658" i="7"/>
  <c r="H658" i="7"/>
  <c r="I657" i="7"/>
  <c r="H657" i="7"/>
  <c r="I656" i="7"/>
  <c r="H656" i="7"/>
  <c r="I652" i="7"/>
  <c r="H652" i="7"/>
  <c r="I649" i="7"/>
  <c r="H649" i="7"/>
  <c r="I648" i="7"/>
  <c r="H648" i="7"/>
  <c r="I647" i="7"/>
  <c r="H647" i="7"/>
  <c r="I646" i="7"/>
  <c r="H646" i="7"/>
  <c r="I645" i="7"/>
  <c r="H645" i="7"/>
  <c r="I644" i="7"/>
  <c r="H644" i="7"/>
  <c r="I643" i="7"/>
  <c r="H643" i="7"/>
  <c r="I642" i="7"/>
  <c r="H642" i="7"/>
  <c r="I641" i="7"/>
  <c r="H641" i="7"/>
  <c r="I639" i="7"/>
  <c r="H639" i="7"/>
  <c r="I638" i="7"/>
  <c r="H638" i="7"/>
  <c r="I637" i="7"/>
  <c r="H637" i="7"/>
  <c r="I636" i="7"/>
  <c r="H636" i="7"/>
  <c r="I632" i="7"/>
  <c r="H632" i="7"/>
  <c r="I631" i="7"/>
  <c r="H631" i="7"/>
  <c r="I630" i="7"/>
  <c r="H630" i="7"/>
  <c r="I629" i="7"/>
  <c r="H629" i="7"/>
  <c r="I628" i="7"/>
  <c r="H628" i="7"/>
  <c r="I627" i="7"/>
  <c r="H627" i="7"/>
  <c r="I626" i="7"/>
  <c r="H626" i="7"/>
  <c r="I624" i="7"/>
  <c r="H624" i="7"/>
  <c r="I623" i="7"/>
  <c r="H623" i="7"/>
  <c r="I622" i="7"/>
  <c r="H622" i="7"/>
  <c r="I621" i="7"/>
  <c r="H621" i="7"/>
  <c r="I620" i="7"/>
  <c r="H620" i="7"/>
  <c r="I619" i="7"/>
  <c r="H619" i="7"/>
  <c r="I615" i="7"/>
  <c r="H615" i="7"/>
  <c r="I611" i="7"/>
  <c r="H611" i="7"/>
  <c r="I607" i="7"/>
  <c r="H607" i="7"/>
  <c r="I606" i="7"/>
  <c r="H606" i="7"/>
  <c r="I603" i="7"/>
  <c r="H603" i="7"/>
  <c r="I601" i="7"/>
  <c r="H601" i="7"/>
  <c r="I598" i="7"/>
  <c r="H598" i="7"/>
  <c r="I596" i="7"/>
  <c r="H596" i="7"/>
  <c r="I586" i="7"/>
  <c r="H586" i="7"/>
  <c r="I578" i="7"/>
  <c r="H578" i="7"/>
  <c r="I577" i="7"/>
  <c r="H577" i="7"/>
  <c r="I563" i="7"/>
  <c r="H563" i="7"/>
  <c r="I560" i="7"/>
  <c r="H560" i="7"/>
  <c r="I559" i="7"/>
  <c r="H559" i="7"/>
  <c r="I558" i="7"/>
  <c r="H558" i="7"/>
  <c r="I554" i="7"/>
  <c r="H554" i="7"/>
  <c r="I553" i="7"/>
  <c r="H553" i="7"/>
  <c r="I552" i="7"/>
  <c r="H552" i="7"/>
  <c r="I550" i="7"/>
  <c r="H550" i="7"/>
  <c r="I543" i="7"/>
  <c r="H543" i="7"/>
  <c r="I534" i="7"/>
  <c r="H534" i="7"/>
  <c r="I533" i="7"/>
  <c r="H533" i="7"/>
  <c r="I532" i="7"/>
  <c r="H532" i="7"/>
  <c r="I524" i="7"/>
  <c r="H524" i="7"/>
  <c r="I523" i="7"/>
  <c r="H523" i="7"/>
  <c r="I522" i="7"/>
  <c r="H522" i="7"/>
  <c r="I521" i="7"/>
  <c r="H521" i="7"/>
  <c r="I520" i="7"/>
  <c r="H520" i="7"/>
  <c r="I519" i="7"/>
  <c r="H519" i="7"/>
  <c r="I518" i="7"/>
  <c r="H518" i="7"/>
  <c r="I508" i="7"/>
  <c r="H508" i="7"/>
  <c r="I482" i="7"/>
  <c r="H482" i="7"/>
  <c r="I465" i="7"/>
  <c r="H465" i="7"/>
  <c r="I463" i="7"/>
  <c r="H463" i="7"/>
  <c r="I462" i="7"/>
  <c r="H462" i="7"/>
  <c r="I457" i="7"/>
  <c r="H457" i="7"/>
  <c r="I451" i="7"/>
  <c r="H451" i="7"/>
  <c r="I445" i="7"/>
  <c r="H445" i="7"/>
  <c r="I442" i="7"/>
  <c r="H442" i="7"/>
  <c r="I440" i="7"/>
  <c r="H440" i="7"/>
  <c r="I437" i="7"/>
  <c r="H437" i="7"/>
  <c r="I436" i="7"/>
  <c r="H436" i="7"/>
  <c r="I432" i="7"/>
  <c r="H432" i="7"/>
  <c r="I431" i="7"/>
  <c r="H431" i="7"/>
  <c r="I428" i="7"/>
  <c r="H428" i="7"/>
  <c r="I399" i="7"/>
  <c r="H399" i="7"/>
  <c r="I398" i="7"/>
  <c r="H398" i="7"/>
  <c r="I383" i="7"/>
  <c r="H383" i="7"/>
  <c r="I378" i="7"/>
  <c r="H378" i="7"/>
  <c r="I372" i="7"/>
  <c r="H372" i="7"/>
  <c r="I367" i="7"/>
  <c r="H367" i="7"/>
  <c r="I366" i="7"/>
  <c r="H366" i="7"/>
  <c r="I365" i="7"/>
  <c r="H365" i="7"/>
  <c r="I340" i="7"/>
  <c r="H340" i="7"/>
  <c r="I327" i="7"/>
  <c r="H327" i="7"/>
  <c r="I311" i="7"/>
  <c r="H311" i="7"/>
  <c r="I296" i="7"/>
  <c r="H296" i="7"/>
  <c r="I281" i="7"/>
  <c r="H281" i="7"/>
  <c r="I280" i="7"/>
  <c r="H280" i="7"/>
  <c r="I270" i="7"/>
  <c r="H270" i="7"/>
  <c r="I269" i="7"/>
  <c r="H269" i="7"/>
  <c r="I267" i="7"/>
  <c r="H267" i="7"/>
  <c r="I266" i="7"/>
  <c r="H266" i="7"/>
  <c r="I259" i="7"/>
  <c r="H259" i="7"/>
  <c r="I258" i="7"/>
  <c r="H258" i="7"/>
  <c r="I257" i="7"/>
  <c r="H257" i="7"/>
  <c r="I256" i="7"/>
  <c r="H256" i="7"/>
  <c r="I245" i="7"/>
  <c r="H245" i="7"/>
  <c r="I243" i="7"/>
  <c r="H243" i="7"/>
  <c r="I199" i="7"/>
  <c r="H199" i="7"/>
  <c r="I196" i="7"/>
  <c r="H196" i="7"/>
  <c r="I193" i="7"/>
  <c r="H193" i="7"/>
  <c r="I190" i="7"/>
  <c r="H190" i="7"/>
  <c r="I188" i="7"/>
  <c r="H188" i="7"/>
  <c r="I184" i="7"/>
  <c r="H184" i="7"/>
  <c r="I181" i="7"/>
  <c r="H181" i="7"/>
  <c r="I179" i="7"/>
  <c r="H179" i="7"/>
  <c r="I178" i="7"/>
  <c r="H178" i="7"/>
  <c r="I177" i="7"/>
  <c r="H177" i="7"/>
  <c r="I176" i="7"/>
  <c r="H176" i="7"/>
  <c r="I175" i="7"/>
  <c r="H175" i="7"/>
  <c r="I173" i="7"/>
  <c r="H173" i="7"/>
  <c r="I172" i="7"/>
  <c r="H172" i="7"/>
  <c r="I171" i="7"/>
  <c r="H171" i="7"/>
  <c r="I170" i="7"/>
  <c r="H170" i="7"/>
  <c r="I169" i="7"/>
  <c r="H169" i="7"/>
  <c r="I168" i="7"/>
  <c r="H168" i="7"/>
  <c r="I167" i="7"/>
  <c r="H167" i="7"/>
  <c r="I147" i="7"/>
  <c r="H147" i="7"/>
  <c r="I142" i="7"/>
  <c r="H142" i="7"/>
  <c r="I141" i="7"/>
  <c r="H141" i="7"/>
  <c r="I140" i="7"/>
  <c r="H140" i="7"/>
  <c r="I134" i="7"/>
  <c r="H134" i="7"/>
  <c r="I130" i="7"/>
  <c r="H130" i="7"/>
  <c r="I127" i="7"/>
  <c r="H127" i="7"/>
  <c r="I126" i="7"/>
  <c r="H126" i="7"/>
  <c r="I123" i="7"/>
  <c r="H123" i="7"/>
  <c r="I122" i="7"/>
  <c r="H122" i="7"/>
  <c r="I119" i="7"/>
  <c r="H119" i="7"/>
  <c r="I118" i="7"/>
  <c r="H118" i="7"/>
  <c r="I115" i="7"/>
  <c r="H115" i="7"/>
  <c r="I114" i="7"/>
  <c r="H114" i="7"/>
  <c r="I111" i="7"/>
  <c r="H111" i="7"/>
  <c r="I109" i="7"/>
  <c r="H109" i="7"/>
  <c r="I107" i="7"/>
  <c r="H107" i="7"/>
  <c r="I106" i="7"/>
  <c r="H106" i="7"/>
  <c r="I102" i="7"/>
  <c r="H102" i="7"/>
  <c r="I100" i="7"/>
  <c r="H100" i="7"/>
  <c r="I99" i="7"/>
  <c r="H99" i="7"/>
  <c r="I97" i="7"/>
  <c r="H97" i="7"/>
  <c r="I96" i="7"/>
  <c r="H96" i="7"/>
  <c r="I95" i="7"/>
  <c r="H95" i="7"/>
  <c r="I94" i="7"/>
  <c r="H94" i="7"/>
  <c r="I83" i="7"/>
  <c r="H83" i="7"/>
  <c r="I78" i="7"/>
  <c r="H78" i="7"/>
  <c r="I77" i="7"/>
  <c r="H77" i="7"/>
  <c r="I74" i="7"/>
  <c r="H74" i="7"/>
  <c r="I73" i="7"/>
  <c r="H73" i="7"/>
  <c r="I72" i="7"/>
  <c r="H72" i="7"/>
  <c r="I71" i="7"/>
  <c r="H71" i="7"/>
  <c r="I70" i="7"/>
  <c r="H70" i="7"/>
  <c r="I64" i="7"/>
  <c r="H64" i="7"/>
  <c r="I59" i="7"/>
  <c r="H59" i="7"/>
  <c r="I57" i="7"/>
  <c r="H57" i="7"/>
  <c r="I55" i="7"/>
  <c r="H55" i="7"/>
  <c r="I54" i="7"/>
  <c r="H54" i="7"/>
  <c r="I53" i="7"/>
  <c r="H53" i="7"/>
  <c r="I52" i="7"/>
  <c r="H52" i="7"/>
  <c r="I51" i="7"/>
  <c r="H51" i="7"/>
  <c r="I50" i="7"/>
  <c r="H50" i="7"/>
  <c r="I47" i="7"/>
  <c r="H47" i="7"/>
  <c r="I44" i="7"/>
  <c r="H44" i="7"/>
  <c r="I43" i="7"/>
  <c r="H43" i="7"/>
  <c r="I42" i="7"/>
  <c r="H42" i="7"/>
  <c r="I41" i="7"/>
  <c r="H41" i="7"/>
  <c r="I38" i="7"/>
  <c r="H38" i="7"/>
  <c r="I37" i="7"/>
  <c r="H37" i="7"/>
  <c r="I36" i="7"/>
  <c r="H36" i="7"/>
  <c r="I35" i="7"/>
  <c r="H35" i="7"/>
  <c r="I29" i="7"/>
  <c r="H29" i="7"/>
  <c r="I28" i="7"/>
  <c r="H28" i="7"/>
  <c r="I23" i="7"/>
  <c r="H23" i="7"/>
  <c r="I22" i="7"/>
  <c r="H22" i="7"/>
  <c r="I21" i="7"/>
  <c r="H21" i="7"/>
  <c r="I18" i="7"/>
  <c r="H18" i="7"/>
  <c r="I17" i="7"/>
  <c r="H17" i="7"/>
  <c r="I16" i="7"/>
  <c r="H16" i="7"/>
  <c r="I15" i="7"/>
  <c r="H15" i="7"/>
  <c r="I14" i="7"/>
  <c r="H14" i="7"/>
  <c r="I13" i="7"/>
  <c r="H13" i="7"/>
  <c r="I12" i="7"/>
  <c r="H12" i="7"/>
  <c r="I11" i="7"/>
  <c r="H11" i="7"/>
  <c r="I157" i="5"/>
  <c r="H157" i="5"/>
  <c r="I156" i="5"/>
  <c r="H156" i="5"/>
  <c r="I155" i="5"/>
  <c r="H155" i="5"/>
  <c r="I154" i="5"/>
  <c r="H154" i="5"/>
  <c r="I153" i="5"/>
  <c r="H153" i="5"/>
  <c r="I152" i="5"/>
  <c r="H152" i="5"/>
  <c r="I151" i="5"/>
  <c r="H151" i="5"/>
  <c r="I150" i="5"/>
  <c r="H150" i="5"/>
  <c r="I147" i="5"/>
  <c r="H147" i="5"/>
  <c r="I145" i="5"/>
  <c r="H145" i="5"/>
  <c r="I144" i="5"/>
  <c r="H144" i="5"/>
  <c r="I143" i="5"/>
  <c r="H143" i="5"/>
  <c r="I142" i="5"/>
  <c r="H142" i="5"/>
  <c r="I141" i="5"/>
  <c r="H141" i="5"/>
  <c r="I140" i="5"/>
  <c r="H140" i="5"/>
  <c r="I139" i="5"/>
  <c r="H139" i="5"/>
  <c r="I138" i="5"/>
  <c r="H138" i="5"/>
  <c r="I135" i="5"/>
  <c r="I159" i="5" s="1"/>
  <c r="H135" i="5"/>
  <c r="H159" i="5" s="1"/>
  <c r="I29" i="5"/>
  <c r="H29" i="5"/>
  <c r="I27" i="5"/>
  <c r="H27" i="5"/>
  <c r="I25" i="5"/>
  <c r="H25" i="5"/>
  <c r="I23" i="5"/>
  <c r="H23" i="5"/>
  <c r="I21" i="5"/>
  <c r="H21" i="5"/>
  <c r="I18" i="5"/>
  <c r="H18" i="5"/>
  <c r="I17" i="5"/>
  <c r="H17" i="5"/>
  <c r="I16" i="5"/>
  <c r="H16" i="5"/>
  <c r="I13" i="5"/>
  <c r="H13" i="5"/>
  <c r="I12" i="5"/>
  <c r="H12" i="5"/>
  <c r="I11" i="5"/>
  <c r="H11" i="5"/>
  <c r="I10" i="5"/>
  <c r="H10" i="5"/>
  <c r="I7" i="5"/>
  <c r="H7" i="5"/>
  <c r="I6" i="5"/>
  <c r="H6" i="5"/>
  <c r="I5" i="5"/>
  <c r="I31" i="5" s="1"/>
  <c r="H5" i="5"/>
  <c r="H31" i="5" s="1"/>
  <c r="I32" i="4"/>
  <c r="H32" i="4"/>
  <c r="I31" i="4"/>
  <c r="H31" i="4"/>
  <c r="I30" i="4"/>
  <c r="H30" i="4"/>
  <c r="I29" i="4"/>
  <c r="H29" i="4"/>
  <c r="I28" i="4"/>
  <c r="H28" i="4"/>
  <c r="I27" i="4"/>
  <c r="H27" i="4"/>
  <c r="I26" i="4"/>
  <c r="H26" i="4"/>
  <c r="I25" i="4"/>
  <c r="H25" i="4"/>
  <c r="I24" i="4"/>
  <c r="H24" i="4"/>
  <c r="I23" i="4"/>
  <c r="H23" i="4"/>
  <c r="I22" i="4"/>
  <c r="H22" i="4"/>
  <c r="I21" i="4"/>
  <c r="H21" i="4"/>
  <c r="I20" i="4"/>
  <c r="H20" i="4"/>
  <c r="I19" i="4"/>
  <c r="H19" i="4"/>
  <c r="I18" i="4"/>
  <c r="H18" i="4"/>
  <c r="I17" i="4"/>
  <c r="H17" i="4"/>
  <c r="I16" i="4"/>
  <c r="H16" i="4"/>
  <c r="I15" i="4"/>
  <c r="H15" i="4"/>
  <c r="I14" i="4"/>
  <c r="H14" i="4"/>
  <c r="I13" i="4"/>
  <c r="H13" i="4"/>
  <c r="I12" i="4"/>
  <c r="H12" i="4"/>
  <c r="I11" i="4"/>
  <c r="H11" i="4"/>
  <c r="I10" i="4"/>
  <c r="H10" i="4"/>
  <c r="I9" i="4"/>
  <c r="H9" i="4"/>
  <c r="I94" i="3"/>
  <c r="H94" i="3"/>
  <c r="I93" i="3"/>
  <c r="H93" i="3"/>
  <c r="I92" i="3"/>
  <c r="H92" i="3"/>
  <c r="I91" i="3"/>
  <c r="H91" i="3"/>
  <c r="I90" i="3"/>
  <c r="H90" i="3"/>
  <c r="I89" i="3"/>
  <c r="H89" i="3"/>
  <c r="I88" i="3"/>
  <c r="H88" i="3"/>
  <c r="I87" i="3"/>
  <c r="H87" i="3"/>
  <c r="I86" i="3"/>
  <c r="H86" i="3"/>
  <c r="I85" i="3"/>
  <c r="H85" i="3"/>
  <c r="I84" i="3"/>
  <c r="H84" i="3"/>
  <c r="I83" i="3"/>
  <c r="H83" i="3"/>
  <c r="I82" i="3"/>
  <c r="H82" i="3"/>
  <c r="I81" i="3"/>
  <c r="H81" i="3"/>
  <c r="I80" i="3"/>
  <c r="H80" i="3"/>
  <c r="I79" i="3"/>
  <c r="H79" i="3"/>
  <c r="I78" i="3"/>
  <c r="H78" i="3"/>
  <c r="I77" i="3"/>
  <c r="H77" i="3"/>
  <c r="I76" i="3"/>
  <c r="H76" i="3"/>
  <c r="I75" i="3"/>
  <c r="H75" i="3"/>
  <c r="I74" i="3"/>
  <c r="H74" i="3"/>
  <c r="I73" i="3"/>
  <c r="H73" i="3"/>
  <c r="I72" i="3"/>
  <c r="H72" i="3"/>
  <c r="I71" i="3"/>
  <c r="H71" i="3"/>
  <c r="I70" i="3"/>
  <c r="H70" i="3"/>
  <c r="I69" i="3"/>
  <c r="H69" i="3"/>
  <c r="I68" i="3"/>
  <c r="H68" i="3"/>
  <c r="I67" i="3"/>
  <c r="H67" i="3"/>
  <c r="I66" i="3"/>
  <c r="H66" i="3"/>
  <c r="I65" i="3"/>
  <c r="H65" i="3"/>
  <c r="I64" i="3"/>
  <c r="H64" i="3"/>
  <c r="I63" i="3"/>
  <c r="H63" i="3"/>
  <c r="I62" i="3"/>
  <c r="H62" i="3"/>
  <c r="I61" i="3"/>
  <c r="H61" i="3"/>
  <c r="I60" i="3"/>
  <c r="H60" i="3"/>
  <c r="I59" i="3"/>
  <c r="H59" i="3"/>
  <c r="I58" i="3"/>
  <c r="H58" i="3"/>
  <c r="I57" i="3"/>
  <c r="H57" i="3"/>
  <c r="I56" i="3"/>
  <c r="H56" i="3"/>
  <c r="I55" i="3"/>
  <c r="H55" i="3"/>
  <c r="I54" i="3"/>
  <c r="H54" i="3"/>
  <c r="I53" i="3"/>
  <c r="H53" i="3"/>
  <c r="I52" i="3"/>
  <c r="H52" i="3"/>
  <c r="I51" i="3"/>
  <c r="H51" i="3"/>
  <c r="I50" i="3"/>
  <c r="H50" i="3"/>
  <c r="I49" i="3"/>
  <c r="H49" i="3"/>
  <c r="I48" i="3"/>
  <c r="H48" i="3"/>
  <c r="I47" i="3"/>
  <c r="H47" i="3"/>
  <c r="I46" i="3"/>
  <c r="H46" i="3"/>
  <c r="I45" i="3"/>
  <c r="H45" i="3"/>
  <c r="I44" i="3"/>
  <c r="H44" i="3"/>
  <c r="I43" i="3"/>
  <c r="H43" i="3"/>
  <c r="I42" i="3"/>
  <c r="H42" i="3"/>
  <c r="I41" i="3"/>
  <c r="H41" i="3"/>
  <c r="I40" i="3"/>
  <c r="H40" i="3"/>
  <c r="I39" i="3"/>
  <c r="H39" i="3"/>
  <c r="I38" i="3"/>
  <c r="H38" i="3"/>
  <c r="I37" i="3"/>
  <c r="H37" i="3"/>
  <c r="I36" i="3"/>
  <c r="H36" i="3"/>
  <c r="I35" i="3"/>
  <c r="H35" i="3"/>
  <c r="I34" i="3"/>
  <c r="H34" i="3"/>
  <c r="I33" i="3"/>
  <c r="H33" i="3"/>
  <c r="I32" i="3"/>
  <c r="H32" i="3"/>
  <c r="I31" i="3"/>
  <c r="H31" i="3"/>
  <c r="I30" i="3"/>
  <c r="H30" i="3"/>
  <c r="I29" i="3"/>
  <c r="H29" i="3"/>
  <c r="I28" i="3"/>
  <c r="H28" i="3"/>
  <c r="I27" i="3"/>
  <c r="H27" i="3"/>
  <c r="I26" i="3"/>
  <c r="H26" i="3"/>
  <c r="I25" i="3"/>
  <c r="H25" i="3"/>
  <c r="I24" i="3"/>
  <c r="H24" i="3"/>
  <c r="I23" i="3"/>
  <c r="H23" i="3"/>
  <c r="I22" i="3"/>
  <c r="H22" i="3"/>
  <c r="I21" i="3"/>
  <c r="H21" i="3"/>
  <c r="I20" i="3"/>
  <c r="H20" i="3"/>
  <c r="I19" i="3"/>
  <c r="H19" i="3"/>
  <c r="I18" i="3"/>
  <c r="H18" i="3"/>
  <c r="I17" i="3"/>
  <c r="H17" i="3"/>
  <c r="I16" i="3"/>
  <c r="H16" i="3"/>
  <c r="I15" i="3"/>
  <c r="H15" i="3"/>
  <c r="I14" i="3"/>
  <c r="H14" i="3"/>
  <c r="I13" i="3"/>
  <c r="H13" i="3"/>
  <c r="I12" i="3"/>
  <c r="H12" i="3"/>
  <c r="I11" i="3"/>
  <c r="H11" i="3"/>
  <c r="I10" i="3"/>
  <c r="H10" i="3"/>
  <c r="I9" i="3"/>
  <c r="H9" i="3"/>
  <c r="I8" i="3"/>
  <c r="I97" i="3" s="1"/>
  <c r="H8" i="3"/>
</calcChain>
</file>

<file path=xl/sharedStrings.xml><?xml version="1.0" encoding="utf-8"?>
<sst xmlns="http://schemas.openxmlformats.org/spreadsheetml/2006/main" count="5670" uniqueCount="5661">
  <si>
    <r>
      <rPr>
        <b/>
        <i/>
        <sz val="9"/>
        <color theme="1"/>
        <rFont val="Verdana"/>
      </rPr>
      <t>Name of Project: “Interior Fit-out work in the office space of Power Finance Corporation Limited, Tower-H, World Trade Centre, Nauroji Nagar, New Delhi-110029 including Operation &amp; Maintenance for 06 years”</t>
    </r>
  </si>
  <si>
    <t>SUMMARY OF ELECTRICAL &amp; ELV BOQ</t>
  </si>
  <si>
    <r>
      <rPr>
        <b/>
        <sz val="9"/>
        <color theme="1"/>
        <rFont val="Verdana"/>
      </rPr>
      <t>SECTION</t>
    </r>
  </si>
  <si>
    <r>
      <rPr>
        <b/>
        <sz val="9"/>
        <color theme="1"/>
        <rFont val="Verdana"/>
      </rPr>
      <t>DESCRIPTION</t>
    </r>
  </si>
  <si>
    <r>
      <rPr>
        <b/>
        <sz val="9"/>
        <color theme="1"/>
        <rFont val="Verdana"/>
      </rPr>
      <t>Amount (In Rs.)</t>
    </r>
  </si>
  <si>
    <r>
      <rPr>
        <b/>
        <sz val="9"/>
        <color theme="1"/>
        <rFont val="Verdana"/>
      </rPr>
      <t>DSR</t>
    </r>
  </si>
  <si>
    <r>
      <rPr>
        <b/>
        <sz val="9"/>
        <color theme="1"/>
        <rFont val="Verdana"/>
      </rPr>
      <t>Non DSR</t>
    </r>
  </si>
  <si>
    <r>
      <rPr>
        <b/>
        <sz val="9"/>
        <color theme="1"/>
        <rFont val="Verdana"/>
      </rPr>
      <t>Total</t>
    </r>
  </si>
  <si>
    <r>
      <rPr>
        <sz val="9"/>
        <color theme="1"/>
        <rFont val="Verdana"/>
      </rPr>
      <t>SUB HEAD A</t>
    </r>
  </si>
  <si>
    <r>
      <rPr>
        <sz val="9"/>
        <color theme="1"/>
        <rFont val="Verdana"/>
      </rPr>
      <t>WIRING IN STEEL &amp; PVC CONDUIT</t>
    </r>
  </si>
  <si>
    <r>
      <rPr>
        <sz val="9"/>
        <color theme="1"/>
        <rFont val="Verdana"/>
      </rPr>
      <t>SUB HEAD B</t>
    </r>
  </si>
  <si>
    <r>
      <rPr>
        <sz val="9"/>
        <color theme="1"/>
        <rFont val="Verdana"/>
      </rPr>
      <t>MCCB, MCB &amp; DB'S</t>
    </r>
  </si>
  <si>
    <r>
      <rPr>
        <sz val="9"/>
        <color theme="1"/>
        <rFont val="Verdana"/>
      </rPr>
      <t>SUB HEAD C</t>
    </r>
  </si>
  <si>
    <r>
      <rPr>
        <sz val="9"/>
        <color theme="1"/>
        <rFont val="Verdana"/>
      </rPr>
      <t>RISING MAINS &amp; BUS TRUNKING - ALUMINIUM</t>
    </r>
  </si>
  <si>
    <r>
      <rPr>
        <sz val="9"/>
        <color theme="1"/>
        <rFont val="Verdana"/>
      </rPr>
      <t>SUB HEAD D</t>
    </r>
  </si>
  <si>
    <r>
      <rPr>
        <sz val="9"/>
        <color theme="1"/>
        <rFont val="Verdana"/>
      </rPr>
      <t>BUS BAR TRACK FOR LIGHTING</t>
    </r>
  </si>
  <si>
    <r>
      <rPr>
        <sz val="9"/>
        <color theme="1"/>
        <rFont val="Verdana"/>
      </rPr>
      <t>SUB HEAD E</t>
    </r>
  </si>
  <si>
    <r>
      <rPr>
        <sz val="9"/>
        <color theme="1"/>
        <rFont val="Verdana"/>
      </rPr>
      <t>CABLE TRAYS &amp; RACEWAY</t>
    </r>
  </si>
  <si>
    <r>
      <rPr>
        <sz val="9"/>
        <color theme="1"/>
        <rFont val="Verdana"/>
      </rPr>
      <t>SUB HEAD F</t>
    </r>
  </si>
  <si>
    <r>
      <rPr>
        <sz val="9"/>
        <color theme="1"/>
        <rFont val="Verdana"/>
      </rPr>
      <t>EARTHING</t>
    </r>
  </si>
  <si>
    <r>
      <rPr>
        <sz val="9"/>
        <color theme="1"/>
        <rFont val="Verdana"/>
      </rPr>
      <t>SUB HEAD G</t>
    </r>
  </si>
  <si>
    <r>
      <rPr>
        <sz val="9"/>
        <color theme="1"/>
        <rFont val="Verdana"/>
      </rPr>
      <t>MV CABLES  (SUPPLY &amp; LAYING)</t>
    </r>
  </si>
  <si>
    <r>
      <rPr>
        <sz val="9"/>
        <color theme="1"/>
        <rFont val="Verdana"/>
      </rPr>
      <t>SUB HEAD H</t>
    </r>
  </si>
  <si>
    <r>
      <rPr>
        <sz val="9"/>
        <color theme="1"/>
        <rFont val="Verdana"/>
      </rPr>
      <t>MV CABLE JOINTING &amp; END TERMINATION</t>
    </r>
  </si>
  <si>
    <r>
      <rPr>
        <sz val="9"/>
        <color theme="1"/>
        <rFont val="Verdana"/>
      </rPr>
      <t>SUB HEAD I</t>
    </r>
  </si>
  <si>
    <r>
      <rPr>
        <sz val="9"/>
        <color theme="1"/>
        <rFont val="Verdana"/>
      </rPr>
      <t>MV PANELS (AS PER SLD)</t>
    </r>
  </si>
  <si>
    <r>
      <rPr>
        <sz val="9"/>
        <color theme="1"/>
        <rFont val="Verdana"/>
      </rPr>
      <t>SUB HEAD J</t>
    </r>
  </si>
  <si>
    <r>
      <rPr>
        <sz val="9"/>
        <color theme="1"/>
        <rFont val="Verdana"/>
      </rPr>
      <t>UPS</t>
    </r>
  </si>
  <si>
    <r>
      <rPr>
        <sz val="9"/>
        <color theme="1"/>
        <rFont val="Verdana"/>
      </rPr>
      <t>SUB HEAD K1</t>
    </r>
  </si>
  <si>
    <r>
      <rPr>
        <sz val="9"/>
        <color theme="1"/>
        <rFont val="Verdana"/>
      </rPr>
      <t>FIRE DETECTION AND ALARM SYSTEM</t>
    </r>
  </si>
  <si>
    <r>
      <rPr>
        <sz val="9"/>
        <color theme="1"/>
        <rFont val="Verdana"/>
      </rPr>
      <t>SUB HEAD K2</t>
    </r>
  </si>
  <si>
    <r>
      <rPr>
        <sz val="9"/>
        <color rgb="FF000000"/>
        <rFont val="Verdana"/>
      </rPr>
      <t xml:space="preserve">VESDA (ASPIRATION) SYSTEM (FOR SERVER, UPS &amp;
</t>
    </r>
    <r>
      <rPr>
        <sz val="9"/>
        <color rgb="FF000000"/>
        <rFont val="Verdana"/>
      </rPr>
      <t>BATTERY ROOMS)</t>
    </r>
  </si>
  <si>
    <r>
      <rPr>
        <sz val="9"/>
        <color theme="1"/>
        <rFont val="Verdana"/>
      </rPr>
      <t>SUB HEAD L</t>
    </r>
  </si>
  <si>
    <r>
      <rPr>
        <sz val="9"/>
        <color theme="1"/>
        <rFont val="Verdana"/>
      </rPr>
      <t>ACCESS CONTROL SYSTEM</t>
    </r>
  </si>
  <si>
    <r>
      <rPr>
        <sz val="9"/>
        <color theme="1"/>
        <rFont val="Verdana"/>
      </rPr>
      <t>SUB HEAD M</t>
    </r>
  </si>
  <si>
    <r>
      <rPr>
        <sz val="9"/>
        <color theme="1"/>
        <rFont val="Verdana"/>
      </rPr>
      <t>CCTV SYSTEM</t>
    </r>
  </si>
  <si>
    <r>
      <rPr>
        <sz val="9"/>
        <color theme="1"/>
        <rFont val="Verdana"/>
      </rPr>
      <t>SUB HEAD N</t>
    </r>
  </si>
  <si>
    <r>
      <rPr>
        <sz val="9"/>
        <color theme="1"/>
        <rFont val="Verdana"/>
      </rPr>
      <t>ADDRESSABLE WATER LEAK DETECTION SYSTEM</t>
    </r>
  </si>
  <si>
    <r>
      <rPr>
        <sz val="9"/>
        <color theme="1"/>
        <rFont val="Verdana"/>
      </rPr>
      <t>SUB HEAD O</t>
    </r>
  </si>
  <si>
    <r>
      <rPr>
        <sz val="9"/>
        <color theme="1"/>
        <rFont val="Verdana"/>
      </rPr>
      <t>ADDRESSABLE DIGITAL  RODENT REPELLENT SYSTEM</t>
    </r>
  </si>
  <si>
    <r>
      <rPr>
        <sz val="9"/>
        <color theme="1"/>
        <rFont val="Verdana"/>
      </rPr>
      <t>SUB HEAD P</t>
    </r>
  </si>
  <si>
    <r>
      <rPr>
        <sz val="9"/>
        <color rgb="FF000000"/>
        <rFont val="Verdana"/>
      </rPr>
      <t xml:space="preserve">EMERGENCY LIGHTING SYSTEMS - WITH CENTRAL BATTERY
</t>
    </r>
    <r>
      <rPr>
        <sz val="9"/>
        <color rgb="FF000000"/>
        <rFont val="Verdana"/>
      </rPr>
      <t>SYSTEM</t>
    </r>
  </si>
  <si>
    <r>
      <rPr>
        <sz val="9"/>
        <color theme="1"/>
        <rFont val="Verdana"/>
      </rPr>
      <t>SUB HEAD Q</t>
    </r>
  </si>
  <si>
    <r>
      <rPr>
        <sz val="9"/>
        <color theme="1"/>
        <rFont val="Verdana"/>
      </rPr>
      <t>LIGHT FIXTURES</t>
    </r>
  </si>
  <si>
    <r>
      <rPr>
        <sz val="9"/>
        <color theme="1"/>
        <rFont val="Verdana"/>
      </rPr>
      <t>SUB HEAD R1</t>
    </r>
  </si>
  <si>
    <r>
      <rPr>
        <sz val="9"/>
        <color theme="1"/>
        <rFont val="Verdana"/>
      </rPr>
      <t>LMS - LIGHTING MANAGEMENT SYSTEM</t>
    </r>
  </si>
  <si>
    <r>
      <rPr>
        <sz val="9"/>
        <color theme="1"/>
        <rFont val="Verdana"/>
      </rPr>
      <t>SUB HEAD R2</t>
    </r>
  </si>
  <si>
    <r>
      <rPr>
        <sz val="9"/>
        <color theme="1"/>
        <rFont val="Verdana"/>
      </rPr>
      <t>MOTORISED SHADES - WITHOUT FABRIC</t>
    </r>
  </si>
  <si>
    <r>
      <rPr>
        <b/>
        <sz val="9"/>
        <color theme="1"/>
        <rFont val="Verdana"/>
      </rPr>
      <t>TOTAL</t>
    </r>
  </si>
  <si>
    <r>
      <rPr>
        <b/>
        <sz val="9"/>
        <color theme="1"/>
        <rFont val="Verdana"/>
      </rPr>
      <t>Total Cost in Rs.</t>
    </r>
  </si>
  <si>
    <r>
      <rPr>
        <b/>
        <sz val="9"/>
        <color theme="1"/>
        <rFont val="Verdana"/>
      </rPr>
      <t>HIGH SIDE - ELECTRICAL WORKS</t>
    </r>
  </si>
  <si>
    <r>
      <rPr>
        <sz val="9"/>
        <color theme="1"/>
        <rFont val="Verdana"/>
      </rPr>
      <t>SUB HEAD S</t>
    </r>
  </si>
  <si>
    <r>
      <rPr>
        <sz val="9"/>
        <color theme="1"/>
        <rFont val="Verdana"/>
      </rPr>
      <t>SECURITY EQUIPMENTS</t>
    </r>
  </si>
  <si>
    <r>
      <rPr>
        <sz val="9"/>
        <color theme="1"/>
        <rFont val="Verdana"/>
      </rPr>
      <t>SUB HEAD T</t>
    </r>
  </si>
  <si>
    <r>
      <rPr>
        <sz val="9"/>
        <color theme="1"/>
        <rFont val="Verdana"/>
      </rPr>
      <t>ELECTRICAL VEHICLE CHARGER</t>
    </r>
  </si>
  <si>
    <r>
      <rPr>
        <sz val="9"/>
        <color theme="1"/>
        <rFont val="Verdana"/>
      </rPr>
      <t>SUB HEAD U</t>
    </r>
  </si>
  <si>
    <r>
      <rPr>
        <sz val="9"/>
        <color theme="1"/>
        <rFont val="Verdana"/>
      </rPr>
      <t>PARKING MANAGEMENT / GUIDANCE SYSTEM</t>
    </r>
  </si>
  <si>
    <r>
      <rPr>
        <sz val="9"/>
        <color theme="1"/>
        <rFont val="Verdana"/>
      </rPr>
      <t>SUB HEAD V</t>
    </r>
  </si>
  <si>
    <r>
      <rPr>
        <sz val="9"/>
        <color rgb="FF000000"/>
        <rFont val="Verdana"/>
      </rPr>
      <t xml:space="preserve">SOLAR PV (12KW) SYSTEM  - DISMANTILING &amp; RE-
</t>
    </r>
    <r>
      <rPr>
        <sz val="9"/>
        <color rgb="FF000000"/>
        <rFont val="Verdana"/>
      </rPr>
      <t>INSTALLATION</t>
    </r>
  </si>
  <si>
    <r>
      <rPr>
        <b/>
        <sz val="9"/>
        <color theme="1"/>
        <rFont val="Verdana"/>
      </rPr>
      <t>TOTAL</t>
    </r>
  </si>
  <si>
    <r>
      <rPr>
        <b/>
        <sz val="9"/>
        <color theme="1"/>
        <rFont val="Verdana"/>
      </rPr>
      <t>Total Cost in Rs.</t>
    </r>
  </si>
  <si>
    <r>
      <rPr>
        <b/>
        <sz val="10"/>
        <color theme="1"/>
        <rFont val="Calibri"/>
      </rPr>
      <t>ITEM NO.</t>
    </r>
  </si>
  <si>
    <r>
      <rPr>
        <b/>
        <sz val="10"/>
        <color theme="1"/>
        <rFont val="Calibri"/>
      </rPr>
      <t>DSR / NDSR (MR)</t>
    </r>
  </si>
  <si>
    <r>
      <rPr>
        <b/>
        <sz val="10"/>
        <color theme="1"/>
        <rFont val="Calibri"/>
      </rPr>
      <t>ITEM DESCRIPTIONS</t>
    </r>
  </si>
  <si>
    <r>
      <rPr>
        <b/>
        <sz val="10"/>
        <color theme="1"/>
        <rFont val="Calibri"/>
      </rPr>
      <t>Unit</t>
    </r>
  </si>
  <si>
    <t xml:space="preserve">Supply </t>
  </si>
  <si>
    <t>Installation</t>
  </si>
  <si>
    <r>
      <rPr>
        <b/>
        <sz val="10"/>
        <color theme="1"/>
        <rFont val="Calibri"/>
      </rPr>
      <t>SUB HEAD A</t>
    </r>
  </si>
  <si>
    <r>
      <rPr>
        <b/>
        <sz val="10"/>
        <color theme="1"/>
        <rFont val="Calibri"/>
      </rPr>
      <t>CHAPTER-1</t>
    </r>
  </si>
  <si>
    <r>
      <rPr>
        <b/>
        <sz val="10"/>
        <color theme="1"/>
        <rFont val="Calibri"/>
      </rPr>
      <t>WIRING IN STEEL &amp; PVC CONDUIT</t>
    </r>
  </si>
  <si>
    <r>
      <rPr>
        <sz val="10"/>
        <color rgb="FF000000"/>
        <rFont val="Calibri"/>
      </rPr>
      <t xml:space="preserve">Wiring for light point/ fan point/ exhaust fan point/ call bell point with 1.5 sq.mm FRLS/HFFR PVC insulated copper conductor single core cable in surface/ recessed steel conduit, </t>
    </r>
    <r>
      <rPr>
        <b/>
        <sz val="10"/>
        <color rgb="FF000000"/>
        <rFont val="Calibri"/>
      </rPr>
      <t>with modular switch, modular plate</t>
    </r>
    <r>
      <rPr>
        <sz val="10"/>
        <color rgb="FF000000"/>
        <rFont val="Calibri"/>
      </rPr>
      <t>, suitable GI box and earthing the point with 1.5 sq.mm FRLS/HFFR PVC insulated copper conductor single core cable etc. as required.</t>
    </r>
  </si>
  <si>
    <r>
      <rPr>
        <sz val="10"/>
        <color theme="1"/>
        <rFont val="Calibri"/>
      </rPr>
      <t>1.3.3</t>
    </r>
  </si>
  <si>
    <r>
      <rPr>
        <sz val="10"/>
        <color theme="1"/>
        <rFont val="Calibri"/>
      </rPr>
      <t>Group C</t>
    </r>
  </si>
  <si>
    <r>
      <rPr>
        <sz val="10"/>
        <color theme="1"/>
        <rFont val="Calibri"/>
      </rPr>
      <t>Point</t>
    </r>
  </si>
  <si>
    <r>
      <rPr>
        <sz val="10"/>
        <color rgb="FF000000"/>
        <rFont val="Calibri"/>
      </rPr>
      <t xml:space="preserve">Wiring for light/ power plug with </t>
    </r>
    <r>
      <rPr>
        <b/>
        <sz val="10"/>
        <color rgb="FF000000"/>
        <rFont val="Calibri"/>
      </rPr>
      <t xml:space="preserve">2x4 sq.mm </t>
    </r>
    <r>
      <rPr>
        <sz val="10"/>
        <color rgb="FF000000"/>
        <rFont val="Calibri"/>
      </rPr>
      <t xml:space="preserve">FRLS/HFFR PVC insulated copper conductor single core cable in surface/ recessed </t>
    </r>
    <r>
      <rPr>
        <b/>
        <sz val="10"/>
        <color rgb="FF000000"/>
        <rFont val="Calibri"/>
      </rPr>
      <t xml:space="preserve">steel conduit </t>
    </r>
    <r>
      <rPr>
        <sz val="10"/>
        <color rgb="FF000000"/>
        <rFont val="Calibri"/>
      </rPr>
      <t>along with 1 No. 4 sq. mm FRLS PVC insulated copper conductor single core cable for loop earthing as required.</t>
    </r>
  </si>
  <si>
    <r>
      <rPr>
        <sz val="10"/>
        <color theme="1"/>
        <rFont val="Calibri"/>
      </rPr>
      <t>Meter</t>
    </r>
  </si>
  <si>
    <r>
      <rPr>
        <sz val="10"/>
        <color rgb="FF000000"/>
        <rFont val="Calibri"/>
      </rPr>
      <t xml:space="preserve">Wiring for light/ power plug with </t>
    </r>
    <r>
      <rPr>
        <b/>
        <sz val="10"/>
        <color rgb="FF000000"/>
        <rFont val="Calibri"/>
      </rPr>
      <t xml:space="preserve">4x4 sq. mm </t>
    </r>
    <r>
      <rPr>
        <sz val="10"/>
        <color rgb="FF000000"/>
        <rFont val="Calibri"/>
      </rPr>
      <t xml:space="preserve">FRLS/HFFR PVC insulated copper conductor single core cable in surface/ </t>
    </r>
    <r>
      <rPr>
        <b/>
        <sz val="10"/>
        <color rgb="FF000000"/>
        <rFont val="Calibri"/>
      </rPr>
      <t>recessed steel condui</t>
    </r>
    <r>
      <rPr>
        <sz val="10"/>
        <color rgb="FF000000"/>
        <rFont val="Calibri"/>
      </rPr>
      <t>t along with 2 Nos. 4 sq.mm FRLS/HFFR PVC insulated copper conductor single core cable for loop earthing as required.</t>
    </r>
  </si>
  <si>
    <r>
      <rPr>
        <sz val="10"/>
        <color theme="1"/>
        <rFont val="Calibri"/>
      </rPr>
      <t>Meter</t>
    </r>
  </si>
  <si>
    <r>
      <rPr>
        <sz val="10"/>
        <color theme="1"/>
        <rFont val="Calibri"/>
      </rPr>
      <t>Wiring for circuit/ submain wiring along with earth wire with the following sizes of FRLS/HFFR PVC insulated copper conductor, single core cable in surface/ recessed steel conduit as required.</t>
    </r>
  </si>
  <si>
    <r>
      <rPr>
        <sz val="10"/>
        <color theme="1"/>
        <rFont val="Calibri"/>
      </rPr>
      <t>1.7.1</t>
    </r>
  </si>
  <si>
    <r>
      <rPr>
        <sz val="10"/>
        <color theme="1"/>
        <rFont val="Calibri"/>
      </rPr>
      <t>2 X 1.5 sq. mm + 1 X 1.5 sq. mm earth wire</t>
    </r>
  </si>
  <si>
    <r>
      <rPr>
        <sz val="10"/>
        <color theme="1"/>
        <rFont val="Calibri"/>
      </rPr>
      <t>Meter</t>
    </r>
  </si>
  <si>
    <r>
      <rPr>
        <sz val="10"/>
        <color theme="1"/>
        <rFont val="Calibri"/>
      </rPr>
      <t>1.7.2</t>
    </r>
  </si>
  <si>
    <r>
      <rPr>
        <sz val="10"/>
        <color theme="1"/>
        <rFont val="Calibri"/>
      </rPr>
      <t>2 X 2.5 sq. mm + 1 X 2.5 sq. mm earth wire</t>
    </r>
  </si>
  <si>
    <r>
      <rPr>
        <sz val="10"/>
        <color theme="1"/>
        <rFont val="Calibri"/>
      </rPr>
      <t>Meter</t>
    </r>
  </si>
  <si>
    <r>
      <rPr>
        <sz val="10"/>
        <color theme="1"/>
        <rFont val="Calibri"/>
      </rPr>
      <t>1.7.3</t>
    </r>
  </si>
  <si>
    <r>
      <rPr>
        <sz val="10"/>
        <color theme="1"/>
        <rFont val="Calibri"/>
      </rPr>
      <t>2 X 4 sq. mm + 1 X 4 sq. mm earth wire</t>
    </r>
  </si>
  <si>
    <r>
      <rPr>
        <sz val="10"/>
        <color theme="1"/>
        <rFont val="Calibri"/>
      </rPr>
      <t>Meter</t>
    </r>
  </si>
  <si>
    <r>
      <rPr>
        <sz val="10"/>
        <color theme="1"/>
        <rFont val="Calibri"/>
      </rPr>
      <t>1.7.4</t>
    </r>
  </si>
  <si>
    <r>
      <rPr>
        <sz val="10"/>
        <color theme="1"/>
        <rFont val="Calibri"/>
      </rPr>
      <t>2 X 6 sq. mm + 1 X 6 sq. mm earth wire</t>
    </r>
  </si>
  <si>
    <r>
      <rPr>
        <sz val="10"/>
        <color theme="1"/>
        <rFont val="Calibri"/>
      </rPr>
      <t>Meter</t>
    </r>
  </si>
  <si>
    <r>
      <rPr>
        <sz val="10"/>
        <color theme="1"/>
        <rFont val="Calibri"/>
      </rPr>
      <t>1.7.5</t>
    </r>
  </si>
  <si>
    <r>
      <rPr>
        <sz val="10"/>
        <color theme="1"/>
        <rFont val="Calibri"/>
      </rPr>
      <t>2 X 10 sq. mm + 1 X 6 sq. mm earth wire</t>
    </r>
  </si>
  <si>
    <r>
      <rPr>
        <sz val="10"/>
        <color theme="1"/>
        <rFont val="Calibri"/>
      </rPr>
      <t>Meter</t>
    </r>
  </si>
  <si>
    <r>
      <rPr>
        <sz val="10"/>
        <color theme="1"/>
        <rFont val="Calibri"/>
      </rPr>
      <t>1.7.6</t>
    </r>
  </si>
  <si>
    <r>
      <rPr>
        <sz val="10"/>
        <color theme="1"/>
        <rFont val="Calibri"/>
      </rPr>
      <t>2 X 16 sq. mm + 1 X 6 sq. mm earth wire</t>
    </r>
  </si>
  <si>
    <r>
      <rPr>
        <sz val="10"/>
        <color theme="1"/>
        <rFont val="Calibri"/>
      </rPr>
      <t>Meter</t>
    </r>
  </si>
  <si>
    <r>
      <rPr>
        <sz val="10"/>
        <color theme="1"/>
        <rFont val="Calibri"/>
      </rPr>
      <t>1.7.7</t>
    </r>
  </si>
  <si>
    <r>
      <rPr>
        <sz val="10"/>
        <color theme="1"/>
        <rFont val="Calibri"/>
      </rPr>
      <t>1 X 2.5 sq. mm + 2 X 2.5 sq. mm earth wire</t>
    </r>
  </si>
  <si>
    <r>
      <rPr>
        <sz val="10"/>
        <color theme="1"/>
        <rFont val="Calibri"/>
      </rPr>
      <t>Meter</t>
    </r>
  </si>
  <si>
    <r>
      <rPr>
        <sz val="10"/>
        <color theme="1"/>
        <rFont val="Calibri"/>
      </rPr>
      <t>1.7.8</t>
    </r>
  </si>
  <si>
    <r>
      <rPr>
        <sz val="10"/>
        <color theme="1"/>
        <rFont val="Calibri"/>
      </rPr>
      <t>4 X 4 sq. mm + 2 X 4 sq. mm earth wire</t>
    </r>
  </si>
  <si>
    <r>
      <rPr>
        <sz val="10"/>
        <color theme="1"/>
        <rFont val="Calibri"/>
      </rPr>
      <t>Meter</t>
    </r>
  </si>
  <si>
    <r>
      <rPr>
        <sz val="10"/>
        <color theme="1"/>
        <rFont val="Calibri"/>
      </rPr>
      <t>Supplying and drawing co-axial TV cable RG-6 grade, 0.7 mm solid copper conductor PE insulated, shielded with fine tinned copper braid and protected with PVC sheath in the existing surface/ recessed steel/ PVC conduit as required.</t>
    </r>
  </si>
  <si>
    <r>
      <rPr>
        <sz val="10"/>
        <color theme="1"/>
        <rFont val="Calibri"/>
      </rPr>
      <t>Meter</t>
    </r>
  </si>
  <si>
    <r>
      <rPr>
        <sz val="10"/>
        <color theme="1"/>
        <rFont val="Calibri"/>
      </rPr>
      <t>Supplying and fixing of following sizes of steel conduit along with accessories in surface/recess including painting in case of surface conduit, or cutting the wall and making good the same in case of recessed conduit as required.</t>
    </r>
  </si>
  <si>
    <r>
      <rPr>
        <sz val="10"/>
        <color theme="1"/>
        <rFont val="Calibri"/>
      </rPr>
      <t>1.20.1</t>
    </r>
  </si>
  <si>
    <r>
      <rPr>
        <sz val="10"/>
        <color theme="1"/>
        <rFont val="Calibri"/>
      </rPr>
      <t>20 mm</t>
    </r>
  </si>
  <si>
    <r>
      <rPr>
        <sz val="10"/>
        <color theme="1"/>
        <rFont val="Calibri"/>
      </rPr>
      <t>Meter</t>
    </r>
  </si>
  <si>
    <r>
      <rPr>
        <sz val="10"/>
        <color theme="1"/>
        <rFont val="Calibri"/>
      </rPr>
      <t>1.20.2</t>
    </r>
  </si>
  <si>
    <r>
      <rPr>
        <sz val="10"/>
        <color theme="1"/>
        <rFont val="Calibri"/>
      </rPr>
      <t>25 mm</t>
    </r>
  </si>
  <si>
    <r>
      <rPr>
        <sz val="10"/>
        <color theme="1"/>
        <rFont val="Calibri"/>
      </rPr>
      <t>Meter</t>
    </r>
  </si>
  <si>
    <r>
      <rPr>
        <sz val="10"/>
        <color theme="1"/>
        <rFont val="Calibri"/>
      </rPr>
      <t>1.20.3</t>
    </r>
  </si>
  <si>
    <r>
      <rPr>
        <sz val="10"/>
        <color theme="1"/>
        <rFont val="Calibri"/>
      </rPr>
      <t>32 mm</t>
    </r>
  </si>
  <si>
    <r>
      <rPr>
        <sz val="10"/>
        <color theme="1"/>
        <rFont val="Calibri"/>
      </rPr>
      <t>Meter</t>
    </r>
  </si>
  <si>
    <r>
      <rPr>
        <sz val="10"/>
        <color rgb="FF000000"/>
        <rFont val="Calibri"/>
      </rPr>
      <t xml:space="preserve">Supplying and fixing following </t>
    </r>
    <r>
      <rPr>
        <b/>
        <sz val="10"/>
        <color rgb="FF000000"/>
        <rFont val="Calibri"/>
      </rPr>
      <t xml:space="preserve">modular switch/ socket </t>
    </r>
    <r>
      <rPr>
        <sz val="10"/>
        <color rgb="FF000000"/>
        <rFont val="Calibri"/>
      </rPr>
      <t>on the existing modular plate &amp; switch box including connections but excluding modular plate etc. as required.</t>
    </r>
  </si>
  <si>
    <r>
      <rPr>
        <sz val="10"/>
        <color theme="1"/>
        <rFont val="Calibri"/>
      </rPr>
      <t>1.24.1</t>
    </r>
  </si>
  <si>
    <r>
      <rPr>
        <sz val="10"/>
        <color theme="1"/>
        <rFont val="Calibri"/>
      </rPr>
      <t>5/6 A switch</t>
    </r>
  </si>
  <si>
    <r>
      <rPr>
        <sz val="10"/>
        <color theme="1"/>
        <rFont val="Calibri"/>
      </rPr>
      <t>Each</t>
    </r>
  </si>
  <si>
    <r>
      <rPr>
        <sz val="10"/>
        <color theme="1"/>
        <rFont val="Calibri"/>
      </rPr>
      <t>1.24.2</t>
    </r>
  </si>
  <si>
    <r>
      <rPr>
        <sz val="10"/>
        <color theme="1"/>
        <rFont val="Calibri"/>
      </rPr>
      <t>15/16 A switch</t>
    </r>
  </si>
  <si>
    <r>
      <rPr>
        <sz val="10"/>
        <color theme="1"/>
        <rFont val="Calibri"/>
      </rPr>
      <t>Each</t>
    </r>
  </si>
  <si>
    <r>
      <rPr>
        <sz val="10"/>
        <color theme="1"/>
        <rFont val="Calibri"/>
      </rPr>
      <t>1.24.3</t>
    </r>
  </si>
  <si>
    <r>
      <rPr>
        <sz val="10"/>
        <color theme="1"/>
        <rFont val="Calibri"/>
      </rPr>
      <t>3 pin 5/6 A socket outlet</t>
    </r>
  </si>
  <si>
    <r>
      <rPr>
        <sz val="10"/>
        <color theme="1"/>
        <rFont val="Calibri"/>
      </rPr>
      <t>Each</t>
    </r>
  </si>
  <si>
    <r>
      <rPr>
        <sz val="10"/>
        <color theme="1"/>
        <rFont val="Calibri"/>
      </rPr>
      <t>1.24.4</t>
    </r>
  </si>
  <si>
    <r>
      <rPr>
        <sz val="10"/>
        <color theme="1"/>
        <rFont val="Calibri"/>
      </rPr>
      <t>6 pin 15/16 A socket outlet</t>
    </r>
  </si>
  <si>
    <r>
      <rPr>
        <sz val="10"/>
        <color theme="1"/>
        <rFont val="Calibri"/>
      </rPr>
      <t>Each</t>
    </r>
  </si>
  <si>
    <r>
      <rPr>
        <sz val="10"/>
        <color theme="1"/>
        <rFont val="Calibri"/>
      </rPr>
      <t>Supplying and fixing modular blanking plate on the existing modular plate &amp; switch box excluding modular plate as required.</t>
    </r>
  </si>
  <si>
    <r>
      <rPr>
        <sz val="10"/>
        <color theme="1"/>
        <rFont val="Calibri"/>
      </rPr>
      <t>Each</t>
    </r>
  </si>
  <si>
    <r>
      <rPr>
        <sz val="10"/>
        <color rgb="FF000000"/>
        <rFont val="Calibri"/>
      </rPr>
      <t xml:space="preserve">Supplying and fixing following </t>
    </r>
    <r>
      <rPr>
        <b/>
        <sz val="10"/>
        <color rgb="FF000000"/>
        <rFont val="Calibri"/>
      </rPr>
      <t xml:space="preserve">size/ modules, GI box along with modular base &amp; cover plate </t>
    </r>
    <r>
      <rPr>
        <sz val="10"/>
        <color rgb="FF000000"/>
        <rFont val="Calibri"/>
      </rPr>
      <t>for modular switches in recess etc. as required.</t>
    </r>
  </si>
  <si>
    <r>
      <rPr>
        <sz val="10"/>
        <color theme="1"/>
        <rFont val="Calibri"/>
      </rPr>
      <t>1.27.1</t>
    </r>
  </si>
  <si>
    <r>
      <rPr>
        <sz val="10"/>
        <color theme="1"/>
        <rFont val="Calibri"/>
      </rPr>
      <t>1 or 2 Module (75mmX75mm)</t>
    </r>
  </si>
  <si>
    <r>
      <rPr>
        <sz val="10"/>
        <color theme="1"/>
        <rFont val="Calibri"/>
      </rPr>
      <t>Each</t>
    </r>
  </si>
  <si>
    <r>
      <rPr>
        <sz val="10"/>
        <color theme="1"/>
        <rFont val="Calibri"/>
      </rPr>
      <t>1.27.2</t>
    </r>
  </si>
  <si>
    <r>
      <rPr>
        <sz val="10"/>
        <color theme="1"/>
        <rFont val="Calibri"/>
      </rPr>
      <t>3 Module (100mmX75mm)</t>
    </r>
  </si>
  <si>
    <r>
      <rPr>
        <sz val="10"/>
        <color theme="1"/>
        <rFont val="Calibri"/>
      </rPr>
      <t>Each</t>
    </r>
  </si>
  <si>
    <r>
      <rPr>
        <sz val="10"/>
        <color theme="1"/>
        <rFont val="Calibri"/>
      </rPr>
      <t>1.27.4</t>
    </r>
  </si>
  <si>
    <r>
      <rPr>
        <sz val="10"/>
        <color theme="1"/>
        <rFont val="Calibri"/>
      </rPr>
      <t>6 Module (200mmX75mm)</t>
    </r>
  </si>
  <si>
    <r>
      <rPr>
        <sz val="10"/>
        <color theme="1"/>
        <rFont val="Calibri"/>
      </rPr>
      <t>Each</t>
    </r>
  </si>
  <si>
    <r>
      <rPr>
        <sz val="10"/>
        <color rgb="FF000000"/>
        <rFont val="Calibri"/>
      </rPr>
      <t xml:space="preserve">Supplying and fixing following </t>
    </r>
    <r>
      <rPr>
        <b/>
        <sz val="10"/>
        <color rgb="FF000000"/>
        <rFont val="Calibri"/>
      </rPr>
      <t xml:space="preserve">Modular base &amp; cover plate </t>
    </r>
    <r>
      <rPr>
        <sz val="10"/>
        <color rgb="FF000000"/>
        <rFont val="Calibri"/>
      </rPr>
      <t>on existing modular metal boxes etc. as required</t>
    </r>
  </si>
  <si>
    <r>
      <rPr>
        <sz val="10"/>
        <color theme="1"/>
        <rFont val="Calibri"/>
      </rPr>
      <t>1.28.1</t>
    </r>
  </si>
  <si>
    <r>
      <rPr>
        <sz val="10"/>
        <color theme="1"/>
        <rFont val="Calibri"/>
      </rPr>
      <t>1 or 2 Module</t>
    </r>
  </si>
  <si>
    <r>
      <rPr>
        <sz val="10"/>
        <color theme="1"/>
        <rFont val="Calibri"/>
      </rPr>
      <t>Each</t>
    </r>
  </si>
  <si>
    <r>
      <rPr>
        <sz val="10"/>
        <color theme="1"/>
        <rFont val="Calibri"/>
      </rPr>
      <t>1.28.2</t>
    </r>
  </si>
  <si>
    <r>
      <rPr>
        <sz val="10"/>
        <color theme="1"/>
        <rFont val="Calibri"/>
      </rPr>
      <t>3 Module</t>
    </r>
  </si>
  <si>
    <r>
      <rPr>
        <sz val="10"/>
        <color theme="1"/>
        <rFont val="Calibri"/>
      </rPr>
      <t>Each</t>
    </r>
  </si>
  <si>
    <r>
      <rPr>
        <sz val="10"/>
        <color theme="1"/>
        <rFont val="Calibri"/>
      </rPr>
      <t>1.28.5</t>
    </r>
  </si>
  <si>
    <r>
      <rPr>
        <sz val="10"/>
        <color theme="1"/>
        <rFont val="Calibri"/>
      </rPr>
      <t>8 Module</t>
    </r>
  </si>
  <si>
    <r>
      <rPr>
        <sz val="10"/>
        <color theme="1"/>
        <rFont val="Calibri"/>
      </rPr>
      <t>Each</t>
    </r>
  </si>
  <si>
    <r>
      <rPr>
        <sz val="10"/>
        <color rgb="FF000000"/>
        <rFont val="Calibri"/>
      </rPr>
      <t xml:space="preserve">Supplying and fixing suitable size </t>
    </r>
    <r>
      <rPr>
        <b/>
        <sz val="10"/>
        <color rgb="FF000000"/>
        <rFont val="Calibri"/>
      </rPr>
      <t xml:space="preserve">GI box with modular plate and cover </t>
    </r>
    <r>
      <rPr>
        <sz val="10"/>
        <color rgb="FF000000"/>
        <rFont val="Calibri"/>
      </rPr>
      <t xml:space="preserve">in front on surface or in recess, including providing and fixing </t>
    </r>
    <r>
      <rPr>
        <b/>
        <sz val="10"/>
        <color rgb="FF000000"/>
        <rFont val="Calibri"/>
      </rPr>
      <t>3 pin 5/6 A modular socket outlet and 5/6 A modular switch</t>
    </r>
    <r>
      <rPr>
        <sz val="10"/>
        <color rgb="FF000000"/>
        <rFont val="Calibri"/>
      </rPr>
      <t>, connections etc. as required.</t>
    </r>
  </si>
  <si>
    <r>
      <rPr>
        <sz val="10"/>
        <color theme="1"/>
        <rFont val="Calibri"/>
      </rPr>
      <t>Each</t>
    </r>
  </si>
  <si>
    <r>
      <rPr>
        <sz val="10"/>
        <color rgb="FF000000"/>
        <rFont val="Calibri"/>
      </rPr>
      <t xml:space="preserve">Supplying and fixing suitable size </t>
    </r>
    <r>
      <rPr>
        <b/>
        <sz val="10"/>
        <color rgb="FF000000"/>
        <rFont val="Calibri"/>
      </rPr>
      <t xml:space="preserve">GI box with modular plate and cover </t>
    </r>
    <r>
      <rPr>
        <sz val="10"/>
        <color rgb="FF000000"/>
        <rFont val="Calibri"/>
      </rPr>
      <t xml:space="preserve">in front on surface or in recess, including providing and fixing </t>
    </r>
    <r>
      <rPr>
        <b/>
        <sz val="10"/>
        <color rgb="FF000000"/>
        <rFont val="Calibri"/>
      </rPr>
      <t xml:space="preserve">6 pin 5/6 &amp; 15/16 A modular socket outlet and 15/16 A modular switch, </t>
    </r>
    <r>
      <rPr>
        <sz val="10"/>
        <color rgb="FF000000"/>
        <rFont val="Calibri"/>
      </rPr>
      <t>connections etc. as required.</t>
    </r>
  </si>
  <si>
    <r>
      <rPr>
        <sz val="10"/>
        <color theme="1"/>
        <rFont val="Calibri"/>
      </rPr>
      <t>Each</t>
    </r>
  </si>
  <si>
    <r>
      <rPr>
        <sz val="10"/>
        <color theme="1"/>
        <rFont val="Calibri"/>
      </rPr>
      <t>Numbering of ceiling fan/ exhaust fan/ fluorescent fittings as required.</t>
    </r>
  </si>
  <si>
    <r>
      <rPr>
        <sz val="10"/>
        <color theme="1"/>
        <rFont val="Calibri"/>
      </rPr>
      <t>Each</t>
    </r>
  </si>
  <si>
    <r>
      <rPr>
        <sz val="10"/>
        <color rgb="FF000000"/>
        <rFont val="Calibri"/>
      </rPr>
      <t xml:space="preserve">Wiring for group controlled </t>
    </r>
    <r>
      <rPr>
        <b/>
        <sz val="10"/>
        <color rgb="FF000000"/>
        <rFont val="Calibri"/>
      </rPr>
      <t xml:space="preserve">(looped) </t>
    </r>
    <r>
      <rPr>
        <sz val="10"/>
        <color rgb="FF000000"/>
        <rFont val="Calibri"/>
      </rPr>
      <t>light point/fan point /exhaust fan point / call bell point (without independent switch etc.) with 1.5 sq. mm FRLS/HFFR PVC insulated copper conductor single core cable in surface/ recessed steel conduit, and earthing the point with 1.5 sq. mm FRLS/HFFR PVC insulated copper conductor single core cable etc. as required.</t>
    </r>
  </si>
  <si>
    <r>
      <rPr>
        <sz val="10"/>
        <color theme="1"/>
        <rFont val="Calibri"/>
      </rPr>
      <t>1.54.3</t>
    </r>
  </si>
  <si>
    <r>
      <rPr>
        <sz val="10"/>
        <color theme="1"/>
        <rFont val="Calibri"/>
      </rPr>
      <t>Group C</t>
    </r>
  </si>
  <si>
    <r>
      <rPr>
        <sz val="10"/>
        <color theme="1"/>
        <rFont val="Calibri"/>
      </rPr>
      <t>Point</t>
    </r>
  </si>
  <si>
    <r>
      <rPr>
        <b/>
        <sz val="10"/>
        <color theme="1"/>
        <rFont val="Calibri"/>
      </rPr>
      <t>Note:</t>
    </r>
  </si>
  <si>
    <r>
      <rPr>
        <b/>
        <sz val="10"/>
        <color rgb="FF000000"/>
        <rFont val="Calibri"/>
      </rPr>
      <t xml:space="preserve">● Circuit for Light point not consider in office area, only considered for Toilet etc.
</t>
    </r>
    <r>
      <rPr>
        <b/>
        <sz val="10"/>
        <color rgb="FF000000"/>
        <rFont val="Calibri"/>
      </rPr>
      <t xml:space="preserve">where Lighting Track is not covered.
</t>
    </r>
    <r>
      <rPr>
        <b/>
        <sz val="10"/>
        <color rgb="FF000000"/>
        <rFont val="Calibri"/>
      </rPr>
      <t xml:space="preserve">● Wiring mainly laid in raceway / on cable tray.
</t>
    </r>
    <r>
      <rPr>
        <b/>
        <sz val="10"/>
        <color rgb="FF000000"/>
        <rFont val="Calibri"/>
      </rPr>
      <t xml:space="preserve">● Raceway &amp; Cable Tray cost not to be included here.
</t>
    </r>
    <r>
      <rPr>
        <b/>
        <sz val="10"/>
        <color rgb="FF000000"/>
        <rFont val="Calibri"/>
      </rPr>
      <t xml:space="preserve">● In case of raised floor, with raceway &amp; cable tray running under raised floor for
</t>
    </r>
    <r>
      <rPr>
        <b/>
        <sz val="10"/>
        <color rgb="FF000000"/>
        <rFont val="Calibri"/>
      </rPr>
      <t>wiring, no conduiting upto furniture is to be considered. Wire will be kept on the floor upto the furniture entry.</t>
    </r>
  </si>
  <si>
    <r>
      <rPr>
        <b/>
        <sz val="10"/>
        <color theme="1"/>
        <rFont val="Calibri"/>
      </rPr>
      <t>TOTAL CARRIED OVER TO SUMMARY</t>
    </r>
  </si>
  <si>
    <r>
      <rPr>
        <b/>
        <sz val="10"/>
        <color theme="1"/>
        <rFont val="Calibri"/>
      </rPr>
      <t>SUB HEAD B</t>
    </r>
  </si>
  <si>
    <r>
      <rPr>
        <b/>
        <sz val="10"/>
        <color theme="1"/>
        <rFont val="Calibri"/>
      </rPr>
      <t>CHAPTER- 2</t>
    </r>
  </si>
  <si>
    <r>
      <rPr>
        <b/>
        <sz val="10"/>
        <color theme="1"/>
        <rFont val="Calibri"/>
      </rPr>
      <t>MCCB, MCB &amp; DB'S</t>
    </r>
  </si>
  <si>
    <r>
      <rPr>
        <sz val="10"/>
        <color theme="1"/>
        <rFont val="Calibri"/>
      </rPr>
      <t>DSR-2025- 2.3</t>
    </r>
  </si>
  <si>
    <r>
      <rPr>
        <sz val="10"/>
        <color theme="1"/>
        <rFont val="Calibri"/>
      </rPr>
      <t>Supplying and fixing following way, single pole and neutral, sheet steel, MCB distribution board, 240 V, on surface/ recess, complete with tinned copper bus bar, neutral bus bar, earth bar, din bar, interconnections, powder painted including earthing etc. as required. (But without MCB/RCCB/Isolator)</t>
    </r>
  </si>
  <si>
    <r>
      <rPr>
        <sz val="10"/>
        <color theme="1"/>
        <rFont val="Calibri"/>
      </rPr>
      <t>DSR-2025- 2.3.1</t>
    </r>
  </si>
  <si>
    <r>
      <rPr>
        <sz val="10"/>
        <color theme="1"/>
        <rFont val="Calibri"/>
      </rPr>
      <t>6 way , Double door</t>
    </r>
  </si>
  <si>
    <r>
      <rPr>
        <sz val="10"/>
        <color theme="1"/>
        <rFont val="Calibri"/>
      </rPr>
      <t>Each</t>
    </r>
  </si>
  <si>
    <r>
      <rPr>
        <sz val="10"/>
        <color theme="1"/>
        <rFont val="Calibri"/>
      </rPr>
      <t>DSR-2025- 2.4</t>
    </r>
  </si>
  <si>
    <r>
      <rPr>
        <sz val="10"/>
        <color theme="1"/>
        <rFont val="Calibri"/>
      </rPr>
      <t>Supplying and fixing following way, horizontal type three pole and neutral, sheet steel, MCB distribution board, 415 V, on surface/ recess, complete with tinned copper bus bar, neutral bus bar, earth bar, din bar, interconnections, powder painted including earthing etc. as required. (But without MCB / RCCB /Isolator).</t>
    </r>
  </si>
  <si>
    <r>
      <rPr>
        <sz val="10"/>
        <color theme="1"/>
        <rFont val="Calibri"/>
      </rPr>
      <t>DSR-2025- 2.4.1</t>
    </r>
  </si>
  <si>
    <r>
      <rPr>
        <sz val="10"/>
        <color theme="1"/>
        <rFont val="Calibri"/>
      </rPr>
      <t>4 way (4 + 12), Double door</t>
    </r>
  </si>
  <si>
    <r>
      <rPr>
        <sz val="10"/>
        <color theme="1"/>
        <rFont val="Calibri"/>
      </rPr>
      <t>Each</t>
    </r>
  </si>
  <si>
    <r>
      <rPr>
        <sz val="10"/>
        <color theme="1"/>
        <rFont val="Calibri"/>
      </rPr>
      <t>DSR-2025- 2.4.3</t>
    </r>
  </si>
  <si>
    <r>
      <rPr>
        <sz val="10"/>
        <color theme="1"/>
        <rFont val="Calibri"/>
      </rPr>
      <t>8 way (4 + 24), Double door</t>
    </r>
  </si>
  <si>
    <r>
      <rPr>
        <sz val="10"/>
        <color theme="1"/>
        <rFont val="Calibri"/>
      </rPr>
      <t>Each</t>
    </r>
  </si>
  <si>
    <r>
      <rPr>
        <sz val="10"/>
        <color theme="1"/>
        <rFont val="Calibri"/>
      </rPr>
      <t>MR</t>
    </r>
  </si>
  <si>
    <r>
      <rPr>
        <sz val="10"/>
        <color theme="1"/>
        <rFont val="Calibri"/>
      </rPr>
      <t>12 way (4 + 36), Double door</t>
    </r>
  </si>
  <si>
    <r>
      <rPr>
        <sz val="10"/>
        <color theme="1"/>
        <rFont val="Calibri"/>
      </rPr>
      <t>Each</t>
    </r>
  </si>
  <si>
    <r>
      <rPr>
        <sz val="10"/>
        <color theme="1"/>
        <rFont val="Calibri"/>
      </rPr>
      <t>Supplying and fixing of following ways surface/ recess mounting, vertical type, 415 V, TPN MCB distribution board of sheet steel, dust protected, duly powder painted, inclusive of 200 A tinned copper bus bar, common neutral link, earth bar, din bar for mounting MCBs (but without MCBs and incomer ) as required . (Note : Vertical type MCB TPDB is normally used where 3 phase outlets are required.)</t>
    </r>
  </si>
  <si>
    <r>
      <rPr>
        <sz val="10"/>
        <color theme="1"/>
        <rFont val="Calibri"/>
      </rPr>
      <t>MR</t>
    </r>
  </si>
  <si>
    <r>
      <rPr>
        <sz val="10"/>
        <color theme="1"/>
        <rFont val="Calibri"/>
      </rPr>
      <t>6 way (4 + 18), Double door</t>
    </r>
  </si>
  <si>
    <r>
      <rPr>
        <sz val="10"/>
        <color theme="1"/>
        <rFont val="Calibri"/>
      </rPr>
      <t>Each</t>
    </r>
  </si>
  <si>
    <r>
      <rPr>
        <sz val="10"/>
        <color theme="1"/>
        <rFont val="Calibri"/>
      </rPr>
      <t>DSR-2025- 2.10</t>
    </r>
  </si>
  <si>
    <r>
      <rPr>
        <sz val="10"/>
        <color theme="1"/>
        <rFont val="Calibri"/>
      </rPr>
      <t>Supplying and fixing 5 A to 32 A rating, 240/415 V, 10kA, "C" curve, miniature circuit breaker suitable for inductive load of following poles in the existing MCB DB complete with connections, testing and commissioning etc. as required.</t>
    </r>
  </si>
  <si>
    <r>
      <rPr>
        <sz val="10"/>
        <color theme="1"/>
        <rFont val="Calibri"/>
      </rPr>
      <t>DSR-2025- 2.10.1</t>
    </r>
  </si>
  <si>
    <r>
      <rPr>
        <sz val="10"/>
        <color theme="1"/>
        <rFont val="Calibri"/>
      </rPr>
      <t>Single pole</t>
    </r>
  </si>
  <si>
    <r>
      <rPr>
        <sz val="10"/>
        <color theme="1"/>
        <rFont val="Calibri"/>
      </rPr>
      <t>Each</t>
    </r>
  </si>
  <si>
    <r>
      <rPr>
        <sz val="10"/>
        <color theme="1"/>
        <rFont val="Calibri"/>
      </rPr>
      <t>DSR-2025- 2.10.4</t>
    </r>
  </si>
  <si>
    <r>
      <rPr>
        <sz val="10"/>
        <color theme="1"/>
        <rFont val="Calibri"/>
      </rPr>
      <t>Triple pole</t>
    </r>
  </si>
  <si>
    <r>
      <rPr>
        <sz val="10"/>
        <color theme="1"/>
        <rFont val="Calibri"/>
      </rPr>
      <t>Each</t>
    </r>
  </si>
  <si>
    <r>
      <rPr>
        <sz val="10"/>
        <color theme="1"/>
        <rFont val="Calibri"/>
      </rPr>
      <t>DSR-2025- 2.12</t>
    </r>
  </si>
  <si>
    <r>
      <rPr>
        <sz val="10"/>
        <color theme="1"/>
        <rFont val="Calibri"/>
      </rPr>
      <t>Supplying and fixing following rating, double pole, 240 V, isolator in the existing MCB DB complete with connections, testing and commissioning etc. as required.</t>
    </r>
  </si>
  <si>
    <r>
      <rPr>
        <sz val="10"/>
        <color theme="1"/>
        <rFont val="Calibri"/>
      </rPr>
      <t>DSR-2025- 2.12.1</t>
    </r>
  </si>
  <si>
    <r>
      <rPr>
        <sz val="10"/>
        <color theme="1"/>
        <rFont val="Calibri"/>
      </rPr>
      <t>40A</t>
    </r>
  </si>
  <si>
    <r>
      <rPr>
        <sz val="10"/>
        <color theme="1"/>
        <rFont val="Calibri"/>
      </rPr>
      <t>Each</t>
    </r>
  </si>
  <si>
    <r>
      <rPr>
        <sz val="10"/>
        <color theme="1"/>
        <rFont val="Calibri"/>
      </rPr>
      <t>DSR-2025- 2.13</t>
    </r>
  </si>
  <si>
    <r>
      <rPr>
        <sz val="10"/>
        <color theme="1"/>
        <rFont val="Calibri"/>
      </rPr>
      <t>Supplying and fixing following rating, four pole, 415V, isolator in the existing MCB DB complete with connections, testing and commissioning etc. as required.</t>
    </r>
  </si>
  <si>
    <r>
      <rPr>
        <sz val="10"/>
        <color theme="1"/>
        <rFont val="Calibri"/>
      </rPr>
      <t>DSR-2025- 2.13.1</t>
    </r>
  </si>
  <si>
    <r>
      <rPr>
        <sz val="10"/>
        <color theme="1"/>
        <rFont val="Calibri"/>
      </rPr>
      <t>40A</t>
    </r>
  </si>
  <si>
    <r>
      <rPr>
        <sz val="10"/>
        <color theme="1"/>
        <rFont val="Calibri"/>
      </rPr>
      <t>Each</t>
    </r>
  </si>
  <si>
    <r>
      <rPr>
        <sz val="10"/>
        <color theme="1"/>
        <rFont val="Calibri"/>
      </rPr>
      <t>DSR-2025- 2.13.2</t>
    </r>
  </si>
  <si>
    <r>
      <rPr>
        <sz val="10"/>
        <color theme="1"/>
        <rFont val="Calibri"/>
      </rPr>
      <t>63A</t>
    </r>
  </si>
  <si>
    <r>
      <rPr>
        <sz val="10"/>
        <color theme="1"/>
        <rFont val="Calibri"/>
      </rPr>
      <t>Each</t>
    </r>
  </si>
  <si>
    <r>
      <rPr>
        <sz val="10"/>
        <color theme="1"/>
        <rFont val="Calibri"/>
      </rPr>
      <t>DSR-2025- 2.14</t>
    </r>
  </si>
  <si>
    <r>
      <rPr>
        <sz val="10"/>
        <color theme="1"/>
        <rFont val="Calibri"/>
      </rPr>
      <t>Supplying and fixing following rating, double pole, (single phase and neutral), 240 V, residual current circuit breaker (RCCB), having a sensitivity current 30 mA in the existing MCB DB complete with connections, testing and commissioning etc. as required.</t>
    </r>
  </si>
  <si>
    <r>
      <rPr>
        <sz val="10"/>
        <color theme="1"/>
        <rFont val="Calibri"/>
      </rPr>
      <t>DSR-2025- 2.14.2</t>
    </r>
  </si>
  <si>
    <r>
      <rPr>
        <sz val="10"/>
        <color theme="1"/>
        <rFont val="Calibri"/>
      </rPr>
      <t>40A</t>
    </r>
  </si>
  <si>
    <r>
      <rPr>
        <sz val="10"/>
        <color theme="1"/>
        <rFont val="Calibri"/>
      </rPr>
      <t>Each</t>
    </r>
  </si>
  <si>
    <r>
      <rPr>
        <sz val="10"/>
        <color theme="1"/>
        <rFont val="Calibri"/>
      </rPr>
      <t>DSR-2025- 2.14.3</t>
    </r>
  </si>
  <si>
    <r>
      <rPr>
        <sz val="10"/>
        <color theme="1"/>
        <rFont val="Calibri"/>
      </rPr>
      <t>63A</t>
    </r>
  </si>
  <si>
    <r>
      <rPr>
        <sz val="10"/>
        <color theme="1"/>
        <rFont val="Calibri"/>
      </rPr>
      <t>Each</t>
    </r>
  </si>
  <si>
    <r>
      <rPr>
        <sz val="10"/>
        <color theme="1"/>
        <rFont val="Calibri"/>
      </rPr>
      <t>DSR-2025- 2.16</t>
    </r>
  </si>
  <si>
    <r>
      <rPr>
        <sz val="10"/>
        <color theme="1"/>
        <rFont val="Calibri"/>
      </rPr>
      <t>Supplying and fixing DP sheet steel enclosure on surface/ recess along with 25/32 A 240 V "C" curve DP MCB complete with connections, testing and commissioning etc. as required</t>
    </r>
  </si>
  <si>
    <r>
      <rPr>
        <sz val="10"/>
        <color theme="1"/>
        <rFont val="Calibri"/>
      </rPr>
      <t>Each</t>
    </r>
  </si>
  <si>
    <r>
      <rPr>
        <sz val="10"/>
        <color theme="1"/>
        <rFont val="Calibri"/>
      </rPr>
      <t>DSR-2025- 2.17</t>
    </r>
  </si>
  <si>
    <r>
      <rPr>
        <sz val="10"/>
        <color theme="1"/>
        <rFont val="Calibri"/>
      </rPr>
      <t>Supplying and fixing TP sheet steel enclosure on surface/ recess along with 16/25/32 A 415 V "C" curve TP MCB complete with connections, testing and commissioning etc. as required.</t>
    </r>
  </si>
  <si>
    <r>
      <rPr>
        <sz val="10"/>
        <color theme="1"/>
        <rFont val="Calibri"/>
      </rPr>
      <t>Each</t>
    </r>
  </si>
  <si>
    <r>
      <rPr>
        <sz val="10"/>
        <color theme="1"/>
        <rFont val="Calibri"/>
      </rPr>
      <t>DSR-2025- 2.23</t>
    </r>
  </si>
  <si>
    <r>
      <rPr>
        <sz val="10"/>
        <color theme="1"/>
        <rFont val="Calibri"/>
      </rPr>
      <t>Supplying and fixing Cable End Box (Loose Wire Box) suitable for following single pole and neutral, sheet steel, MCB distribution board, 240 Volts, on surface/ recess, complete with testing and commissioning etc. as required.</t>
    </r>
  </si>
  <si>
    <r>
      <rPr>
        <sz val="10"/>
        <color theme="1"/>
        <rFont val="Calibri"/>
      </rPr>
      <t>DSR-2025- 2.23.1</t>
    </r>
  </si>
  <si>
    <r>
      <rPr>
        <sz val="10"/>
        <color theme="1"/>
        <rFont val="Calibri"/>
      </rPr>
      <t>For 6 way, Double door SPN MCB DB</t>
    </r>
  </si>
  <si>
    <r>
      <rPr>
        <sz val="10"/>
        <color theme="1"/>
        <rFont val="Calibri"/>
      </rPr>
      <t>Each</t>
    </r>
  </si>
  <si>
    <r>
      <rPr>
        <sz val="10"/>
        <color theme="1"/>
        <rFont val="Calibri"/>
      </rPr>
      <t>DSR-2025- 2.24</t>
    </r>
  </si>
  <si>
    <r>
      <rPr>
        <sz val="10"/>
        <color rgb="FF000000"/>
        <rFont val="Calibri"/>
      </rPr>
      <t xml:space="preserve">Supplying and fixing Cable End Box (Loose Wire Box) suitable  for  following  triple  pole  and neutral,  sheet steel,  MCB  distribution  board,  415  Volts,  on  surface/ recess,   complete
</t>
    </r>
    <r>
      <rPr>
        <sz val="10"/>
        <color rgb="FF000000"/>
        <rFont val="Calibri"/>
      </rPr>
      <t>with   testing   and   commissioning etc.as required.</t>
    </r>
  </si>
  <si>
    <r>
      <rPr>
        <sz val="10"/>
        <color theme="1"/>
        <rFont val="Calibri"/>
      </rPr>
      <t>DSR-2025- 2.24.1</t>
    </r>
  </si>
  <si>
    <r>
      <rPr>
        <sz val="10"/>
        <color theme="1"/>
        <rFont val="Calibri"/>
      </rPr>
      <t>For 4 way, Double door TPN MCB DB</t>
    </r>
  </si>
  <si>
    <r>
      <rPr>
        <sz val="10"/>
        <color theme="1"/>
        <rFont val="Calibri"/>
      </rPr>
      <t>Each</t>
    </r>
  </si>
  <si>
    <r>
      <rPr>
        <sz val="10"/>
        <color theme="1"/>
        <rFont val="Calibri"/>
      </rPr>
      <t>DSR-2025- 2.24.3</t>
    </r>
  </si>
  <si>
    <r>
      <rPr>
        <sz val="10"/>
        <color theme="1"/>
        <rFont val="Calibri"/>
      </rPr>
      <t>For 8 way, Double door TPN MCB DB</t>
    </r>
  </si>
  <si>
    <r>
      <rPr>
        <sz val="10"/>
        <color theme="1"/>
        <rFont val="Calibri"/>
      </rPr>
      <t>Each</t>
    </r>
  </si>
  <si>
    <r>
      <rPr>
        <sz val="10"/>
        <color theme="1"/>
        <rFont val="Calibri"/>
      </rPr>
      <t>MR</t>
    </r>
  </si>
  <si>
    <r>
      <rPr>
        <sz val="10"/>
        <color theme="1"/>
        <rFont val="Calibri"/>
      </rPr>
      <t>For 12 way, Double door TPN MCB DB</t>
    </r>
  </si>
  <si>
    <r>
      <rPr>
        <sz val="10"/>
        <color theme="1"/>
        <rFont val="Calibri"/>
      </rPr>
      <t>Each</t>
    </r>
  </si>
  <si>
    <r>
      <rPr>
        <sz val="10"/>
        <color theme="1"/>
        <rFont val="Calibri"/>
      </rPr>
      <t>DSR-2025- 2.25</t>
    </r>
  </si>
  <si>
    <r>
      <rPr>
        <sz val="10"/>
        <color theme="1"/>
        <rFont val="Calibri"/>
      </rPr>
      <t>Supplying and fixing Cable End Box (Loose Wire Box) suitable for triple pole and neutral, sheet steel, Vertical MCB distribution board, 415 Volts, on surface/ recess, complete with testing and commissioning etc. as required.</t>
    </r>
  </si>
  <si>
    <r>
      <rPr>
        <sz val="10"/>
        <color theme="1"/>
        <rFont val="Calibri"/>
      </rPr>
      <t>Each</t>
    </r>
  </si>
  <si>
    <r>
      <rPr>
        <b/>
        <sz val="10"/>
        <color theme="1"/>
        <rFont val="Calibri"/>
      </rPr>
      <t>TOTAL CARRIED OVER TO SUMMARY</t>
    </r>
  </si>
  <si>
    <r>
      <rPr>
        <b/>
        <sz val="10"/>
        <color theme="1"/>
        <rFont val="Calibri"/>
      </rPr>
      <t>SUB HEAD C</t>
    </r>
  </si>
  <si>
    <r>
      <rPr>
        <b/>
        <sz val="10"/>
        <color theme="1"/>
        <rFont val="Calibri"/>
      </rPr>
      <t>CHAPTER- 3</t>
    </r>
  </si>
  <si>
    <r>
      <rPr>
        <b/>
        <sz val="10"/>
        <color theme="1"/>
        <rFont val="Calibri"/>
      </rPr>
      <t>RISING MAINS &amp; BUS TRUNKING - ALUMINIUM</t>
    </r>
  </si>
  <si>
    <r>
      <rPr>
        <sz val="10"/>
        <color theme="1"/>
        <rFont val="Calibri"/>
      </rPr>
      <t>MR</t>
    </r>
  </si>
  <si>
    <r>
      <rPr>
        <b/>
        <sz val="10"/>
        <color theme="1"/>
        <rFont val="Calibri"/>
      </rPr>
      <t>RISING MAINS - (UPS POWER) INDOOR (RUNNING IN THE ELECTRICAL SHAFTS/ THROUGH ELECTRICAL ROOMS)</t>
    </r>
  </si>
  <si>
    <r>
      <rPr>
        <sz val="10"/>
        <color rgb="FF000000"/>
        <rFont val="Calibri"/>
      </rPr>
      <t xml:space="preserve">Design, Manufacture, Supply, Installation, Testing, and Commissioning of </t>
    </r>
    <r>
      <rPr>
        <b/>
        <u/>
        <sz val="10"/>
        <color rgb="FF000000"/>
        <rFont val="Calibri"/>
      </rPr>
      <t>Sandwich Bus </t>
    </r>
    <r>
      <rPr>
        <b/>
        <sz val="10"/>
        <color rgb="FF000000"/>
        <rFont val="Calibri"/>
      </rPr>
      <t xml:space="preserve">   </t>
    </r>
    <r>
      <rPr>
        <b/>
        <u/>
        <sz val="10"/>
        <color rgb="FF000000"/>
        <rFont val="Calibri"/>
      </rPr>
      <t>way </t>
    </r>
    <r>
      <rPr>
        <sz val="10"/>
        <color rgb="FF000000"/>
        <rFont val="Calibri"/>
      </rPr>
      <t xml:space="preserve">650 volts system rising mains with cooling Fins, </t>
    </r>
    <r>
      <rPr>
        <b/>
        <u/>
        <sz val="10"/>
        <color rgb="FF000000"/>
        <rFont val="Calibri"/>
      </rPr>
      <t>6bar - 3PH, 2N &amp; 1E Aluminium </t>
    </r>
    <r>
      <rPr>
        <b/>
        <sz val="10"/>
        <color rgb="FF000000"/>
        <rFont val="Calibri"/>
      </rPr>
      <t xml:space="preserve"> </t>
    </r>
    <r>
      <rPr>
        <b/>
        <u/>
        <sz val="10"/>
        <color rgb="FF000000"/>
        <rFont val="Calibri"/>
      </rPr>
      <t>conductor, Class 'F' Insulation,</t>
    </r>
    <r>
      <rPr>
        <b/>
        <sz val="10"/>
        <color rgb="FF000000"/>
        <rFont val="Calibri"/>
      </rPr>
      <t xml:space="preserve"> </t>
    </r>
    <r>
      <rPr>
        <sz val="10"/>
        <color rgb="FF000000"/>
        <rFont val="Calibri"/>
      </rPr>
      <t xml:space="preserve">with aluminium body / powder coated sheet steel enslosure with 2x25x6 aluminium earth tape as earth throughout the continuous length as per specification suitable for </t>
    </r>
    <r>
      <rPr>
        <b/>
        <u/>
        <sz val="10"/>
        <color rgb="FF000000"/>
        <rFont val="Calibri"/>
      </rPr>
      <t>3ph 4wire 50HZ, </t>
    </r>
    <r>
      <rPr>
        <sz val="10"/>
        <color rgb="FF000000"/>
        <rFont val="Calibri"/>
      </rPr>
      <t>of short circuit fault withstand capacity for 1 Sec as specified below.  The bus way shall have system for plug in tap off box at desired levels and single bolt double head section jointing system. Jointing system shall be with thermal sensative temperature indicators. The Tap off boxes shall have Door Interlocking mechanism and mechanical interlocking with Bus duct housing during ‘ON’ position to prevent being taking of in energized condition. Supporting system shall be fail proof even in the earth quake situations, as per sesmic requirement of site.</t>
    </r>
  </si>
  <si>
    <r>
      <rPr>
        <sz val="10"/>
        <color theme="1"/>
        <rFont val="Calibri"/>
      </rPr>
      <t>1. RISING MAINS SUPPORTING SYSTEM TO BE DESIGNED BY A COMPETENT AGENCY TO ENSURE SAFETY OF THE INSTALLATION, BUILDING AND THE PERSONS. CONTRACTOR TO HIRE A SPECIALISED AGENCY FOR DESIGN AND INSTALLATION OF THE RISING MAINS SUPPORT SYSTEM AND ASSUME COMPLETE RESPONSIBILTY ON ADEQUACY OF THE SUPPORT SYSTEM. CONTRACTOR TO SUBMIT A CERTICATE FROM THE STRUCTUAL CONSULTANT ALONG WITH THE DESIGN AND DRAWINGS SUBMITTED TO THE CLIENT/PMC.</t>
    </r>
  </si>
  <si>
    <r>
      <rPr>
        <sz val="10"/>
        <color theme="1"/>
        <rFont val="Calibri"/>
      </rPr>
      <t>2. ALSO QUOTE FOR SESIMIC SUPPORTS AS AN ALTERNATE FOR THE COMPLETE INSTALLATION FOR THE COMPLETE RISING MAIN SYSTEM.</t>
    </r>
  </si>
  <si>
    <r>
      <rPr>
        <b/>
        <sz val="10"/>
        <color theme="1"/>
        <rFont val="Calibri"/>
      </rPr>
      <t>Notes:</t>
    </r>
  </si>
  <si>
    <r>
      <rPr>
        <sz val="10"/>
        <color theme="1"/>
        <rFont val="Calibri"/>
      </rPr>
      <t>a. For Rising Mains, no temperature deration upto 45°C, Ambient temperature.</t>
    </r>
  </si>
  <si>
    <r>
      <rPr>
        <sz val="10"/>
        <color rgb="FF000000"/>
        <rFont val="Calibri"/>
      </rPr>
      <t>b. Flexible connections need to be included in the price and need to be provided as required for thermal expansion/ building expansion joints / panel end connections /</t>
    </r>
    <r>
      <rPr>
        <b/>
        <sz val="10"/>
        <color rgb="FF000000"/>
        <rFont val="Calibri"/>
      </rPr>
      <t>one vertical expansion for every floor.</t>
    </r>
  </si>
  <si>
    <r>
      <rPr>
        <sz val="10"/>
        <color theme="1"/>
        <rFont val="Calibri"/>
      </rPr>
      <t>c. 200% Neutral &amp; 100% Internal earth type Rising Main.</t>
    </r>
  </si>
  <si>
    <r>
      <rPr>
        <sz val="10"/>
        <color theme="1"/>
        <rFont val="Calibri"/>
      </rPr>
      <t>d. 200% sized Neutral as of phase current.</t>
    </r>
  </si>
  <si>
    <r>
      <rPr>
        <b/>
        <sz val="10"/>
        <color theme="1"/>
        <rFont val="Calibri"/>
      </rPr>
      <t>Note: Final configuration of Rising Main, Bus Ducts and Tap Offs to be cross checked from the SLD and details as per SLD shall be final.</t>
    </r>
  </si>
  <si>
    <r>
      <rPr>
        <sz val="10"/>
        <color theme="1"/>
        <rFont val="Calibri"/>
      </rPr>
      <t>MR</t>
    </r>
  </si>
  <si>
    <r>
      <rPr>
        <b/>
        <sz val="10"/>
        <color theme="1"/>
        <rFont val="Calibri"/>
      </rPr>
      <t>RISING MAIN INSIDE ELECTRICAL SHAFT/INSIDE ELECTRICAL ROOM ON TYPICAL FLOORS:- 630Amp</t>
    </r>
  </si>
  <si>
    <r>
      <rPr>
        <sz val="10"/>
        <color theme="1"/>
        <rFont val="Calibri"/>
      </rPr>
      <t>1.1.1</t>
    </r>
  </si>
  <si>
    <r>
      <rPr>
        <sz val="10"/>
        <color theme="1"/>
        <rFont val="Calibri"/>
      </rPr>
      <t>MR</t>
    </r>
  </si>
  <si>
    <r>
      <rPr>
        <sz val="10"/>
        <color rgb="FF000000"/>
        <rFont val="Calibri"/>
      </rPr>
      <t xml:space="preserve">Straight Vertical Run inside Floor Electrical Shaft / Floor Electrical Room - </t>
    </r>
    <r>
      <rPr>
        <b/>
        <sz val="10"/>
        <color rgb="FF000000"/>
        <rFont val="Calibri"/>
      </rPr>
      <t xml:space="preserve">630Amp 25KA, (3P
</t>
    </r>
    <r>
      <rPr>
        <b/>
        <sz val="10"/>
        <color rgb="FF000000"/>
        <rFont val="Calibri"/>
      </rPr>
      <t>+ 2N+1E) Aluminium - (IP55)</t>
    </r>
  </si>
  <si>
    <r>
      <rPr>
        <sz val="10"/>
        <color theme="1"/>
        <rFont val="Calibri"/>
      </rPr>
      <t>RM</t>
    </r>
  </si>
  <si>
    <r>
      <rPr>
        <sz val="10"/>
        <color theme="1"/>
        <rFont val="Calibri"/>
      </rPr>
      <t>1.1.2</t>
    </r>
  </si>
  <si>
    <r>
      <rPr>
        <sz val="10"/>
        <color theme="1"/>
        <rFont val="Calibri"/>
      </rPr>
      <t>MR</t>
    </r>
  </si>
  <si>
    <r>
      <rPr>
        <sz val="10"/>
        <color theme="1"/>
        <rFont val="Calibri"/>
      </rPr>
      <t>Flange End</t>
    </r>
  </si>
  <si>
    <r>
      <rPr>
        <sz val="10"/>
        <color theme="1"/>
        <rFont val="Calibri"/>
      </rPr>
      <t>Nos.</t>
    </r>
  </si>
  <si>
    <r>
      <rPr>
        <sz val="10"/>
        <color theme="1"/>
        <rFont val="Calibri"/>
      </rPr>
      <t>1.1.3</t>
    </r>
  </si>
  <si>
    <r>
      <rPr>
        <sz val="10"/>
        <color theme="1"/>
        <rFont val="Calibri"/>
      </rPr>
      <t>MR</t>
    </r>
  </si>
  <si>
    <r>
      <rPr>
        <sz val="10"/>
        <color theme="1"/>
        <rFont val="Calibri"/>
      </rPr>
      <t>Vertical Expansion Joints inside Floor Electrical Shaft / Floor Electrical Room - 630Amp 25KA, (3P + 2N+1E) Aluminium - (IP55)</t>
    </r>
  </si>
  <si>
    <r>
      <rPr>
        <sz val="10"/>
        <color theme="1"/>
        <rFont val="Calibri"/>
      </rPr>
      <t>Nos.</t>
    </r>
  </si>
  <si>
    <r>
      <rPr>
        <sz val="10"/>
        <color theme="1"/>
        <rFont val="Calibri"/>
      </rPr>
      <t>1.1.4</t>
    </r>
  </si>
  <si>
    <r>
      <rPr>
        <sz val="10"/>
        <color theme="1"/>
        <rFont val="Calibri"/>
      </rPr>
      <t>MR</t>
    </r>
  </si>
  <si>
    <r>
      <rPr>
        <sz val="10"/>
        <color theme="1"/>
        <rFont val="Calibri"/>
      </rPr>
      <t>End Cap at top (at last floor) (IP55)</t>
    </r>
  </si>
  <si>
    <r>
      <rPr>
        <sz val="10"/>
        <color theme="1"/>
        <rFont val="Calibri"/>
      </rPr>
      <t>Nos.</t>
    </r>
  </si>
  <si>
    <r>
      <rPr>
        <sz val="10"/>
        <color theme="1"/>
        <rFont val="Calibri"/>
      </rPr>
      <t>1.1.5</t>
    </r>
  </si>
  <si>
    <r>
      <rPr>
        <sz val="10"/>
        <color theme="1"/>
        <rFont val="Calibri"/>
      </rPr>
      <t>MR</t>
    </r>
  </si>
  <si>
    <r>
      <rPr>
        <sz val="10"/>
        <color theme="1"/>
        <rFont val="Calibri"/>
      </rPr>
      <t>Copper Flexible-Braided Type, Max Length-300 mm</t>
    </r>
  </si>
  <si>
    <r>
      <rPr>
        <sz val="10"/>
        <color theme="1"/>
        <rFont val="Calibri"/>
      </rPr>
      <t>Nos.</t>
    </r>
  </si>
  <si>
    <r>
      <rPr>
        <sz val="10"/>
        <color theme="1"/>
        <rFont val="Calibri"/>
      </rPr>
      <t>1.1.6</t>
    </r>
  </si>
  <si>
    <r>
      <rPr>
        <sz val="10"/>
        <color theme="1"/>
        <rFont val="Calibri"/>
      </rPr>
      <t>MR</t>
    </r>
  </si>
  <si>
    <r>
      <rPr>
        <sz val="10"/>
        <color theme="1"/>
        <rFont val="Calibri"/>
      </rPr>
      <t>GI Fabriacted Support to Install Rising Main @ 4 Nos at every Floor</t>
    </r>
  </si>
  <si>
    <r>
      <rPr>
        <sz val="10"/>
        <color theme="1"/>
        <rFont val="Calibri"/>
      </rPr>
      <t>Nos.</t>
    </r>
  </si>
  <si>
    <r>
      <rPr>
        <sz val="10"/>
        <color theme="1"/>
        <rFont val="Calibri"/>
      </rPr>
      <t>1.1.7</t>
    </r>
  </si>
  <si>
    <r>
      <rPr>
        <sz val="10"/>
        <color theme="1"/>
        <rFont val="Calibri"/>
      </rPr>
      <t>MR</t>
    </r>
  </si>
  <si>
    <r>
      <rPr>
        <sz val="10"/>
        <color theme="1"/>
        <rFont val="Calibri"/>
      </rPr>
      <t>Vertical Bends</t>
    </r>
  </si>
  <si>
    <r>
      <rPr>
        <sz val="10"/>
        <color theme="1"/>
        <rFont val="Calibri"/>
      </rPr>
      <t>Nos.</t>
    </r>
  </si>
  <si>
    <r>
      <rPr>
        <sz val="10"/>
        <color theme="1"/>
        <rFont val="Calibri"/>
      </rPr>
      <t>1.1.8</t>
    </r>
  </si>
  <si>
    <r>
      <rPr>
        <sz val="10"/>
        <color theme="1"/>
        <rFont val="Calibri"/>
      </rPr>
      <t>MR</t>
    </r>
  </si>
  <si>
    <r>
      <rPr>
        <sz val="10"/>
        <color theme="1"/>
        <rFont val="Calibri"/>
      </rPr>
      <t>Horizontal Bends</t>
    </r>
  </si>
  <si>
    <r>
      <rPr>
        <sz val="10"/>
        <color theme="1"/>
        <rFont val="Calibri"/>
      </rPr>
      <t>Nos.</t>
    </r>
  </si>
  <si>
    <r>
      <rPr>
        <sz val="10"/>
        <color theme="1"/>
        <rFont val="Calibri"/>
      </rPr>
      <t>MR</t>
    </r>
  </si>
  <si>
    <r>
      <rPr>
        <b/>
        <sz val="10"/>
        <color theme="1"/>
        <rFont val="Calibri"/>
      </rPr>
      <t>RISING MAIN INSIDE ELECTRICAL SHAFT/INSIDE ELECTRICAL ROOM ON TYPICAL FLOORS:-  - 1000Amp</t>
    </r>
  </si>
  <si>
    <r>
      <rPr>
        <sz val="10"/>
        <color theme="1"/>
        <rFont val="Calibri"/>
      </rPr>
      <t>1.2.1</t>
    </r>
  </si>
  <si>
    <r>
      <rPr>
        <sz val="10"/>
        <color theme="1"/>
        <rFont val="Calibri"/>
      </rPr>
      <t>MR</t>
    </r>
  </si>
  <si>
    <r>
      <rPr>
        <sz val="10"/>
        <color rgb="FF000000"/>
        <rFont val="Calibri"/>
      </rPr>
      <t xml:space="preserve">Straight Vertical Run inside Floor Electrical Shaft / Floor Electrical Room - </t>
    </r>
    <r>
      <rPr>
        <b/>
        <sz val="10"/>
        <color rgb="FF000000"/>
        <rFont val="Calibri"/>
      </rPr>
      <t>1000Amp 25KA, (3P + 2N+1E) Aluminium - (IP55)</t>
    </r>
  </si>
  <si>
    <r>
      <rPr>
        <sz val="10"/>
        <color theme="1"/>
        <rFont val="Calibri"/>
      </rPr>
      <t>RM</t>
    </r>
  </si>
  <si>
    <r>
      <rPr>
        <sz val="10"/>
        <color theme="1"/>
        <rFont val="Calibri"/>
      </rPr>
      <t>1.2.2</t>
    </r>
  </si>
  <si>
    <r>
      <rPr>
        <sz val="10"/>
        <color theme="1"/>
        <rFont val="Calibri"/>
      </rPr>
      <t>MR</t>
    </r>
  </si>
  <si>
    <r>
      <rPr>
        <sz val="10"/>
        <color theme="1"/>
        <rFont val="Calibri"/>
      </rPr>
      <t>Flange End</t>
    </r>
  </si>
  <si>
    <r>
      <rPr>
        <sz val="10"/>
        <color theme="1"/>
        <rFont val="Calibri"/>
      </rPr>
      <t>Nos.</t>
    </r>
  </si>
  <si>
    <r>
      <rPr>
        <sz val="10"/>
        <color theme="1"/>
        <rFont val="Calibri"/>
      </rPr>
      <t>1.2.3</t>
    </r>
  </si>
  <si>
    <r>
      <rPr>
        <sz val="10"/>
        <color theme="1"/>
        <rFont val="Calibri"/>
      </rPr>
      <t>MR</t>
    </r>
  </si>
  <si>
    <r>
      <rPr>
        <sz val="10"/>
        <color theme="1"/>
        <rFont val="Calibri"/>
      </rPr>
      <t>Vertical Expansion Joints inside Floor Electrical Shaft / Floor Electrical Room - 1000Amp 25KA, (3P + 2N+1E) Aluminium - (IP55)</t>
    </r>
  </si>
  <si>
    <r>
      <rPr>
        <sz val="10"/>
        <color theme="1"/>
        <rFont val="Calibri"/>
      </rPr>
      <t>Nos.</t>
    </r>
  </si>
  <si>
    <r>
      <rPr>
        <sz val="10"/>
        <color theme="1"/>
        <rFont val="Calibri"/>
      </rPr>
      <t>1.2.4</t>
    </r>
  </si>
  <si>
    <r>
      <rPr>
        <sz val="10"/>
        <color theme="1"/>
        <rFont val="Calibri"/>
      </rPr>
      <t>MR</t>
    </r>
  </si>
  <si>
    <r>
      <rPr>
        <sz val="10"/>
        <color theme="1"/>
        <rFont val="Calibri"/>
      </rPr>
      <t>End Cap at top (at last floor) (IP55)</t>
    </r>
  </si>
  <si>
    <r>
      <rPr>
        <sz val="10"/>
        <color theme="1"/>
        <rFont val="Calibri"/>
      </rPr>
      <t>Nos.</t>
    </r>
  </si>
  <si>
    <r>
      <rPr>
        <sz val="10"/>
        <color theme="1"/>
        <rFont val="Calibri"/>
      </rPr>
      <t>1.2.5</t>
    </r>
  </si>
  <si>
    <r>
      <rPr>
        <sz val="10"/>
        <color theme="1"/>
        <rFont val="Calibri"/>
      </rPr>
      <t>MR</t>
    </r>
  </si>
  <si>
    <r>
      <rPr>
        <sz val="10"/>
        <color theme="1"/>
        <rFont val="Calibri"/>
      </rPr>
      <t>Copper Flexible-Braided Type, Max Length-300 mm</t>
    </r>
  </si>
  <si>
    <r>
      <rPr>
        <sz val="10"/>
        <color theme="1"/>
        <rFont val="Calibri"/>
      </rPr>
      <t>Nos.</t>
    </r>
  </si>
  <si>
    <r>
      <rPr>
        <sz val="10"/>
        <color theme="1"/>
        <rFont val="Calibri"/>
      </rPr>
      <t>1.2.6</t>
    </r>
  </si>
  <si>
    <r>
      <rPr>
        <sz val="10"/>
        <color theme="1"/>
        <rFont val="Calibri"/>
      </rPr>
      <t>MR</t>
    </r>
  </si>
  <si>
    <r>
      <rPr>
        <sz val="10"/>
        <color theme="1"/>
        <rFont val="Calibri"/>
      </rPr>
      <t>GI Fabriacted Support to Install Rising Main @ 4 Nos at every Floor</t>
    </r>
  </si>
  <si>
    <r>
      <rPr>
        <sz val="10"/>
        <color theme="1"/>
        <rFont val="Calibri"/>
      </rPr>
      <t>Nos.</t>
    </r>
  </si>
  <si>
    <r>
      <rPr>
        <sz val="10"/>
        <color theme="1"/>
        <rFont val="Calibri"/>
      </rPr>
      <t>1.2.7</t>
    </r>
  </si>
  <si>
    <r>
      <rPr>
        <sz val="10"/>
        <color theme="1"/>
        <rFont val="Calibri"/>
      </rPr>
      <t>MR</t>
    </r>
  </si>
  <si>
    <r>
      <rPr>
        <sz val="10"/>
        <color theme="1"/>
        <rFont val="Calibri"/>
      </rPr>
      <t>Vertical Bends</t>
    </r>
  </si>
  <si>
    <r>
      <rPr>
        <sz val="10"/>
        <color theme="1"/>
        <rFont val="Calibri"/>
      </rPr>
      <t>Nos.</t>
    </r>
  </si>
  <si>
    <r>
      <rPr>
        <sz val="10"/>
        <color theme="1"/>
        <rFont val="Calibri"/>
      </rPr>
      <t>1.2.8</t>
    </r>
  </si>
  <si>
    <r>
      <rPr>
        <sz val="10"/>
        <color theme="1"/>
        <rFont val="Calibri"/>
      </rPr>
      <t>MR</t>
    </r>
  </si>
  <si>
    <r>
      <rPr>
        <sz val="10"/>
        <color theme="1"/>
        <rFont val="Calibri"/>
      </rPr>
      <t>Horizontal Bends</t>
    </r>
  </si>
  <si>
    <r>
      <rPr>
        <sz val="10"/>
        <color theme="1"/>
        <rFont val="Calibri"/>
      </rPr>
      <t>Nos.</t>
    </r>
  </si>
  <si>
    <r>
      <rPr>
        <b/>
        <sz val="10"/>
        <color theme="1"/>
        <rFont val="Calibri"/>
      </rPr>
      <t>TAP-OFF BOXES - INDOOR:</t>
    </r>
  </si>
  <si>
    <r>
      <rPr>
        <sz val="10"/>
        <color rgb="FF000000"/>
        <rFont val="Calibri"/>
      </rPr>
      <t xml:space="preserve">Supply and installation of following </t>
    </r>
    <r>
      <rPr>
        <b/>
        <sz val="10"/>
        <color rgb="FF000000"/>
        <rFont val="Calibri"/>
      </rPr>
      <t xml:space="preserve">3P MCCB + 2N Link </t>
    </r>
    <r>
      <rPr>
        <sz val="10"/>
        <color rgb="FF000000"/>
        <rFont val="Calibri"/>
      </rPr>
      <t xml:space="preserve">of breaking capacity as called for, for fixing in the incoming </t>
    </r>
    <r>
      <rPr>
        <b/>
        <sz val="10"/>
        <color rgb="FF000000"/>
        <rFont val="Calibri"/>
      </rPr>
      <t xml:space="preserve">Tap-off box. </t>
    </r>
    <r>
      <rPr>
        <sz val="10"/>
        <color rgb="FF000000"/>
        <rFont val="Calibri"/>
      </rPr>
      <t xml:space="preserve">Tap-off box housing shall be fabricated out of 14G CRCA painted or powder coated (as approved) sheet steel. The tap-off box should be factory fabricated and complete with solid aluminium links of rated capacity from MCCB to rising mains and suitable size of  gland plate etc.The tap-off box shall be suitable for termination of  XLPE insulated Al. conductor armoured cable including shrouding of terminal ends. as required. </t>
    </r>
    <r>
      <rPr>
        <b/>
        <sz val="10"/>
        <color rgb="FF000000"/>
        <rFont val="Calibri"/>
      </rPr>
      <t>(On UPS IT + WS Rising Mains)</t>
    </r>
  </si>
  <si>
    <r>
      <rPr>
        <sz val="10"/>
        <color theme="1"/>
        <rFont val="Calibri"/>
      </rPr>
      <t>1.3.1</t>
    </r>
  </si>
  <si>
    <r>
      <rPr>
        <sz val="10"/>
        <color theme="1"/>
        <rFont val="Calibri"/>
      </rPr>
      <t>MR</t>
    </r>
  </si>
  <si>
    <r>
      <rPr>
        <sz val="10"/>
        <color theme="1"/>
        <rFont val="Calibri"/>
      </rPr>
      <t>100Amp,  3P MCCB + 2N Link with fixed thermal &amp; magnetic releases  (IP55). Fault Rating: 25 KA</t>
    </r>
  </si>
  <si>
    <r>
      <rPr>
        <sz val="10"/>
        <color theme="1"/>
        <rFont val="Calibri"/>
      </rPr>
      <t>Nos.</t>
    </r>
  </si>
  <si>
    <r>
      <rPr>
        <sz val="10"/>
        <color theme="1"/>
        <rFont val="Calibri"/>
      </rPr>
      <t>1.3.2</t>
    </r>
  </si>
  <si>
    <r>
      <rPr>
        <sz val="10"/>
        <color theme="1"/>
        <rFont val="Calibri"/>
      </rPr>
      <t>MR</t>
    </r>
  </si>
  <si>
    <r>
      <rPr>
        <sz val="10"/>
        <color theme="1"/>
        <rFont val="Calibri"/>
      </rPr>
      <t>160Amp,  3P MCCB + 2N Link with fixed thermal &amp; magnetic releases  (IP55). Fault Rating: 25 KA</t>
    </r>
  </si>
  <si>
    <r>
      <rPr>
        <sz val="10"/>
        <color theme="1"/>
        <rFont val="Calibri"/>
      </rPr>
      <t>Nos.</t>
    </r>
  </si>
  <si>
    <r>
      <rPr>
        <sz val="10"/>
        <color theme="1"/>
        <rFont val="Calibri"/>
      </rPr>
      <t>1.3.3</t>
    </r>
  </si>
  <si>
    <r>
      <rPr>
        <sz val="10"/>
        <color theme="1"/>
        <rFont val="Calibri"/>
      </rPr>
      <t>MR</t>
    </r>
  </si>
  <si>
    <r>
      <rPr>
        <sz val="10"/>
        <color theme="1"/>
        <rFont val="Calibri"/>
      </rPr>
      <t>200Amp,  3P MCCB + 2N Link with fixed thermal &amp; magnetic releases  (IP55). Fault Rating: 25 KA</t>
    </r>
  </si>
  <si>
    <r>
      <rPr>
        <sz val="10"/>
        <color theme="1"/>
        <rFont val="Calibri"/>
      </rPr>
      <t>Nos.</t>
    </r>
  </si>
  <si>
    <r>
      <rPr>
        <sz val="10"/>
        <color theme="1"/>
        <rFont val="Calibri"/>
      </rPr>
      <t>1.3.4</t>
    </r>
  </si>
  <si>
    <r>
      <rPr>
        <sz val="10"/>
        <color theme="1"/>
        <rFont val="Calibri"/>
      </rPr>
      <t>MR</t>
    </r>
  </si>
  <si>
    <r>
      <rPr>
        <sz val="10"/>
        <color theme="1"/>
        <rFont val="Calibri"/>
      </rPr>
      <t>63Amp,  3P MCCB + 2N Link with fixed thermal &amp; magnetic releases  (IP55). Fault Rating: 25 KA</t>
    </r>
  </si>
  <si>
    <r>
      <rPr>
        <sz val="10"/>
        <color theme="1"/>
        <rFont val="Calibri"/>
      </rPr>
      <t>Nos.</t>
    </r>
  </si>
  <si>
    <r>
      <rPr>
        <sz val="10"/>
        <color theme="1"/>
        <rFont val="Calibri"/>
      </rPr>
      <t>Note:</t>
    </r>
  </si>
  <si>
    <r>
      <rPr>
        <sz val="10"/>
        <color rgb="FF000000"/>
        <rFont val="Calibri"/>
      </rPr>
      <t xml:space="preserve">1. The aluminium housing shall serve as a continuous protective earth (PE) conductor. With a
</t>
    </r>
    <r>
      <rPr>
        <sz val="10"/>
        <color rgb="FF000000"/>
        <rFont val="Calibri"/>
      </rPr>
      <t xml:space="preserve">housing size of 2.5 mm², which exceeds the required earthing size, external earthing is not
</t>
    </r>
    <r>
      <rPr>
        <sz val="10"/>
        <color rgb="FF000000"/>
        <rFont val="Calibri"/>
      </rPr>
      <t>necessary.</t>
    </r>
  </si>
  <si>
    <r>
      <rPr>
        <sz val="10"/>
        <color rgb="FF000000"/>
        <rFont val="Calibri"/>
      </rPr>
      <t xml:space="preserve">2. </t>
    </r>
    <r>
      <rPr>
        <b/>
        <sz val="10"/>
        <color rgb="FF000000"/>
        <rFont val="Calibri"/>
      </rPr>
      <t>Busbar system shall have CE marking</t>
    </r>
  </si>
  <si>
    <r>
      <rPr>
        <b/>
        <sz val="10"/>
        <color theme="1"/>
        <rFont val="Calibri"/>
      </rPr>
      <t>BUS BAR TRACK FOR RACKS POWER SUPPLY</t>
    </r>
  </si>
  <si>
    <r>
      <rPr>
        <sz val="10"/>
        <color theme="1"/>
        <rFont val="Calibri"/>
      </rPr>
      <t>Design, Supply, installation, testing and commissioning of 4W  Aluminium Bus Bar System for Racks with Accessories as follows:</t>
    </r>
  </si>
  <si>
    <r>
      <rPr>
        <sz val="10"/>
        <color theme="1"/>
        <rFont val="Calibri"/>
      </rPr>
      <t>MR</t>
    </r>
  </si>
  <si>
    <r>
      <rPr>
        <sz val="10"/>
        <color rgb="FF000000"/>
        <rFont val="Calibri"/>
      </rPr>
      <t xml:space="preserve">Straight Feeder </t>
    </r>
    <r>
      <rPr>
        <b/>
        <sz val="10"/>
        <color rgb="FF000000"/>
        <rFont val="Calibri"/>
      </rPr>
      <t xml:space="preserve">100 A (3 Mtrs Length) </t>
    </r>
    <r>
      <rPr>
        <sz val="10"/>
        <color rgb="FF000000"/>
        <rFont val="Calibri"/>
      </rPr>
      <t xml:space="preserve">with IP-55 Protection is 4W (3P+100%Neutral +100%
</t>
    </r>
    <r>
      <rPr>
        <sz val="10"/>
        <color rgb="FF000000"/>
        <rFont val="Calibri"/>
      </rPr>
      <t>+ PE(As housing)</t>
    </r>
  </si>
  <si>
    <r>
      <rPr>
        <sz val="10"/>
        <color theme="1"/>
        <rFont val="Calibri"/>
      </rPr>
      <t>Meter</t>
    </r>
  </si>
  <si>
    <r>
      <rPr>
        <sz val="10"/>
        <color theme="1"/>
        <rFont val="Calibri"/>
      </rPr>
      <t>MR</t>
    </r>
  </si>
  <si>
    <r>
      <rPr>
        <sz val="10"/>
        <color theme="1"/>
        <rFont val="Calibri"/>
      </rPr>
      <t>Support Bracket (at 1.5 Mtr Interval)</t>
    </r>
  </si>
  <si>
    <r>
      <rPr>
        <sz val="10"/>
        <color theme="1"/>
        <rFont val="Calibri"/>
      </rPr>
      <t>Nos.</t>
    </r>
  </si>
  <si>
    <r>
      <rPr>
        <sz val="10"/>
        <color theme="1"/>
        <rFont val="Calibri"/>
      </rPr>
      <t>MR</t>
    </r>
  </si>
  <si>
    <r>
      <rPr>
        <sz val="10"/>
        <color theme="1"/>
        <rFont val="Calibri"/>
      </rPr>
      <t>100A End Feed Unit</t>
    </r>
  </si>
  <si>
    <r>
      <rPr>
        <sz val="10"/>
        <color theme="1"/>
        <rFont val="Calibri"/>
      </rPr>
      <t>Nos.</t>
    </r>
  </si>
  <si>
    <r>
      <rPr>
        <sz val="10"/>
        <color theme="1"/>
        <rFont val="Calibri"/>
      </rPr>
      <t>MR</t>
    </r>
  </si>
  <si>
    <r>
      <rPr>
        <sz val="10"/>
        <color theme="1"/>
        <rFont val="Calibri"/>
      </rPr>
      <t>End Cover</t>
    </r>
  </si>
  <si>
    <r>
      <rPr>
        <sz val="10"/>
        <color theme="1"/>
        <rFont val="Calibri"/>
      </rPr>
      <t>Nos.</t>
    </r>
  </si>
  <si>
    <r>
      <rPr>
        <sz val="10"/>
        <color theme="1"/>
        <rFont val="Calibri"/>
      </rPr>
      <t>MR</t>
    </r>
  </si>
  <si>
    <r>
      <rPr>
        <sz val="10"/>
        <color theme="1"/>
        <rFont val="Calibri"/>
      </rPr>
      <t>40 A Tap Off Boxes</t>
    </r>
  </si>
  <si>
    <r>
      <rPr>
        <sz val="10"/>
        <color theme="1"/>
        <rFont val="Calibri"/>
      </rPr>
      <t>Sets</t>
    </r>
  </si>
  <si>
    <r>
      <rPr>
        <sz val="10"/>
        <color theme="1"/>
        <rFont val="Calibri"/>
      </rPr>
      <t>Design, Supply, installation, testing and commissioning of 4W  Copper Bus Bar System for Server Room with Accessories as follows:</t>
    </r>
  </si>
  <si>
    <r>
      <rPr>
        <sz val="10"/>
        <color theme="1"/>
        <rFont val="Calibri"/>
      </rPr>
      <t>MR</t>
    </r>
  </si>
  <si>
    <r>
      <rPr>
        <sz val="10"/>
        <color rgb="FF000000"/>
        <rFont val="Calibri"/>
      </rPr>
      <t xml:space="preserve">Straight Feeder </t>
    </r>
    <r>
      <rPr>
        <b/>
        <sz val="10"/>
        <color rgb="FF000000"/>
        <rFont val="Calibri"/>
      </rPr>
      <t xml:space="preserve">250 A (3 Mtrs Length) </t>
    </r>
    <r>
      <rPr>
        <sz val="10"/>
        <color rgb="FF000000"/>
        <rFont val="Calibri"/>
      </rPr>
      <t xml:space="preserve">with IP-55 Protection is 4W (3P+100%Neutral +100%
</t>
    </r>
    <r>
      <rPr>
        <sz val="10"/>
        <color rgb="FF000000"/>
        <rFont val="Calibri"/>
      </rPr>
      <t>+ PE(As housing)</t>
    </r>
  </si>
  <si>
    <r>
      <rPr>
        <sz val="10"/>
        <color theme="1"/>
        <rFont val="Calibri"/>
      </rPr>
      <t>Meter</t>
    </r>
  </si>
  <si>
    <r>
      <rPr>
        <sz val="10"/>
        <color theme="1"/>
        <rFont val="Calibri"/>
      </rPr>
      <t>MR</t>
    </r>
  </si>
  <si>
    <r>
      <rPr>
        <sz val="10"/>
        <color theme="1"/>
        <rFont val="Calibri"/>
      </rPr>
      <t>Support Bracket (at 1.5 Mtr Interval)</t>
    </r>
  </si>
  <si>
    <r>
      <rPr>
        <sz val="10"/>
        <color theme="1"/>
        <rFont val="Calibri"/>
      </rPr>
      <t>Nos.</t>
    </r>
  </si>
  <si>
    <r>
      <rPr>
        <sz val="10"/>
        <color theme="1"/>
        <rFont val="Calibri"/>
      </rPr>
      <t>MR</t>
    </r>
  </si>
  <si>
    <r>
      <rPr>
        <sz val="10"/>
        <color theme="1"/>
        <rFont val="Calibri"/>
      </rPr>
      <t>250A End Feed Unit</t>
    </r>
  </si>
  <si>
    <r>
      <rPr>
        <sz val="10"/>
        <color theme="1"/>
        <rFont val="Calibri"/>
      </rPr>
      <t>Nos.</t>
    </r>
  </si>
  <si>
    <r>
      <rPr>
        <sz val="10"/>
        <color theme="1"/>
        <rFont val="Calibri"/>
      </rPr>
      <t>MR</t>
    </r>
  </si>
  <si>
    <r>
      <rPr>
        <sz val="10"/>
        <color theme="1"/>
        <rFont val="Calibri"/>
      </rPr>
      <t>End Cover</t>
    </r>
  </si>
  <si>
    <r>
      <rPr>
        <sz val="10"/>
        <color theme="1"/>
        <rFont val="Calibri"/>
      </rPr>
      <t>Nos.</t>
    </r>
  </si>
  <si>
    <r>
      <rPr>
        <sz val="10"/>
        <color theme="1"/>
        <rFont val="Calibri"/>
      </rPr>
      <t>MR</t>
    </r>
  </si>
  <si>
    <r>
      <rPr>
        <sz val="10"/>
        <color theme="1"/>
        <rFont val="Calibri"/>
      </rPr>
      <t>40 A Tap Off Boxes</t>
    </r>
  </si>
  <si>
    <r>
      <rPr>
        <sz val="10"/>
        <color theme="1"/>
        <rFont val="Calibri"/>
      </rPr>
      <t>Sets</t>
    </r>
  </si>
  <si>
    <r>
      <rPr>
        <sz val="10"/>
        <color theme="1"/>
        <rFont val="Calibri"/>
      </rPr>
      <t>Note: Cost to include visit to  OEM factory before delivery of materials at site for a FAT, process and quality inspection of the proposed materials in the tender under this head for 3 persons from user / project manager / designer firm.</t>
    </r>
  </si>
  <si>
    <r>
      <rPr>
        <b/>
        <sz val="10"/>
        <color theme="1"/>
        <rFont val="Calibri"/>
      </rPr>
      <t>TOTAL CARRIED OVER TO SUMMARY</t>
    </r>
  </si>
  <si>
    <r>
      <rPr>
        <b/>
        <sz val="10"/>
        <color theme="1"/>
        <rFont val="Calibri"/>
      </rPr>
      <t>SUB HEAD D</t>
    </r>
  </si>
  <si>
    <r>
      <rPr>
        <b/>
        <sz val="10"/>
        <color theme="1"/>
        <rFont val="Calibri"/>
      </rPr>
      <t>BUS BAR TRACK FOR LIGHTING</t>
    </r>
  </si>
  <si>
    <r>
      <rPr>
        <sz val="10"/>
        <color theme="1"/>
        <rFont val="Calibri"/>
      </rPr>
      <t>Design, Supply, installation, testing and commissioning of 8W (4W) Copper Bus Bar System for Lighting with Accessories as follows:</t>
    </r>
  </si>
  <si>
    <r>
      <rPr>
        <sz val="10"/>
        <color theme="1"/>
        <rFont val="Calibri"/>
      </rPr>
      <t>MR</t>
    </r>
  </si>
  <si>
    <r>
      <rPr>
        <sz val="10"/>
        <color theme="1"/>
        <rFont val="Calibri"/>
      </rPr>
      <t>Straight Feeder 25 A (3 Mtrs Length) with IP-55 Protection is [4W], (3P+100%Neutral +100% + PE(As housing) +(3P+100%Neutral +100% + PE(As housing)</t>
    </r>
  </si>
  <si>
    <r>
      <rPr>
        <sz val="10"/>
        <color theme="1"/>
        <rFont val="Calibri"/>
      </rPr>
      <t>Meter</t>
    </r>
  </si>
  <si>
    <r>
      <rPr>
        <sz val="10"/>
        <color theme="1"/>
        <rFont val="Calibri"/>
      </rPr>
      <t>MR</t>
    </r>
  </si>
  <si>
    <r>
      <rPr>
        <sz val="10"/>
        <color theme="1"/>
        <rFont val="Calibri"/>
      </rPr>
      <t>DL Lighting Fitting Bracket (at 1.5 Mtr Interval)</t>
    </r>
  </si>
  <si>
    <r>
      <rPr>
        <sz val="10"/>
        <color theme="1"/>
        <rFont val="Calibri"/>
      </rPr>
      <t>Nos.</t>
    </r>
  </si>
  <si>
    <r>
      <rPr>
        <sz val="10"/>
        <color theme="1"/>
        <rFont val="Calibri"/>
      </rPr>
      <t>MR</t>
    </r>
  </si>
  <si>
    <r>
      <rPr>
        <sz val="10"/>
        <color theme="1"/>
        <rFont val="Calibri"/>
      </rPr>
      <t>25A End Feed Unit</t>
    </r>
  </si>
  <si>
    <r>
      <rPr>
        <sz val="10"/>
        <color theme="1"/>
        <rFont val="Calibri"/>
      </rPr>
      <t>Nos.</t>
    </r>
  </si>
  <si>
    <r>
      <rPr>
        <sz val="10"/>
        <color theme="1"/>
        <rFont val="Calibri"/>
      </rPr>
      <t>MR</t>
    </r>
  </si>
  <si>
    <r>
      <rPr>
        <sz val="10"/>
        <color theme="1"/>
        <rFont val="Calibri"/>
      </rPr>
      <t>End Cover</t>
    </r>
  </si>
  <si>
    <r>
      <rPr>
        <sz val="10"/>
        <color theme="1"/>
        <rFont val="Calibri"/>
      </rPr>
      <t>Nos.</t>
    </r>
  </si>
  <si>
    <r>
      <rPr>
        <sz val="10"/>
        <color theme="1"/>
        <rFont val="Calibri"/>
      </rPr>
      <t>MR</t>
    </r>
  </si>
  <si>
    <r>
      <rPr>
        <sz val="10"/>
        <color theme="1"/>
        <rFont val="Calibri"/>
      </rPr>
      <t>Flexible Joints</t>
    </r>
  </si>
  <si>
    <r>
      <rPr>
        <sz val="10"/>
        <color theme="1"/>
        <rFont val="Calibri"/>
      </rPr>
      <t>Nos.</t>
    </r>
  </si>
  <si>
    <r>
      <rPr>
        <sz val="10"/>
        <color theme="1"/>
        <rFont val="Calibri"/>
      </rPr>
      <t>MR</t>
    </r>
  </si>
  <si>
    <r>
      <rPr>
        <sz val="10"/>
        <color theme="1"/>
        <rFont val="Calibri"/>
      </rPr>
      <t>10/16 A Single Phase Tap Off Boxes with fuse</t>
    </r>
  </si>
  <si>
    <r>
      <rPr>
        <sz val="10"/>
        <color theme="1"/>
        <rFont val="Calibri"/>
      </rPr>
      <t>Sets</t>
    </r>
  </si>
  <si>
    <r>
      <rPr>
        <sz val="10"/>
        <color theme="1"/>
        <rFont val="Calibri"/>
      </rPr>
      <t>MR</t>
    </r>
  </si>
  <si>
    <r>
      <rPr>
        <sz val="10"/>
        <color theme="1"/>
        <rFont val="Calibri"/>
      </rPr>
      <t>Support</t>
    </r>
  </si>
  <si>
    <r>
      <rPr>
        <sz val="10"/>
        <color theme="1"/>
        <rFont val="Calibri"/>
      </rPr>
      <t>Lot</t>
    </r>
  </si>
  <si>
    <r>
      <rPr>
        <sz val="10"/>
        <color theme="1"/>
        <rFont val="Calibri"/>
      </rPr>
      <t>Note:</t>
    </r>
  </si>
  <si>
    <r>
      <rPr>
        <sz val="10"/>
        <color rgb="FF000000"/>
        <rFont val="Calibri"/>
      </rPr>
      <t xml:space="preserve">1. The aluminium housing shall serve as a continuous protective earth (PE) conductor. With a housing size of 2.5 mm², which exceeds the required earthing size, external earthing is not necessary.
</t>
    </r>
    <r>
      <rPr>
        <sz val="10"/>
        <color rgb="FF000000"/>
        <rFont val="Calibri"/>
      </rPr>
      <t xml:space="preserve">2. Test certificate at 50–55° shall be required.
</t>
    </r>
    <r>
      <rPr>
        <sz val="10"/>
        <color rgb="FF000000"/>
        <rFont val="Calibri"/>
      </rPr>
      <t xml:space="preserve">3. Hanging arrangement shall be inclusive of busduct supply.
</t>
    </r>
    <r>
      <rPr>
        <sz val="10"/>
        <color rgb="FF000000"/>
        <rFont val="Calibri"/>
      </rPr>
      <t>4. Cost to include visit to  OEM factory before delivery of materials at site for a FAT, process and quality inspection of the proposed materials in the tender under this head for 3 persons from user / project manager / designer firm.</t>
    </r>
  </si>
  <si>
    <r>
      <rPr>
        <b/>
        <sz val="10"/>
        <color theme="1"/>
        <rFont val="Calibri"/>
      </rPr>
      <t>TOTAL CARRIED OVER TO SUMMARY</t>
    </r>
  </si>
  <si>
    <r>
      <rPr>
        <b/>
        <sz val="10"/>
        <color theme="1"/>
        <rFont val="Calibri"/>
      </rPr>
      <t>SUB HEAD E</t>
    </r>
  </si>
  <si>
    <r>
      <rPr>
        <b/>
        <sz val="10"/>
        <color theme="1"/>
        <rFont val="Calibri"/>
      </rPr>
      <t>CHAPTER- 4</t>
    </r>
  </si>
  <si>
    <r>
      <rPr>
        <b/>
        <sz val="10"/>
        <color theme="1"/>
        <rFont val="Calibri"/>
      </rPr>
      <t>CABLE TRAYS &amp; RACEWAY</t>
    </r>
  </si>
  <si>
    <r>
      <rPr>
        <b/>
        <sz val="10"/>
        <color theme="1"/>
        <rFont val="Calibri"/>
      </rPr>
      <t>Hot Dipped Galvanized Iron Cable Tray</t>
    </r>
  </si>
  <si>
    <r>
      <rPr>
        <sz val="10"/>
        <color theme="1"/>
        <rFont val="Calibri"/>
      </rPr>
      <t>DSR-2025- 4.6</t>
    </r>
  </si>
  <si>
    <r>
      <rPr>
        <sz val="10"/>
        <color theme="1"/>
        <rFont val="Calibri"/>
      </rPr>
      <t>Supplying and installing following size of perforated Hot Dipped Galvanised  Iron cable tray (Galvanisation thickness not less than 50 microns) with perforation not more than 17.5%, in convenient sections, joined with connectors, suspended from the ceiling with  two numbers GI Suspenders i/c base of suitable size GI angle, GI bolts &amp; nuts,  fastner etc as required.</t>
    </r>
  </si>
  <si>
    <r>
      <rPr>
        <sz val="10"/>
        <color theme="1"/>
        <rFont val="Calibri"/>
      </rPr>
      <t>a.</t>
    </r>
  </si>
  <si>
    <r>
      <rPr>
        <sz val="10"/>
        <color theme="1"/>
        <rFont val="Calibri"/>
      </rPr>
      <t>DSR-2025- 4.6.2</t>
    </r>
  </si>
  <si>
    <r>
      <rPr>
        <sz val="10"/>
        <color theme="1"/>
        <rFont val="Calibri"/>
      </rPr>
      <t>150 mm width X 50 mm depth X 1.6 mm thickness</t>
    </r>
  </si>
  <si>
    <r>
      <rPr>
        <sz val="10"/>
        <color theme="1"/>
        <rFont val="Calibri"/>
      </rPr>
      <t>Meter</t>
    </r>
  </si>
  <si>
    <r>
      <rPr>
        <sz val="10"/>
        <color theme="1"/>
        <rFont val="Calibri"/>
      </rPr>
      <t>b.</t>
    </r>
  </si>
  <si>
    <r>
      <rPr>
        <sz val="10"/>
        <color theme="1"/>
        <rFont val="Calibri"/>
      </rPr>
      <t>DSR-2025- 4.6.4</t>
    </r>
  </si>
  <si>
    <r>
      <rPr>
        <sz val="10"/>
        <color theme="1"/>
        <rFont val="Calibri"/>
      </rPr>
      <t>300 mm width X 50 mm depth X 1.6 mm thickness</t>
    </r>
  </si>
  <si>
    <r>
      <rPr>
        <sz val="10"/>
        <color theme="1"/>
        <rFont val="Calibri"/>
      </rPr>
      <t>Meter</t>
    </r>
  </si>
  <si>
    <r>
      <rPr>
        <sz val="10"/>
        <color theme="1"/>
        <rFont val="Calibri"/>
      </rPr>
      <t>c.</t>
    </r>
  </si>
  <si>
    <r>
      <rPr>
        <sz val="10"/>
        <color theme="1"/>
        <rFont val="Calibri"/>
      </rPr>
      <t>DSR-2025- 4.6.6</t>
    </r>
  </si>
  <si>
    <r>
      <rPr>
        <sz val="10"/>
        <color theme="1"/>
        <rFont val="Calibri"/>
      </rPr>
      <t>450 mm width X 50 mm depth X 2.0 mm thickness</t>
    </r>
  </si>
  <si>
    <r>
      <rPr>
        <sz val="10"/>
        <color theme="1"/>
        <rFont val="Calibri"/>
      </rPr>
      <t>Meter</t>
    </r>
  </si>
  <si>
    <r>
      <rPr>
        <sz val="10"/>
        <color theme="1"/>
        <rFont val="Calibri"/>
      </rPr>
      <t>e.</t>
    </r>
  </si>
  <si>
    <r>
      <rPr>
        <sz val="10"/>
        <color theme="1"/>
        <rFont val="Calibri"/>
      </rPr>
      <t>DSR-2025- 4.6.11</t>
    </r>
  </si>
  <si>
    <r>
      <rPr>
        <sz val="10"/>
        <color theme="1"/>
        <rFont val="Calibri"/>
      </rPr>
      <t>600 mm width X 62.5 mm depth X 2.0 mm thickness</t>
    </r>
  </si>
  <si>
    <r>
      <rPr>
        <sz val="10"/>
        <color theme="1"/>
        <rFont val="Calibri"/>
      </rPr>
      <t>Meter</t>
    </r>
  </si>
  <si>
    <r>
      <rPr>
        <sz val="10"/>
        <color theme="1"/>
        <rFont val="Calibri"/>
      </rPr>
      <t>DSR-2025- 4.7</t>
    </r>
  </si>
  <si>
    <r>
      <rPr>
        <sz val="10"/>
        <color rgb="FF000000"/>
        <rFont val="Calibri"/>
      </rPr>
      <t xml:space="preserve">Supplying and installing following size of perforated Hot Dipped Galvanised Iron cable tray "bends" (galvanisation not less than 50 microns) with perforation not more than 17.5%, in convenient sections, joined with connectors, suspended from the ceiling with two numbers GI Suspenders i/c base of suitable size GI angle, GI bolts &amp; nuts,  fastner etc as
</t>
    </r>
    <r>
      <rPr>
        <sz val="10"/>
        <color rgb="FF000000"/>
        <rFont val="Calibri"/>
      </rPr>
      <t>required.</t>
    </r>
  </si>
  <si>
    <r>
      <rPr>
        <sz val="10"/>
        <color theme="1"/>
        <rFont val="Calibri"/>
      </rPr>
      <t>a.</t>
    </r>
  </si>
  <si>
    <r>
      <rPr>
        <sz val="10"/>
        <color theme="1"/>
        <rFont val="Calibri"/>
      </rPr>
      <t>DSR-2025- 4.7.2</t>
    </r>
  </si>
  <si>
    <r>
      <rPr>
        <sz val="10"/>
        <color theme="1"/>
        <rFont val="Calibri"/>
      </rPr>
      <t>150 mm width X 50 mm depth X 1.6 mm thickness</t>
    </r>
  </si>
  <si>
    <r>
      <rPr>
        <sz val="10"/>
        <color theme="1"/>
        <rFont val="Calibri"/>
      </rPr>
      <t>Each</t>
    </r>
  </si>
  <si>
    <r>
      <rPr>
        <sz val="10"/>
        <color theme="1"/>
        <rFont val="Calibri"/>
      </rPr>
      <t>b.</t>
    </r>
  </si>
  <si>
    <r>
      <rPr>
        <sz val="10"/>
        <color theme="1"/>
        <rFont val="Calibri"/>
      </rPr>
      <t>DSR-2025- 4.7.4</t>
    </r>
  </si>
  <si>
    <r>
      <rPr>
        <sz val="10"/>
        <color theme="1"/>
        <rFont val="Calibri"/>
      </rPr>
      <t>300 mm width X 50 mm depth X 1.6 mm thickness</t>
    </r>
  </si>
  <si>
    <r>
      <rPr>
        <sz val="10"/>
        <color theme="1"/>
        <rFont val="Calibri"/>
      </rPr>
      <t>Each</t>
    </r>
  </si>
  <si>
    <r>
      <rPr>
        <sz val="10"/>
        <color theme="1"/>
        <rFont val="Calibri"/>
      </rPr>
      <t>b.</t>
    </r>
  </si>
  <si>
    <r>
      <rPr>
        <sz val="10"/>
        <color theme="1"/>
        <rFont val="Calibri"/>
      </rPr>
      <t>DSR-2025- 4.7.6</t>
    </r>
  </si>
  <si>
    <r>
      <rPr>
        <sz val="10"/>
        <color theme="1"/>
        <rFont val="Calibri"/>
      </rPr>
      <t>450 mm width X 50 mm depth X 2.0 mm thickness</t>
    </r>
  </si>
  <si>
    <r>
      <rPr>
        <sz val="10"/>
        <color theme="1"/>
        <rFont val="Calibri"/>
      </rPr>
      <t>Each</t>
    </r>
  </si>
  <si>
    <r>
      <rPr>
        <sz val="10"/>
        <color theme="1"/>
        <rFont val="Calibri"/>
      </rPr>
      <t>d.</t>
    </r>
  </si>
  <si>
    <r>
      <rPr>
        <sz val="10"/>
        <color theme="1"/>
        <rFont val="Calibri"/>
      </rPr>
      <t>DSR-2025- 4.7.11</t>
    </r>
  </si>
  <si>
    <r>
      <rPr>
        <sz val="10"/>
        <color theme="1"/>
        <rFont val="Calibri"/>
      </rPr>
      <t>600 mm width X 62.5 mm depth X 2.0 mm thickness</t>
    </r>
  </si>
  <si>
    <r>
      <rPr>
        <sz val="10"/>
        <color theme="1"/>
        <rFont val="Calibri"/>
      </rPr>
      <t>Each</t>
    </r>
  </si>
  <si>
    <r>
      <rPr>
        <sz val="10"/>
        <color theme="1"/>
        <rFont val="Calibri"/>
      </rPr>
      <t>DSR-2025- 4.8</t>
    </r>
  </si>
  <si>
    <r>
      <rPr>
        <sz val="10"/>
        <color rgb="FF000000"/>
        <rFont val="Calibri"/>
      </rPr>
      <t xml:space="preserve">Supplying and installing following size of perforated Hot Dipped Galvanised Iron cable tray "Tee" (galvanisation not less than 50 microns) with perforation not more than 17.5%, in convenient
</t>
    </r>
    <r>
      <rPr>
        <sz val="10"/>
        <color rgb="FF000000"/>
        <rFont val="Calibri"/>
      </rPr>
      <t>sections, joined with connectors, suspended from the ceiling with two numbers GI Suspenders i/c base of suitable size GI angle, GI bolts &amp; nuts, fastner etc as required.</t>
    </r>
  </si>
  <si>
    <r>
      <rPr>
        <sz val="10"/>
        <color theme="1"/>
        <rFont val="Calibri"/>
      </rPr>
      <t>a.</t>
    </r>
  </si>
  <si>
    <r>
      <rPr>
        <sz val="10"/>
        <color theme="1"/>
        <rFont val="Calibri"/>
      </rPr>
      <t>DSR-2025- 4.8.2</t>
    </r>
  </si>
  <si>
    <r>
      <rPr>
        <sz val="10"/>
        <color theme="1"/>
        <rFont val="Calibri"/>
      </rPr>
      <t>150 mm width X 50 mm depth X 1.6 mm thickness</t>
    </r>
  </si>
  <si>
    <r>
      <rPr>
        <sz val="10"/>
        <color theme="1"/>
        <rFont val="Calibri"/>
      </rPr>
      <t>Each</t>
    </r>
  </si>
  <si>
    <r>
      <rPr>
        <sz val="10"/>
        <color theme="1"/>
        <rFont val="Calibri"/>
      </rPr>
      <t>b.</t>
    </r>
  </si>
  <si>
    <r>
      <rPr>
        <sz val="10"/>
        <color theme="1"/>
        <rFont val="Calibri"/>
      </rPr>
      <t>DSR-2025- 4.8.4</t>
    </r>
  </si>
  <si>
    <r>
      <rPr>
        <sz val="10"/>
        <color theme="1"/>
        <rFont val="Calibri"/>
      </rPr>
      <t>300 mm width X 50 mm depth X 1.6 mm thickness</t>
    </r>
  </si>
  <si>
    <r>
      <rPr>
        <sz val="10"/>
        <color theme="1"/>
        <rFont val="Calibri"/>
      </rPr>
      <t>Each</t>
    </r>
  </si>
  <si>
    <r>
      <rPr>
        <sz val="10"/>
        <color theme="1"/>
        <rFont val="Calibri"/>
      </rPr>
      <t>b.</t>
    </r>
  </si>
  <si>
    <r>
      <rPr>
        <sz val="10"/>
        <color theme="1"/>
        <rFont val="Calibri"/>
      </rPr>
      <t>DSR-2025- 4.8.6</t>
    </r>
  </si>
  <si>
    <r>
      <rPr>
        <sz val="10"/>
        <color theme="1"/>
        <rFont val="Calibri"/>
      </rPr>
      <t>450 mm width X 50 mm depth X 2.0 mm thickness</t>
    </r>
  </si>
  <si>
    <r>
      <rPr>
        <sz val="10"/>
        <color theme="1"/>
        <rFont val="Calibri"/>
      </rPr>
      <t>Each</t>
    </r>
  </si>
  <si>
    <r>
      <rPr>
        <sz val="10"/>
        <color theme="1"/>
        <rFont val="Calibri"/>
      </rPr>
      <t>d.</t>
    </r>
  </si>
  <si>
    <r>
      <rPr>
        <sz val="10"/>
        <color theme="1"/>
        <rFont val="Calibri"/>
      </rPr>
      <t>DSR-2025- 4.8.11</t>
    </r>
  </si>
  <si>
    <r>
      <rPr>
        <sz val="10"/>
        <color theme="1"/>
        <rFont val="Calibri"/>
      </rPr>
      <t>600 mm width X 62.5 mm depth X 2.0 mm thickness</t>
    </r>
  </si>
  <si>
    <r>
      <rPr>
        <sz val="10"/>
        <color theme="1"/>
        <rFont val="Calibri"/>
      </rPr>
      <t>Each</t>
    </r>
  </si>
  <si>
    <r>
      <rPr>
        <b/>
        <sz val="10"/>
        <color theme="1"/>
        <rFont val="Calibri"/>
      </rPr>
      <t>RACEWAYS</t>
    </r>
  </si>
  <si>
    <r>
      <rPr>
        <sz val="10"/>
        <color theme="1"/>
        <rFont val="Calibri"/>
      </rPr>
      <t>Notes:</t>
    </r>
  </si>
  <si>
    <r>
      <rPr>
        <sz val="10"/>
        <color theme="1"/>
        <rFont val="Calibri"/>
      </rPr>
      <t>All necessary specials and fittings, brass bushes etc.</t>
    </r>
  </si>
  <si>
    <r>
      <rPr>
        <sz val="10"/>
        <color theme="1"/>
        <rFont val="Calibri"/>
      </rPr>
      <t>Approved cover plates for inspection, junction and outlet boxes.</t>
    </r>
  </si>
  <si>
    <r>
      <rPr>
        <sz val="10"/>
        <color theme="1"/>
        <rFont val="Calibri"/>
      </rPr>
      <t>2mm thick outlet boxes and junction boxes.</t>
    </r>
  </si>
  <si>
    <r>
      <rPr>
        <sz val="10"/>
        <color theme="1"/>
        <rFont val="Calibri"/>
      </rPr>
      <t>All fixing accessories such as clips, nails, screws etc.</t>
    </r>
  </si>
  <si>
    <r>
      <rPr>
        <sz val="10"/>
        <color theme="1"/>
        <rFont val="Calibri"/>
      </rPr>
      <t>Providing and fixing approved saddles, hooks and grouting the same as required, in the case of all exposed conduit work.</t>
    </r>
  </si>
  <si>
    <r>
      <rPr>
        <sz val="10"/>
        <color theme="1"/>
        <rFont val="Calibri"/>
      </rPr>
      <t>Embedding conduits and accessories in wall, floors etc. during construction and / or cutting chases and making good as approved.</t>
    </r>
  </si>
  <si>
    <r>
      <rPr>
        <sz val="10"/>
        <color theme="1"/>
        <rFont val="Calibri"/>
      </rPr>
      <t>Providing 14 SWG GI pull wire in all conduit work.</t>
    </r>
  </si>
  <si>
    <r>
      <rPr>
        <sz val="10"/>
        <color theme="1"/>
        <rFont val="Calibri"/>
      </rPr>
      <t>Repainting of GI conduit, outlet boxes and junction boxes when ever damaged.</t>
    </r>
  </si>
  <si>
    <r>
      <rPr>
        <b/>
        <sz val="10"/>
        <color theme="1"/>
        <rFont val="Calibri"/>
      </rPr>
      <t>Important Notes:-</t>
    </r>
  </si>
  <si>
    <r>
      <rPr>
        <sz val="10"/>
        <color theme="1"/>
        <rFont val="Calibri"/>
      </rPr>
      <t>Contractor to get the samples of floor and ceiling raceways to be approved from the Architect/ Project Manager/ Consultant/ Client before supply &amp; erection.</t>
    </r>
  </si>
  <si>
    <r>
      <rPr>
        <sz val="10"/>
        <color theme="1"/>
        <rFont val="Calibri"/>
      </rPr>
      <t>Depth of the floor raceway is to be decided by the contractor after checking/ examining screed depth available at site. For this purpose chipping to be carried out at various places on the floor/ floors to carefully assess the depth/ floor margin available. Final approval is to be obtained from the Architect/ Project Manager/ Client before ordering/ fabricating raceway. The sizes &amp; depths of raceways given in the BOQ are only tentative &amp; indicative.</t>
    </r>
  </si>
  <si>
    <r>
      <rPr>
        <sz val="10"/>
        <color theme="1"/>
        <rFont val="Calibri"/>
      </rPr>
      <t>Contractor is also supposed to check and confirm the adequacy of raceway sizes by calculating the exact number of electrical circuit wires &amp; N/W wires for respective Electrical &amp; N/W raceways.</t>
    </r>
  </si>
  <si>
    <r>
      <rPr>
        <sz val="10"/>
        <color theme="1"/>
        <rFont val="Calibri"/>
      </rPr>
      <t>Electrical &amp; N/W raceways to be run separated by a gap of not less than 450mm or more.</t>
    </r>
  </si>
  <si>
    <r>
      <rPr>
        <sz val="10"/>
        <color theme="1"/>
        <rFont val="Calibri"/>
      </rPr>
      <t>'N/W' stands for Networking cables.</t>
    </r>
  </si>
  <si>
    <r>
      <rPr>
        <sz val="10"/>
        <color theme="1"/>
        <rFont val="Calibri"/>
      </rPr>
      <t>1N/ 2N/ 3N/ 4N stands for One node/ Two nodes/ Three nodes &amp; Four nodes respectively of voice &amp; data face plates/ wires.</t>
    </r>
  </si>
  <si>
    <r>
      <rPr>
        <sz val="10"/>
        <color theme="1"/>
        <rFont val="Calibri"/>
      </rPr>
      <t>MR</t>
    </r>
  </si>
  <si>
    <r>
      <rPr>
        <b/>
        <u/>
        <sz val="10"/>
        <color theme="1"/>
        <rFont val="Calibri"/>
      </rPr>
      <t>GI RACEWAY IN FLOOR SCREED </t>
    </r>
  </si>
  <si>
    <r>
      <rPr>
        <sz val="10"/>
        <color rgb="FF000000"/>
        <rFont val="Calibri"/>
      </rPr>
      <t xml:space="preserve">Supply &amp; Fixing of factory fabricated pre-galvanised sheet steel raceway in </t>
    </r>
    <r>
      <rPr>
        <b/>
        <u/>
        <sz val="10"/>
        <color rgb="FF000000"/>
        <rFont val="Calibri"/>
      </rPr>
      <t>2mm thickness for </t>
    </r>
    <r>
      <rPr>
        <b/>
        <sz val="10"/>
        <color rgb="FF000000"/>
        <rFont val="Calibri"/>
      </rPr>
      <t xml:space="preserve"> </t>
    </r>
    <r>
      <rPr>
        <b/>
        <u/>
        <sz val="10"/>
        <color rgb="FF000000"/>
        <rFont val="Calibri"/>
      </rPr>
      <t>bottom &amp; sides and 2mm/ 3mm thick top cover </t>
    </r>
    <r>
      <rPr>
        <sz val="10"/>
        <color rgb="FF000000"/>
        <rFont val="Calibri"/>
      </rPr>
      <t>as called for in the BOQ below, including necessary civil work such as chase cutting in screed, fixing/ jamming the raceway, aligning &amp; leveling and finishing with sand cement plaster &amp; chicken wire mesh:</t>
    </r>
  </si>
  <si>
    <r>
      <rPr>
        <b/>
        <sz val="10"/>
        <color theme="1"/>
        <rFont val="Calibri"/>
      </rPr>
      <t>40mm Depth</t>
    </r>
  </si>
  <si>
    <r>
      <rPr>
        <sz val="10"/>
        <color theme="1"/>
        <rFont val="Calibri"/>
      </rPr>
      <t>2.1.1</t>
    </r>
  </si>
  <si>
    <r>
      <rPr>
        <sz val="10"/>
        <color theme="1"/>
        <rFont val="Calibri"/>
      </rPr>
      <t>MR</t>
    </r>
  </si>
  <si>
    <r>
      <rPr>
        <sz val="10"/>
        <color theme="1"/>
        <rFont val="Calibri"/>
      </rPr>
      <t>100mm x 40mm (2mm top cover)</t>
    </r>
  </si>
  <si>
    <r>
      <rPr>
        <sz val="10"/>
        <color theme="1"/>
        <rFont val="Calibri"/>
      </rPr>
      <t>RM</t>
    </r>
  </si>
  <si>
    <r>
      <rPr>
        <sz val="10"/>
        <color theme="1"/>
        <rFont val="Calibri"/>
      </rPr>
      <t>2.1.2</t>
    </r>
  </si>
  <si>
    <r>
      <rPr>
        <sz val="10"/>
        <color theme="1"/>
        <rFont val="Calibri"/>
      </rPr>
      <t>MR</t>
    </r>
  </si>
  <si>
    <r>
      <rPr>
        <sz val="10"/>
        <color theme="1"/>
        <rFont val="Calibri"/>
      </rPr>
      <t>150mm x 40mm (2mm top cover)</t>
    </r>
  </si>
  <si>
    <r>
      <rPr>
        <sz val="10"/>
        <color theme="1"/>
        <rFont val="Calibri"/>
      </rPr>
      <t>RM</t>
    </r>
  </si>
  <si>
    <r>
      <rPr>
        <sz val="10"/>
        <color theme="1"/>
        <rFont val="Calibri"/>
      </rPr>
      <t>2.1.3</t>
    </r>
  </si>
  <si>
    <r>
      <rPr>
        <sz val="10"/>
        <color theme="1"/>
        <rFont val="Calibri"/>
      </rPr>
      <t>MR</t>
    </r>
  </si>
  <si>
    <r>
      <rPr>
        <sz val="10"/>
        <color theme="1"/>
        <rFont val="Calibri"/>
      </rPr>
      <t>250mm x 40mm (3mm top cover)</t>
    </r>
  </si>
  <si>
    <r>
      <rPr>
        <sz val="10"/>
        <color theme="1"/>
        <rFont val="Calibri"/>
      </rPr>
      <t>RM</t>
    </r>
  </si>
  <si>
    <r>
      <rPr>
        <sz val="10"/>
        <color theme="1"/>
        <rFont val="Calibri"/>
      </rPr>
      <t>2.1.4</t>
    </r>
  </si>
  <si>
    <r>
      <rPr>
        <sz val="10"/>
        <color theme="1"/>
        <rFont val="Calibri"/>
      </rPr>
      <t>MR</t>
    </r>
  </si>
  <si>
    <r>
      <rPr>
        <sz val="10"/>
        <color theme="1"/>
        <rFont val="Calibri"/>
      </rPr>
      <t>300mm x 40mm (3mm top cover)</t>
    </r>
  </si>
  <si>
    <r>
      <rPr>
        <sz val="10"/>
        <color theme="1"/>
        <rFont val="Calibri"/>
      </rPr>
      <t>RM</t>
    </r>
  </si>
  <si>
    <r>
      <rPr>
        <sz val="10"/>
        <color theme="1"/>
        <rFont val="Calibri"/>
      </rPr>
      <t>2.1.5</t>
    </r>
  </si>
  <si>
    <r>
      <rPr>
        <sz val="10"/>
        <color theme="1"/>
        <rFont val="Calibri"/>
      </rPr>
      <t>MR</t>
    </r>
  </si>
  <si>
    <r>
      <rPr>
        <sz val="10"/>
        <color theme="1"/>
        <rFont val="Calibri"/>
      </rPr>
      <t>375mm x 40mm (3mm top cover)</t>
    </r>
  </si>
  <si>
    <r>
      <rPr>
        <sz val="10"/>
        <color theme="1"/>
        <rFont val="Calibri"/>
      </rPr>
      <t>RM</t>
    </r>
  </si>
  <si>
    <r>
      <rPr>
        <b/>
        <sz val="10"/>
        <color theme="1"/>
        <rFont val="Calibri"/>
      </rPr>
      <t>RACEWAY FLOOR JUNCTION BOXES (IN SCREED)</t>
    </r>
  </si>
  <si>
    <r>
      <rPr>
        <sz val="10"/>
        <color theme="1"/>
        <rFont val="Calibri"/>
      </rPr>
      <t>Providing &amp; Fixing of GI sheet steel 4 WAY junction boxes with top cover to suite the raceway fixing &amp; necessary civil work such as floor chipping, jamming of junction box and repair of floor:</t>
    </r>
  </si>
  <si>
    <r>
      <rPr>
        <b/>
        <sz val="10"/>
        <color theme="1"/>
        <rFont val="Calibri"/>
      </rPr>
      <t>Raceway junction box</t>
    </r>
  </si>
  <si>
    <r>
      <rPr>
        <sz val="10"/>
        <color theme="1"/>
        <rFont val="Calibri"/>
      </rPr>
      <t>2.2.1</t>
    </r>
  </si>
  <si>
    <r>
      <rPr>
        <sz val="10"/>
        <color theme="1"/>
        <rFont val="Calibri"/>
      </rPr>
      <t>MR</t>
    </r>
  </si>
  <si>
    <r>
      <rPr>
        <sz val="10"/>
        <color theme="1"/>
        <rFont val="Calibri"/>
      </rPr>
      <t>100mm x 100mm x 50mm (For Floor Conduit)</t>
    </r>
  </si>
  <si>
    <r>
      <rPr>
        <sz val="10"/>
        <color theme="1"/>
        <rFont val="Calibri"/>
      </rPr>
      <t>Nos.</t>
    </r>
  </si>
  <si>
    <r>
      <rPr>
        <sz val="10"/>
        <color theme="1"/>
        <rFont val="Calibri"/>
      </rPr>
      <t>2.2.1</t>
    </r>
  </si>
  <si>
    <r>
      <rPr>
        <sz val="10"/>
        <color theme="1"/>
        <rFont val="Calibri"/>
      </rPr>
      <t>MR</t>
    </r>
  </si>
  <si>
    <r>
      <rPr>
        <sz val="10"/>
        <color theme="1"/>
        <rFont val="Calibri"/>
      </rPr>
      <t>150mm x 150mm x 50mm (For 100mm wide raceway)</t>
    </r>
  </si>
  <si>
    <r>
      <rPr>
        <sz val="10"/>
        <color theme="1"/>
        <rFont val="Calibri"/>
      </rPr>
      <t>Nos.</t>
    </r>
  </si>
  <si>
    <r>
      <rPr>
        <sz val="10"/>
        <color theme="1"/>
        <rFont val="Calibri"/>
      </rPr>
      <t>2.2.2</t>
    </r>
  </si>
  <si>
    <r>
      <rPr>
        <sz val="10"/>
        <color theme="1"/>
        <rFont val="Calibri"/>
      </rPr>
      <t>MR</t>
    </r>
  </si>
  <si>
    <r>
      <rPr>
        <sz val="10"/>
        <color theme="1"/>
        <rFont val="Calibri"/>
      </rPr>
      <t>200mm x 200mm x 50mm (For 150mm wide raceway)</t>
    </r>
  </si>
  <si>
    <r>
      <rPr>
        <sz val="10"/>
        <color theme="1"/>
        <rFont val="Calibri"/>
      </rPr>
      <t>Nos.</t>
    </r>
  </si>
  <si>
    <r>
      <rPr>
        <sz val="10"/>
        <color theme="1"/>
        <rFont val="Calibri"/>
      </rPr>
      <t>2.2.3</t>
    </r>
  </si>
  <si>
    <r>
      <rPr>
        <sz val="10"/>
        <color theme="1"/>
        <rFont val="Calibri"/>
      </rPr>
      <t>MR</t>
    </r>
  </si>
  <si>
    <r>
      <rPr>
        <sz val="10"/>
        <color theme="1"/>
        <rFont val="Calibri"/>
      </rPr>
      <t>300mm x 300mm x 50mm (For 225mm wide raceway)</t>
    </r>
  </si>
  <si>
    <r>
      <rPr>
        <sz val="10"/>
        <color theme="1"/>
        <rFont val="Calibri"/>
      </rPr>
      <t>Nos.</t>
    </r>
  </si>
  <si>
    <r>
      <rPr>
        <sz val="10"/>
        <color theme="1"/>
        <rFont val="Calibri"/>
      </rPr>
      <t>2.2.4</t>
    </r>
  </si>
  <si>
    <r>
      <rPr>
        <sz val="10"/>
        <color theme="1"/>
        <rFont val="Calibri"/>
      </rPr>
      <t>MR</t>
    </r>
  </si>
  <si>
    <r>
      <rPr>
        <sz val="10"/>
        <color theme="1"/>
        <rFont val="Calibri"/>
      </rPr>
      <t>350mm x 350mm x 50mm (For 300mm wide raceway)</t>
    </r>
  </si>
  <si>
    <r>
      <rPr>
        <sz val="10"/>
        <color theme="1"/>
        <rFont val="Calibri"/>
      </rPr>
      <t>Nos.</t>
    </r>
  </si>
  <si>
    <r>
      <rPr>
        <sz val="10"/>
        <color theme="1"/>
        <rFont val="Calibri"/>
      </rPr>
      <t>2.2.5</t>
    </r>
  </si>
  <si>
    <r>
      <rPr>
        <sz val="10"/>
        <color theme="1"/>
        <rFont val="Calibri"/>
      </rPr>
      <t>MR</t>
    </r>
  </si>
  <si>
    <r>
      <rPr>
        <sz val="10"/>
        <color theme="1"/>
        <rFont val="Calibri"/>
      </rPr>
      <t>425mm x 425mm x 50mm (For 375mm wide raceway)</t>
    </r>
  </si>
  <si>
    <r>
      <rPr>
        <sz val="10"/>
        <color theme="1"/>
        <rFont val="Calibri"/>
      </rPr>
      <t>Nos.</t>
    </r>
  </si>
  <si>
    <r>
      <rPr>
        <b/>
        <u/>
        <sz val="10"/>
        <color theme="1"/>
        <rFont val="Calibri"/>
      </rPr>
      <t>RACEWAY - IN CEILING</t>
    </r>
  </si>
  <si>
    <r>
      <rPr>
        <sz val="10"/>
        <color rgb="FF000000"/>
        <rFont val="Calibri"/>
      </rPr>
      <t xml:space="preserve">Supply &amp; Fixing of factory fabricated MS Powder coated sheet steel raceway in </t>
    </r>
    <r>
      <rPr>
        <b/>
        <u/>
        <sz val="10"/>
        <color rgb="FF000000"/>
        <rFont val="Calibri"/>
      </rPr>
      <t>1.6 / 2 mm </t>
    </r>
    <r>
      <rPr>
        <b/>
        <sz val="10"/>
        <color rgb="FF000000"/>
        <rFont val="Calibri"/>
      </rPr>
      <t xml:space="preserve"> </t>
    </r>
    <r>
      <rPr>
        <b/>
        <u/>
        <sz val="10"/>
        <color rgb="FF000000"/>
        <rFont val="Calibri"/>
      </rPr>
      <t>thickness for bottom, sides &amp; top coper </t>
    </r>
    <r>
      <rPr>
        <sz val="10"/>
        <color rgb="FF000000"/>
        <rFont val="Calibri"/>
      </rPr>
      <t>as called for in the BOQ below,  including necessary civil work such as hanging the ceiling raceway from slab by a suitable GI flat support with galvanized steel rods screwed into RCC slab with the help of dash fasteners. Vendor to design the supporting system with adequately sized supports &amp; spacing to with stand the load of raceway &amp; wires etc. Raceways shall be complete with junction boxes of required size &amp; required quantity to be included in the cost of the raceways:</t>
    </r>
  </si>
  <si>
    <r>
      <rPr>
        <b/>
        <sz val="10"/>
        <color theme="1"/>
        <rFont val="Calibri"/>
      </rPr>
      <t>For 50mm Depth</t>
    </r>
  </si>
  <si>
    <r>
      <rPr>
        <sz val="10"/>
        <color theme="1"/>
        <rFont val="Calibri"/>
      </rPr>
      <t>2.3.2</t>
    </r>
  </si>
  <si>
    <r>
      <rPr>
        <sz val="10"/>
        <color theme="1"/>
        <rFont val="Calibri"/>
      </rPr>
      <t>MR</t>
    </r>
  </si>
  <si>
    <r>
      <rPr>
        <sz val="10"/>
        <color theme="1"/>
        <rFont val="Calibri"/>
      </rPr>
      <t>150 x 50 (1.6mm)</t>
    </r>
  </si>
  <si>
    <r>
      <rPr>
        <sz val="10"/>
        <color theme="1"/>
        <rFont val="Calibri"/>
      </rPr>
      <t>RM</t>
    </r>
  </si>
  <si>
    <r>
      <rPr>
        <sz val="10"/>
        <color theme="1"/>
        <rFont val="Calibri"/>
      </rPr>
      <t>2.3.3</t>
    </r>
  </si>
  <si>
    <r>
      <rPr>
        <sz val="10"/>
        <color theme="1"/>
        <rFont val="Calibri"/>
      </rPr>
      <t>MR</t>
    </r>
  </si>
  <si>
    <r>
      <rPr>
        <sz val="10"/>
        <color theme="1"/>
        <rFont val="Calibri"/>
      </rPr>
      <t>250 x 50 (1.6mm)</t>
    </r>
  </si>
  <si>
    <r>
      <rPr>
        <sz val="10"/>
        <color theme="1"/>
        <rFont val="Calibri"/>
      </rPr>
      <t>RM</t>
    </r>
  </si>
  <si>
    <r>
      <rPr>
        <sz val="10"/>
        <color theme="1"/>
        <rFont val="Calibri"/>
      </rPr>
      <t>2.3.4</t>
    </r>
  </si>
  <si>
    <r>
      <rPr>
        <sz val="10"/>
        <color theme="1"/>
        <rFont val="Calibri"/>
      </rPr>
      <t>MR</t>
    </r>
  </si>
  <si>
    <r>
      <rPr>
        <sz val="10"/>
        <color theme="1"/>
        <rFont val="Calibri"/>
      </rPr>
      <t>300 x 50 (2mm)</t>
    </r>
  </si>
  <si>
    <r>
      <rPr>
        <sz val="10"/>
        <color theme="1"/>
        <rFont val="Calibri"/>
      </rPr>
      <t>RM</t>
    </r>
  </si>
  <si>
    <r>
      <rPr>
        <b/>
        <u/>
        <sz val="10"/>
        <color theme="1"/>
        <rFont val="Calibri"/>
      </rPr>
      <t>RACEWAY - IN CEILING FOR WI-FI / CCTV / ACS ETC.</t>
    </r>
  </si>
  <si>
    <r>
      <rPr>
        <sz val="10"/>
        <color rgb="FF000000"/>
        <rFont val="Calibri"/>
      </rPr>
      <t xml:space="preserve">Supply &amp; Fixing of factory fabricated MS Powder coated sheet steel raceway in </t>
    </r>
    <r>
      <rPr>
        <b/>
        <u/>
        <sz val="10"/>
        <color rgb="FF000000"/>
        <rFont val="Calibri"/>
      </rPr>
      <t>1.6 / 2 mm </t>
    </r>
    <r>
      <rPr>
        <b/>
        <sz val="10"/>
        <color rgb="FF000000"/>
        <rFont val="Calibri"/>
      </rPr>
      <t xml:space="preserve"> </t>
    </r>
    <r>
      <rPr>
        <b/>
        <u/>
        <sz val="10"/>
        <color rgb="FF000000"/>
        <rFont val="Calibri"/>
      </rPr>
      <t>thickness for bottom, sides &amp; top coper </t>
    </r>
    <r>
      <rPr>
        <sz val="10"/>
        <color rgb="FF000000"/>
        <rFont val="Calibri"/>
      </rPr>
      <t>as called for in the BOQ below,  including necessary civil work such as hanging the ceiling raceway from slab by a suitable GI flat support with galvanized steel rods screwed into RCC slab with the help of dash fasteners. Vendor to design the supporting system with adequately sized supports &amp; spacing to with stand the load of raceway &amp; wires etc. Raceways shall be complete with junction boxes of required size &amp; required quantity to be included in the cost of the raceways:</t>
    </r>
  </si>
  <si>
    <r>
      <rPr>
        <b/>
        <sz val="10"/>
        <color theme="1"/>
        <rFont val="Calibri"/>
      </rPr>
      <t>For 50mm Depth</t>
    </r>
  </si>
  <si>
    <r>
      <rPr>
        <sz val="10"/>
        <color theme="1"/>
        <rFont val="Calibri"/>
      </rPr>
      <t>2.4.1</t>
    </r>
  </si>
  <si>
    <r>
      <rPr>
        <sz val="10"/>
        <color theme="1"/>
        <rFont val="Calibri"/>
      </rPr>
      <t>MR</t>
    </r>
  </si>
  <si>
    <r>
      <rPr>
        <sz val="10"/>
        <color theme="1"/>
        <rFont val="Calibri"/>
      </rPr>
      <t>100 x 50 (1.6mm)</t>
    </r>
  </si>
  <si>
    <r>
      <rPr>
        <sz val="10"/>
        <color theme="1"/>
        <rFont val="Calibri"/>
      </rPr>
      <t>RM</t>
    </r>
  </si>
  <si>
    <r>
      <rPr>
        <sz val="10"/>
        <color theme="1"/>
        <rFont val="Calibri"/>
      </rPr>
      <t>2.4.2</t>
    </r>
  </si>
  <si>
    <r>
      <rPr>
        <sz val="10"/>
        <color theme="1"/>
        <rFont val="Calibri"/>
      </rPr>
      <t>MR</t>
    </r>
  </si>
  <si>
    <r>
      <rPr>
        <sz val="10"/>
        <color theme="1"/>
        <rFont val="Calibri"/>
      </rPr>
      <t>150 x 50 (1.6mm)</t>
    </r>
  </si>
  <si>
    <r>
      <rPr>
        <sz val="10"/>
        <color theme="1"/>
        <rFont val="Calibri"/>
      </rPr>
      <t>RM</t>
    </r>
  </si>
  <si>
    <r>
      <rPr>
        <sz val="10"/>
        <color theme="1"/>
        <rFont val="Calibri"/>
      </rPr>
      <t>2.4.3</t>
    </r>
  </si>
  <si>
    <r>
      <rPr>
        <sz val="10"/>
        <color theme="1"/>
        <rFont val="Calibri"/>
      </rPr>
      <t>MR</t>
    </r>
  </si>
  <si>
    <r>
      <rPr>
        <sz val="10"/>
        <color theme="1"/>
        <rFont val="Calibri"/>
      </rPr>
      <t>300 x 50 (2mm)</t>
    </r>
  </si>
  <si>
    <r>
      <rPr>
        <sz val="10"/>
        <color theme="1"/>
        <rFont val="Calibri"/>
      </rPr>
      <t>RM</t>
    </r>
  </si>
  <si>
    <r>
      <rPr>
        <b/>
        <sz val="10"/>
        <color theme="1"/>
        <rFont val="Calibri"/>
      </rPr>
      <t>TOTAL CARRIED OVER TO SUMMARY</t>
    </r>
  </si>
  <si>
    <r>
      <rPr>
        <b/>
        <sz val="10"/>
        <color rgb="FF000000"/>
        <rFont val="Calibri"/>
      </rPr>
      <t xml:space="preserve">SUB
</t>
    </r>
    <r>
      <rPr>
        <b/>
        <sz val="10"/>
        <color rgb="FF000000"/>
        <rFont val="Calibri"/>
      </rPr>
      <t>HEAD F</t>
    </r>
  </si>
  <si>
    <r>
      <rPr>
        <b/>
        <sz val="10"/>
        <color theme="1"/>
        <rFont val="Calibri"/>
      </rPr>
      <t>CHAPTER- 5</t>
    </r>
  </si>
  <si>
    <r>
      <rPr>
        <b/>
        <sz val="10"/>
        <color theme="1"/>
        <rFont val="Calibri"/>
      </rPr>
      <t>EARTHING</t>
    </r>
  </si>
  <si>
    <r>
      <rPr>
        <sz val="10"/>
        <color theme="1"/>
        <rFont val="Calibri"/>
      </rPr>
      <t>DSR-2025- 5.6</t>
    </r>
  </si>
  <si>
    <r>
      <rPr>
        <sz val="10"/>
        <color theme="1"/>
        <rFont val="Calibri"/>
      </rPr>
      <t>Earthing with copper earth plate 600 mm X 600 mm X 3 mm   thick including accessories, and providing masonry  enclosure  with cover plate having locking arrangement and watering pipe of 2.7 Meter long etc. with charcoal/ coke and salt as required.</t>
    </r>
  </si>
  <si>
    <r>
      <rPr>
        <sz val="10"/>
        <color theme="1"/>
        <rFont val="Calibri"/>
      </rPr>
      <t>Set</t>
    </r>
  </si>
  <si>
    <r>
      <rPr>
        <sz val="10"/>
        <color theme="1"/>
        <rFont val="Calibri"/>
      </rPr>
      <t>DSR-2025- 5.8</t>
    </r>
  </si>
  <si>
    <r>
      <rPr>
        <sz val="10"/>
        <color rgb="FF000000"/>
        <rFont val="Calibri"/>
      </rPr>
      <t xml:space="preserve">Supplying and laying 25 mm X 5 mm copper strip at 0.50 metre below ground as strip earth electrode, including connection/ terminating with nut, bolt, spring, washer etc. as required. (Jointing shall be done by overlapping and with 2 sets of brass nut bolt &amp; spring washer spaced
</t>
    </r>
    <r>
      <rPr>
        <sz val="10"/>
        <color rgb="FF000000"/>
        <rFont val="Calibri"/>
      </rPr>
      <t>at 50mm)</t>
    </r>
  </si>
  <si>
    <r>
      <rPr>
        <sz val="10"/>
        <color theme="1"/>
        <rFont val="Calibri"/>
      </rPr>
      <t>Meter</t>
    </r>
  </si>
  <si>
    <r>
      <rPr>
        <sz val="10"/>
        <color theme="1"/>
        <rFont val="Calibri"/>
      </rPr>
      <t>DSR-2025- 5.1</t>
    </r>
  </si>
  <si>
    <r>
      <rPr>
        <sz val="10"/>
        <color theme="1"/>
        <rFont val="Calibri"/>
      </rPr>
      <t>Providing and fixing 25 mm X 5 mm copper strip in 40 mm dia G.I. pipe from earth electrode including connection with brass nut, bolt, spring, washer excavation and re-filling etc. as required.</t>
    </r>
  </si>
  <si>
    <r>
      <rPr>
        <sz val="10"/>
        <color theme="1"/>
        <rFont val="Calibri"/>
      </rPr>
      <t>Meter</t>
    </r>
  </si>
  <si>
    <r>
      <rPr>
        <sz val="10"/>
        <color theme="1"/>
        <rFont val="Calibri"/>
      </rPr>
      <t>DSR-2025- 5.15</t>
    </r>
  </si>
  <si>
    <r>
      <rPr>
        <sz val="10"/>
        <color theme="1"/>
        <rFont val="Calibri"/>
      </rPr>
      <t>Providing and fixing 25 mm X 5 mm G.I. strip on surface or in recess for connections etc. as required.</t>
    </r>
  </si>
  <si>
    <r>
      <rPr>
        <sz val="10"/>
        <color theme="1"/>
        <rFont val="Calibri"/>
      </rPr>
      <t>Meter</t>
    </r>
  </si>
  <si>
    <r>
      <rPr>
        <sz val="10"/>
        <color theme="1"/>
        <rFont val="Calibri"/>
      </rPr>
      <t>DSR-2025- 5.16</t>
    </r>
  </si>
  <si>
    <r>
      <rPr>
        <sz val="10"/>
        <color theme="1"/>
        <rFont val="Calibri"/>
      </rPr>
      <t>Providing and fixing 6 SWG dia G.I. wire on surface or in recess for loop earthing as required.</t>
    </r>
  </si>
  <si>
    <r>
      <rPr>
        <sz val="10"/>
        <color theme="1"/>
        <rFont val="Calibri"/>
      </rPr>
      <t>Meter</t>
    </r>
  </si>
  <si>
    <r>
      <rPr>
        <sz val="10"/>
        <color theme="1"/>
        <rFont val="Calibri"/>
      </rPr>
      <t>DSR-2025- 5.2</t>
    </r>
  </si>
  <si>
    <r>
      <rPr>
        <sz val="10"/>
        <color theme="1"/>
        <rFont val="Calibri"/>
      </rPr>
      <t>Providing and fixing earth bus of 50 mm X 5 mm copper strip on surface for connections etc. as required.</t>
    </r>
  </si>
  <si>
    <r>
      <rPr>
        <sz val="10"/>
        <color theme="1"/>
        <rFont val="Calibri"/>
      </rPr>
      <t>Meter</t>
    </r>
  </si>
  <si>
    <r>
      <rPr>
        <sz val="10"/>
        <color theme="1"/>
        <rFont val="Calibri"/>
      </rPr>
      <t>MR</t>
    </r>
  </si>
  <si>
    <r>
      <rPr>
        <b/>
        <u/>
        <sz val="10"/>
        <color theme="1"/>
        <rFont val="Calibri"/>
      </rPr>
      <t>SINGLE CORE COPPER ARMOURED CABLE EARTHING- EARTHING CABLES / LEADS:</t>
    </r>
  </si>
  <si>
    <r>
      <rPr>
        <sz val="10"/>
        <color rgb="FF000000"/>
        <rFont val="Calibri"/>
      </rPr>
      <t>Supply  of 1.1kV grade</t>
    </r>
    <r>
      <rPr>
        <b/>
        <u/>
        <sz val="10"/>
        <color rgb="FF000000"/>
        <rFont val="Calibri"/>
      </rPr>
      <t> XLPE insulated, Extruded FR-LSH  PVC inner sheath Type ST-2, FR-</t>
    </r>
    <r>
      <rPr>
        <b/>
        <sz val="10"/>
        <color rgb="FF000000"/>
        <rFont val="Calibri"/>
      </rPr>
      <t xml:space="preserve"> </t>
    </r>
    <r>
      <rPr>
        <b/>
        <u/>
        <sz val="10"/>
        <color rgb="FF000000"/>
        <rFont val="Calibri"/>
      </rPr>
      <t>LSH  PVC outer sheath Type ST-2, stranded Copper conductor, Armoured cable</t>
    </r>
    <r>
      <rPr>
        <b/>
        <sz val="10"/>
        <color rgb="FF000000"/>
        <rFont val="Calibri"/>
      </rPr>
      <t xml:space="preserve"> </t>
    </r>
    <r>
      <rPr>
        <sz val="10"/>
        <color rgb="FF000000"/>
        <rFont val="Calibri"/>
      </rPr>
      <t>in  existing PVC pipes/ on existing cable trays etc. including terminations with tinned copper lugs / thimbles:</t>
    </r>
  </si>
  <si>
    <r>
      <rPr>
        <sz val="10"/>
        <color theme="1"/>
        <rFont val="Calibri"/>
      </rPr>
      <t>a.</t>
    </r>
  </si>
  <si>
    <r>
      <rPr>
        <sz val="10"/>
        <color theme="1"/>
        <rFont val="Calibri"/>
      </rPr>
      <t>1C x 150 sq.mm XLPE insulated Cu. Ar. Cable</t>
    </r>
  </si>
  <si>
    <r>
      <rPr>
        <sz val="10"/>
        <color theme="1"/>
        <rFont val="Calibri"/>
      </rPr>
      <t>RM</t>
    </r>
  </si>
  <si>
    <r>
      <rPr>
        <sz val="10"/>
        <color theme="1"/>
        <rFont val="Calibri"/>
      </rPr>
      <t>MR</t>
    </r>
  </si>
  <si>
    <r>
      <rPr>
        <b/>
        <u/>
        <sz val="10"/>
        <color theme="1"/>
        <rFont val="Calibri"/>
      </rPr>
      <t>SINGLE CORE COPPER UNARMOURED CABLE EARTHING:</t>
    </r>
  </si>
  <si>
    <r>
      <rPr>
        <sz val="10"/>
        <color rgb="FF000000"/>
        <rFont val="Calibri"/>
      </rPr>
      <t xml:space="preserve">Supply of 1.1kV grade </t>
    </r>
    <r>
      <rPr>
        <b/>
        <u/>
        <sz val="10"/>
        <color rgb="FF000000"/>
        <rFont val="Calibri"/>
      </rPr>
      <t>XLPE insulated, Extruded FR-LSH PVC sheath Type ST-2 with Anti </t>
    </r>
    <r>
      <rPr>
        <b/>
        <sz val="10"/>
        <color rgb="FF000000"/>
        <rFont val="Calibri"/>
      </rPr>
      <t xml:space="preserve"> </t>
    </r>
    <r>
      <rPr>
        <b/>
        <u/>
        <sz val="10"/>
        <color rgb="FF000000"/>
        <rFont val="Calibri"/>
      </rPr>
      <t>termite and Anti rodent properties, Copper Conductor, Un. Armoured cables</t>
    </r>
    <r>
      <rPr>
        <b/>
        <sz val="10"/>
        <color rgb="FF000000"/>
        <rFont val="Calibri"/>
      </rPr>
      <t xml:space="preserve"> </t>
    </r>
    <r>
      <rPr>
        <sz val="10"/>
        <color rgb="FF000000"/>
        <rFont val="Calibri"/>
      </rPr>
      <t>in existing PVC pipes/ on existing cable trays etc. including terminations with tinned copper lugs / thimbles:</t>
    </r>
  </si>
  <si>
    <r>
      <rPr>
        <sz val="10"/>
        <color theme="1"/>
        <rFont val="Calibri"/>
      </rPr>
      <t>MR</t>
    </r>
  </si>
  <si>
    <r>
      <rPr>
        <sz val="10"/>
        <color theme="1"/>
        <rFont val="Calibri"/>
      </rPr>
      <t>1C x 150 sq.mm XLPE insulated Cu. Un. Ar. Cable</t>
    </r>
  </si>
  <si>
    <r>
      <rPr>
        <sz val="10"/>
        <color theme="1"/>
        <rFont val="Calibri"/>
      </rPr>
      <t>RM</t>
    </r>
  </si>
  <si>
    <r>
      <rPr>
        <sz val="10"/>
        <color theme="1"/>
        <rFont val="Calibri"/>
      </rPr>
      <t>MR</t>
    </r>
  </si>
  <si>
    <r>
      <rPr>
        <sz val="10"/>
        <color theme="1"/>
        <rFont val="Calibri"/>
      </rPr>
      <t>1C x 95 sq.mm XLPE insulated Cu. Un. Ar. Cable</t>
    </r>
  </si>
  <si>
    <r>
      <rPr>
        <sz val="10"/>
        <color theme="1"/>
        <rFont val="Calibri"/>
      </rPr>
      <t>RM</t>
    </r>
  </si>
  <si>
    <r>
      <rPr>
        <sz val="10"/>
        <color theme="1"/>
        <rFont val="Calibri"/>
      </rPr>
      <t>MR</t>
    </r>
  </si>
  <si>
    <r>
      <rPr>
        <sz val="10"/>
        <color theme="1"/>
        <rFont val="Calibri"/>
      </rPr>
      <t>1C x 25 sq.mm XLPE insulated Cu. Un. Ar. Cable</t>
    </r>
  </si>
  <si>
    <r>
      <rPr>
        <sz val="10"/>
        <color theme="1"/>
        <rFont val="Calibri"/>
      </rPr>
      <t>RM</t>
    </r>
  </si>
  <si>
    <r>
      <rPr>
        <sz val="10"/>
        <color theme="1"/>
        <rFont val="Calibri"/>
      </rPr>
      <t>MR</t>
    </r>
  </si>
  <si>
    <r>
      <rPr>
        <sz val="10"/>
        <color theme="1"/>
        <rFont val="Calibri"/>
      </rPr>
      <t>1C x 16 sq.mm XLPE insulated Cu. Un. Ar. Cable</t>
    </r>
  </si>
  <si>
    <r>
      <rPr>
        <sz val="10"/>
        <color theme="1"/>
        <rFont val="Calibri"/>
      </rPr>
      <t>RM</t>
    </r>
  </si>
  <si>
    <r>
      <rPr>
        <sz val="10"/>
        <color theme="1"/>
        <rFont val="Calibri"/>
      </rPr>
      <t>MR</t>
    </r>
  </si>
  <si>
    <r>
      <rPr>
        <sz val="10"/>
        <color theme="1"/>
        <rFont val="Calibri"/>
      </rPr>
      <t>2C x 16 sq.mm XLPE insulated Cu. Un. Ar. Cable</t>
    </r>
  </si>
  <si>
    <r>
      <rPr>
        <sz val="10"/>
        <color theme="1"/>
        <rFont val="Calibri"/>
      </rPr>
      <t>RM</t>
    </r>
  </si>
  <si>
    <r>
      <rPr>
        <sz val="10"/>
        <color theme="1"/>
        <rFont val="Calibri"/>
      </rPr>
      <t>DSR-2025- 10.8</t>
    </r>
  </si>
  <si>
    <r>
      <rPr>
        <sz val="10"/>
        <color theme="1"/>
        <rFont val="Calibri"/>
      </rPr>
      <t>Laying and fixing of one number PVC insulated and PVC sheathed / XLPE power cable of 1.1 KV grade of following size on cable tray as required.</t>
    </r>
  </si>
  <si>
    <r>
      <rPr>
        <sz val="10"/>
        <color theme="1"/>
        <rFont val="Calibri"/>
      </rPr>
      <t>DSR-2025- 10.8.1</t>
    </r>
  </si>
  <si>
    <r>
      <rPr>
        <sz val="10"/>
        <color theme="1"/>
        <rFont val="Calibri"/>
      </rPr>
      <t>Upto 35 sq. mm (clamped with 1mm thick saddle)</t>
    </r>
  </si>
  <si>
    <r>
      <rPr>
        <sz val="10"/>
        <color theme="1"/>
        <rFont val="Calibri"/>
      </rPr>
      <t>Meter</t>
    </r>
  </si>
  <si>
    <r>
      <rPr>
        <sz val="10"/>
        <color theme="1"/>
        <rFont val="Calibri"/>
      </rPr>
      <t>DSR-2025- 10.8.2</t>
    </r>
  </si>
  <si>
    <r>
      <rPr>
        <sz val="10"/>
        <color theme="1"/>
        <rFont val="Calibri"/>
      </rPr>
      <t>Above 35 sq. mm and upto 95 sq. mm (clamped with 25x3mm MS flat clamp)</t>
    </r>
  </si>
  <si>
    <r>
      <rPr>
        <sz val="10"/>
        <color theme="1"/>
        <rFont val="Calibri"/>
      </rPr>
      <t>Meter</t>
    </r>
  </si>
  <si>
    <r>
      <rPr>
        <sz val="10"/>
        <color theme="1"/>
        <rFont val="Calibri"/>
      </rPr>
      <t>DSR-2025- 10.8.3</t>
    </r>
  </si>
  <si>
    <r>
      <rPr>
        <sz val="10"/>
        <color theme="1"/>
        <rFont val="Calibri"/>
      </rPr>
      <t>Above 95 sq. mm and upto 185 sq. mm (clamped with 25/40x3mm MS flat clamp)</t>
    </r>
  </si>
  <si>
    <r>
      <rPr>
        <sz val="10"/>
        <color theme="1"/>
        <rFont val="Calibri"/>
      </rPr>
      <t>Meter</t>
    </r>
  </si>
  <si>
    <r>
      <rPr>
        <sz val="10"/>
        <color theme="1"/>
        <rFont val="Calibri"/>
      </rPr>
      <t>MR</t>
    </r>
  </si>
  <si>
    <r>
      <rPr>
        <sz val="10"/>
        <color rgb="FF000000"/>
        <rFont val="Calibri"/>
      </rPr>
      <t xml:space="preserve">Supply, Laying &amp; terminations of 1.1KV grade single core FR-LSH (Flame Retardant, Low smoke &amp; low halogen, special PVC  insulated), copper conductor unsheathed wires as per IS: 694 in existing conduits, raceways, trays etc. &amp; connections with tinned copper lugs / thimbles (earth
</t>
    </r>
    <r>
      <rPr>
        <sz val="10"/>
        <color rgb="FF000000"/>
        <rFont val="Calibri"/>
      </rPr>
      <t>wires)</t>
    </r>
  </si>
  <si>
    <r>
      <rPr>
        <sz val="10"/>
        <color theme="1"/>
        <rFont val="Calibri"/>
      </rPr>
      <t>MR</t>
    </r>
  </si>
  <si>
    <r>
      <rPr>
        <sz val="10"/>
        <color theme="1"/>
        <rFont val="Calibri"/>
      </rPr>
      <t>1C x 6 sq.mm XLPE insulated Cu. Un. Ar. Cable</t>
    </r>
  </si>
  <si>
    <r>
      <rPr>
        <sz val="10"/>
        <color theme="1"/>
        <rFont val="Calibri"/>
      </rPr>
      <t>RM</t>
    </r>
  </si>
  <si>
    <r>
      <rPr>
        <sz val="10"/>
        <color theme="1"/>
        <rFont val="Calibri"/>
      </rPr>
      <t>MR</t>
    </r>
  </si>
  <si>
    <r>
      <rPr>
        <sz val="10"/>
        <color theme="1"/>
        <rFont val="Calibri"/>
      </rPr>
      <t>1C x 4 sq.mm XLPE insulated Cu. Un. Ar. Cable</t>
    </r>
  </si>
  <si>
    <r>
      <rPr>
        <sz val="10"/>
        <color theme="1"/>
        <rFont val="Calibri"/>
      </rPr>
      <t>RM</t>
    </r>
  </si>
  <si>
    <r>
      <rPr>
        <b/>
        <sz val="10"/>
        <color theme="1"/>
        <rFont val="Calibri"/>
      </rPr>
      <t>DEDICATED EARTH BOX</t>
    </r>
  </si>
  <si>
    <r>
      <rPr>
        <sz val="10"/>
        <color theme="1"/>
        <rFont val="Calibri"/>
      </rPr>
      <t>MR</t>
    </r>
  </si>
  <si>
    <r>
      <rPr>
        <sz val="10"/>
        <color theme="1"/>
        <rFont val="Calibri"/>
      </rPr>
      <t>16G CRCA powder coated dedicated earth box of required size with 2x50x6mm copper earth link on insulated supports.</t>
    </r>
  </si>
  <si>
    <r>
      <rPr>
        <sz val="10"/>
        <color theme="1"/>
        <rFont val="Calibri"/>
      </rPr>
      <t>Nos.</t>
    </r>
  </si>
  <si>
    <r>
      <rPr>
        <b/>
        <sz val="10"/>
        <color theme="1"/>
        <rFont val="Calibri"/>
      </rPr>
      <t>TOTAL CARRIED OVER TO SUMMARY</t>
    </r>
  </si>
  <si>
    <r>
      <rPr>
        <b/>
        <sz val="10"/>
        <color theme="1"/>
        <rFont val="Calibri"/>
      </rPr>
      <t>SUB HEAD G</t>
    </r>
  </si>
  <si>
    <r>
      <rPr>
        <b/>
        <sz val="10"/>
        <color theme="1"/>
        <rFont val="Calibri"/>
      </rPr>
      <t>CHAPTER- 10</t>
    </r>
  </si>
  <si>
    <r>
      <rPr>
        <b/>
        <sz val="10"/>
        <color theme="1"/>
        <rFont val="Calibri"/>
      </rPr>
      <t>MV CABLES  (SUPPLY &amp; LAYING)</t>
    </r>
  </si>
  <si>
    <r>
      <rPr>
        <sz val="10"/>
        <color theme="1"/>
        <rFont val="Calibri"/>
      </rPr>
      <t>The rate shall also include the following:</t>
    </r>
  </si>
  <si>
    <r>
      <rPr>
        <sz val="10"/>
        <color theme="1"/>
        <rFont val="Calibri"/>
      </rPr>
      <t>Effecting adequate and proper connections at terminations.</t>
    </r>
  </si>
  <si>
    <r>
      <rPr>
        <sz val="10"/>
        <color theme="1"/>
        <rFont val="Calibri"/>
      </rPr>
      <t>Providing all fixing accessories such as clamping devices nuts, bolts and screws.</t>
    </r>
  </si>
  <si>
    <r>
      <rPr>
        <sz val="10"/>
        <color theme="1"/>
        <rFont val="Calibri"/>
      </rPr>
      <t>Excavation for laying of cables, filling of sand, brick protection, back filling of earth, watering, ramming and making good as approved in directly ground burry.</t>
    </r>
  </si>
  <si>
    <r>
      <rPr>
        <sz val="10"/>
        <color theme="1"/>
        <rFont val="Calibri"/>
      </rPr>
      <t>Wherever the cables are of aluminum and bus bars of copper bimetallic lugs shall be used.</t>
    </r>
  </si>
  <si>
    <r>
      <rPr>
        <sz val="10"/>
        <color theme="1"/>
        <rFont val="Calibri"/>
      </rPr>
      <t>All cable shall be laid with one diameter gap or as specified or as called for.</t>
    </r>
  </si>
  <si>
    <r>
      <rPr>
        <sz val="10"/>
        <color theme="1"/>
        <rFont val="Calibri"/>
      </rPr>
      <t>All cable shall be IS approved.</t>
    </r>
  </si>
  <si>
    <r>
      <rPr>
        <sz val="10"/>
        <color theme="1"/>
        <rFont val="Calibri"/>
      </rPr>
      <t>Fire retardent paint one meter on both side of wall penetration and at termination as per specifications.</t>
    </r>
  </si>
  <si>
    <r>
      <rPr>
        <sz val="10"/>
        <color theme="1"/>
        <rFont val="Calibri"/>
      </rPr>
      <t>Burried LT cables to be laid atleast 750mm below ground.</t>
    </r>
  </si>
  <si>
    <r>
      <rPr>
        <sz val="10"/>
        <color theme="1"/>
        <rFont val="Calibri"/>
      </rPr>
      <t>All cutouts / sleeves shall be sealed with fire retardant sealent as approved.</t>
    </r>
  </si>
  <si>
    <r>
      <rPr>
        <sz val="10"/>
        <color theme="1"/>
        <rFont val="Calibri"/>
      </rPr>
      <t>Leave sufficient cable loops at both the cable ends.</t>
    </r>
  </si>
  <si>
    <r>
      <rPr>
        <sz val="10"/>
        <color theme="1"/>
        <rFont val="Calibri"/>
      </rPr>
      <t>Use Tinned copper thimbles/lugs with copper cables/copper wires.</t>
    </r>
  </si>
  <si>
    <r>
      <rPr>
        <sz val="10"/>
        <color theme="1"/>
        <rFont val="Calibri"/>
      </rPr>
      <t>Cable Clamps:</t>
    </r>
  </si>
  <si>
    <r>
      <rPr>
        <sz val="10"/>
        <color theme="1"/>
        <rFont val="Calibri"/>
      </rPr>
      <t>Cable fixing clamps , saddles &amp; screws on trays / walls / slabs</t>
    </r>
  </si>
  <si>
    <r>
      <rPr>
        <u/>
        <sz val="10"/>
        <color theme="1"/>
        <rFont val="Calibri"/>
      </rPr>
      <t>Indoor Application:</t>
    </r>
  </si>
  <si>
    <r>
      <rPr>
        <sz val="10"/>
        <color theme="1"/>
        <rFont val="Calibri"/>
      </rPr>
      <t>· Aluminium</t>
    </r>
  </si>
  <si>
    <r>
      <rPr>
        <sz val="10"/>
        <color theme="1"/>
        <rFont val="Calibri"/>
      </rPr>
      <t>· Readymade type clamps  or Made from 20mm x 3mm aluminium sheet / strips.</t>
    </r>
  </si>
  <si>
    <r>
      <rPr>
        <sz val="10"/>
        <color theme="1"/>
        <rFont val="Calibri"/>
      </rPr>
      <t>· 8mm SS-304 Screws for cable size 90mm² and above.</t>
    </r>
  </si>
  <si>
    <r>
      <rPr>
        <sz val="10"/>
        <color theme="1"/>
        <rFont val="Calibri"/>
      </rPr>
      <t>· 6mm SS-304 Screws for cable size less than 90mm².</t>
    </r>
  </si>
  <si>
    <r>
      <rPr>
        <u/>
        <sz val="10"/>
        <color theme="1"/>
        <rFont val="Calibri"/>
      </rPr>
      <t>Outdoor Application:</t>
    </r>
  </si>
  <si>
    <r>
      <rPr>
        <sz val="10"/>
        <color theme="1"/>
        <rFont val="Calibri"/>
      </rPr>
      <t>· SS-304</t>
    </r>
  </si>
  <si>
    <r>
      <rPr>
        <sz val="10"/>
        <color theme="1"/>
        <rFont val="Calibri"/>
      </rPr>
      <t>· Clamps  Made from 20x1.8mm SS-304 sheet / strips.</t>
    </r>
  </si>
  <si>
    <r>
      <rPr>
        <sz val="10"/>
        <color theme="1"/>
        <rFont val="Calibri"/>
      </rPr>
      <t>·  8mm SS-304 Screws for cable size 90mm² and above.</t>
    </r>
  </si>
  <si>
    <r>
      <rPr>
        <sz val="10"/>
        <color theme="1"/>
        <rFont val="Calibri"/>
      </rPr>
      <t>· 6mm SS-304 Screws for cable size less than 90mm².</t>
    </r>
  </si>
  <si>
    <r>
      <rPr>
        <sz val="10"/>
        <color theme="1"/>
        <rFont val="Calibri"/>
      </rPr>
      <t>Clamps spacing</t>
    </r>
  </si>
  <si>
    <r>
      <rPr>
        <sz val="10"/>
        <color theme="1"/>
        <rFont val="Calibri"/>
      </rPr>
      <t>· 600mm C/C in vertical fashion in shaft on vertical trays.</t>
    </r>
  </si>
  <si>
    <r>
      <rPr>
        <sz val="10"/>
        <color theme="1"/>
        <rFont val="Calibri"/>
      </rPr>
      <t>· 1000mm C/C on horizontal tray or cable racks.</t>
    </r>
  </si>
  <si>
    <r>
      <rPr>
        <b/>
        <u/>
        <sz val="10"/>
        <color theme="1"/>
        <rFont val="Calibri"/>
      </rPr>
      <t>ARMOURED CABLES - ALUMINIUM / COPPER:</t>
    </r>
  </si>
  <si>
    <r>
      <rPr>
        <b/>
        <u/>
        <sz val="10"/>
        <color rgb="FF000000"/>
        <rFont val="Calibri"/>
      </rPr>
      <t>XLPE INSULATED, FRLS(H) PVC SHEATHED ALUMINIUM / COPPER CONDUCTOR </t>
    </r>
    <r>
      <rPr>
        <b/>
        <sz val="10"/>
        <color rgb="FF000000"/>
        <rFont val="Calibri"/>
      </rPr>
      <t xml:space="preserve"> ARMOURED CABLES (IS:7098 Part-I):</t>
    </r>
  </si>
  <si>
    <r>
      <rPr>
        <sz val="10"/>
        <color rgb="FF000000"/>
        <rFont val="Calibri"/>
      </rPr>
      <t xml:space="preserve">Supply of following sizes of 1.1kV grade </t>
    </r>
    <r>
      <rPr>
        <b/>
        <u/>
        <sz val="10"/>
        <color rgb="FF000000"/>
        <rFont val="Calibri"/>
      </rPr>
      <t>XLPE insulated, Extruded FRLS(H) PVC inner </t>
    </r>
    <r>
      <rPr>
        <b/>
        <sz val="10"/>
        <color rgb="FF000000"/>
        <rFont val="Calibri"/>
      </rPr>
      <t xml:space="preserve"> </t>
    </r>
    <r>
      <rPr>
        <b/>
        <u/>
        <sz val="10"/>
        <color rgb="FF000000"/>
        <rFont val="Calibri"/>
      </rPr>
      <t>sheath Type ST-2, FRLS(H) PVC outer sheath Type ST-2, stranded Aluminium / Copper </t>
    </r>
    <r>
      <rPr>
        <b/>
        <sz val="10"/>
        <color rgb="FF000000"/>
        <rFont val="Calibri"/>
      </rPr>
      <t xml:space="preserve"> </t>
    </r>
    <r>
      <rPr>
        <b/>
        <u/>
        <sz val="10"/>
        <color rgb="FF000000"/>
        <rFont val="Calibri"/>
      </rPr>
      <t>conductor, Armoured</t>
    </r>
    <r>
      <rPr>
        <b/>
        <sz val="10"/>
        <color rgb="FF000000"/>
        <rFont val="Calibri"/>
      </rPr>
      <t xml:space="preserve"> </t>
    </r>
    <r>
      <rPr>
        <sz val="10"/>
        <color rgb="FF000000"/>
        <rFont val="Calibri"/>
      </rPr>
      <t>cables as per IS:7098 Part-I.</t>
    </r>
  </si>
  <si>
    <r>
      <rPr>
        <b/>
        <u/>
        <sz val="10"/>
        <color theme="1"/>
        <rFont val="Calibri"/>
      </rPr>
      <t>4 CORES - ARMOURED - ALUMINIUM / COPPER</t>
    </r>
  </si>
  <si>
    <r>
      <rPr>
        <sz val="10"/>
        <color theme="1"/>
        <rFont val="Calibri"/>
      </rPr>
      <t>MR</t>
    </r>
  </si>
  <si>
    <r>
      <rPr>
        <sz val="10"/>
        <color theme="1"/>
        <rFont val="Calibri"/>
      </rPr>
      <t>4Cx 25 sq.mm. Al. Ar. XLPE cable</t>
    </r>
  </si>
  <si>
    <r>
      <rPr>
        <sz val="10"/>
        <color theme="1"/>
        <rFont val="Calibri"/>
      </rPr>
      <t>RM</t>
    </r>
  </si>
  <si>
    <r>
      <rPr>
        <sz val="10"/>
        <color theme="1"/>
        <rFont val="Calibri"/>
      </rPr>
      <t>MR</t>
    </r>
  </si>
  <si>
    <r>
      <rPr>
        <sz val="10"/>
        <color theme="1"/>
        <rFont val="Calibri"/>
      </rPr>
      <t>4C x 16 sq.mm.Cu. Ar. XLPE cable</t>
    </r>
  </si>
  <si>
    <r>
      <rPr>
        <sz val="10"/>
        <color theme="1"/>
        <rFont val="Calibri"/>
      </rPr>
      <t>RM</t>
    </r>
  </si>
  <si>
    <r>
      <rPr>
        <sz val="10"/>
        <color theme="1"/>
        <rFont val="Calibri"/>
      </rPr>
      <t>MR</t>
    </r>
  </si>
  <si>
    <r>
      <rPr>
        <sz val="10"/>
        <color theme="1"/>
        <rFont val="Calibri"/>
      </rPr>
      <t>4C x 10 sq.mm.Cu. Ar. XLPE cable</t>
    </r>
  </si>
  <si>
    <r>
      <rPr>
        <sz val="10"/>
        <color theme="1"/>
        <rFont val="Calibri"/>
      </rPr>
      <t>RM</t>
    </r>
  </si>
  <si>
    <r>
      <rPr>
        <sz val="10"/>
        <color theme="1"/>
        <rFont val="Calibri"/>
      </rPr>
      <t>MR</t>
    </r>
  </si>
  <si>
    <r>
      <rPr>
        <sz val="10"/>
        <color theme="1"/>
        <rFont val="Calibri"/>
      </rPr>
      <t>4C x 6 sq.mm.Cu. Ar. XLPE cable</t>
    </r>
  </si>
  <si>
    <r>
      <rPr>
        <sz val="10"/>
        <color theme="1"/>
        <rFont val="Calibri"/>
      </rPr>
      <t>RM</t>
    </r>
  </si>
  <si>
    <r>
      <rPr>
        <sz val="10"/>
        <color theme="1"/>
        <rFont val="Calibri"/>
      </rPr>
      <t>MR</t>
    </r>
  </si>
  <si>
    <r>
      <rPr>
        <sz val="10"/>
        <color theme="1"/>
        <rFont val="Calibri"/>
      </rPr>
      <t>4C x 4 sq.mm.Cu. Ar. XLPE cable</t>
    </r>
  </si>
  <si>
    <r>
      <rPr>
        <sz val="10"/>
        <color theme="1"/>
        <rFont val="Calibri"/>
      </rPr>
      <t>RM</t>
    </r>
  </si>
  <si>
    <r>
      <rPr>
        <b/>
        <u/>
        <sz val="10"/>
        <color theme="1"/>
        <rFont val="Calibri"/>
      </rPr>
      <t>3.5/3.0 CORES - ARMOURED - ALUMINIUM / COPPER</t>
    </r>
  </si>
  <si>
    <r>
      <rPr>
        <sz val="10"/>
        <color theme="1"/>
        <rFont val="Calibri"/>
      </rPr>
      <t>MR</t>
    </r>
  </si>
  <si>
    <r>
      <rPr>
        <sz val="10"/>
        <color theme="1"/>
        <rFont val="Calibri"/>
      </rPr>
      <t>3.5Cx 300 sq.mm. Al. Ar. XLPE cable</t>
    </r>
  </si>
  <si>
    <r>
      <rPr>
        <sz val="10"/>
        <color theme="1"/>
        <rFont val="Calibri"/>
      </rPr>
      <t>RM</t>
    </r>
  </si>
  <si>
    <r>
      <rPr>
        <sz val="10"/>
        <color theme="1"/>
        <rFont val="Calibri"/>
      </rPr>
      <t>MR</t>
    </r>
  </si>
  <si>
    <r>
      <rPr>
        <sz val="10"/>
        <color theme="1"/>
        <rFont val="Calibri"/>
      </rPr>
      <t>3.5Cx 240 sq.mm. Al. Ar. XLPE cable</t>
    </r>
  </si>
  <si>
    <r>
      <rPr>
        <sz val="10"/>
        <color theme="1"/>
        <rFont val="Calibri"/>
      </rPr>
      <t>RM</t>
    </r>
  </si>
  <si>
    <r>
      <rPr>
        <sz val="10"/>
        <color theme="1"/>
        <rFont val="Calibri"/>
      </rPr>
      <t>MR</t>
    </r>
  </si>
  <si>
    <r>
      <rPr>
        <sz val="10"/>
        <color theme="1"/>
        <rFont val="Calibri"/>
      </rPr>
      <t>3.5Cx 185 sq.mm. Al. Ar. XLPE cable</t>
    </r>
  </si>
  <si>
    <r>
      <rPr>
        <sz val="10"/>
        <color theme="1"/>
        <rFont val="Calibri"/>
      </rPr>
      <t>RM</t>
    </r>
  </si>
  <si>
    <r>
      <rPr>
        <sz val="10"/>
        <color theme="1"/>
        <rFont val="Calibri"/>
      </rPr>
      <t>MR</t>
    </r>
  </si>
  <si>
    <r>
      <rPr>
        <sz val="10"/>
        <color theme="1"/>
        <rFont val="Calibri"/>
      </rPr>
      <t>3.5Cx 150 sq.mm. Al. Ar. XLPE cable</t>
    </r>
  </si>
  <si>
    <r>
      <rPr>
        <sz val="10"/>
        <color theme="1"/>
        <rFont val="Calibri"/>
      </rPr>
      <t>RM</t>
    </r>
  </si>
  <si>
    <r>
      <rPr>
        <sz val="10"/>
        <color theme="1"/>
        <rFont val="Calibri"/>
      </rPr>
      <t>MR</t>
    </r>
  </si>
  <si>
    <r>
      <rPr>
        <sz val="10"/>
        <color theme="1"/>
        <rFont val="Calibri"/>
      </rPr>
      <t>3.5Cx 120 sq.mm. Al. Ar. XLPE cable</t>
    </r>
  </si>
  <si>
    <r>
      <rPr>
        <sz val="10"/>
        <color theme="1"/>
        <rFont val="Calibri"/>
      </rPr>
      <t>RM</t>
    </r>
  </si>
  <si>
    <r>
      <rPr>
        <sz val="10"/>
        <color theme="1"/>
        <rFont val="Calibri"/>
      </rPr>
      <t>MR</t>
    </r>
  </si>
  <si>
    <r>
      <rPr>
        <sz val="10"/>
        <color theme="1"/>
        <rFont val="Calibri"/>
      </rPr>
      <t>3.5Cx 95 sq.mm. Al. Ar. XLPE cable</t>
    </r>
  </si>
  <si>
    <r>
      <rPr>
        <sz val="10"/>
        <color theme="1"/>
        <rFont val="Calibri"/>
      </rPr>
      <t>RM</t>
    </r>
  </si>
  <si>
    <r>
      <rPr>
        <sz val="10"/>
        <color theme="1"/>
        <rFont val="Calibri"/>
      </rPr>
      <t>MR</t>
    </r>
  </si>
  <si>
    <r>
      <rPr>
        <sz val="10"/>
        <color theme="1"/>
        <rFont val="Calibri"/>
      </rPr>
      <t>3.5Cx 70 sq.mm. Al. Ar. XLPE cable</t>
    </r>
  </si>
  <si>
    <r>
      <rPr>
        <sz val="10"/>
        <color theme="1"/>
        <rFont val="Calibri"/>
      </rPr>
      <t>RM</t>
    </r>
  </si>
  <si>
    <r>
      <rPr>
        <sz val="10"/>
        <color theme="1"/>
        <rFont val="Calibri"/>
      </rPr>
      <t>MR</t>
    </r>
  </si>
  <si>
    <r>
      <rPr>
        <sz val="10"/>
        <color theme="1"/>
        <rFont val="Calibri"/>
      </rPr>
      <t>3.5Cx 50 sq.mm. Al. Ar. XLPE cable</t>
    </r>
  </si>
  <si>
    <r>
      <rPr>
        <sz val="10"/>
        <color theme="1"/>
        <rFont val="Calibri"/>
      </rPr>
      <t>RM</t>
    </r>
  </si>
  <si>
    <r>
      <rPr>
        <sz val="10"/>
        <color theme="1"/>
        <rFont val="Calibri"/>
      </rPr>
      <t>MR</t>
    </r>
  </si>
  <si>
    <r>
      <rPr>
        <sz val="10"/>
        <color theme="1"/>
        <rFont val="Calibri"/>
      </rPr>
      <t>3.5Cx 35 sq.mm. Al. Ar. XLPE cable</t>
    </r>
  </si>
  <si>
    <r>
      <rPr>
        <sz val="10"/>
        <color theme="1"/>
        <rFont val="Calibri"/>
      </rPr>
      <t>RM</t>
    </r>
  </si>
  <si>
    <r>
      <rPr>
        <b/>
        <u/>
        <sz val="10"/>
        <color theme="1"/>
        <rFont val="Calibri"/>
      </rPr>
      <t>3 CORES - ARMOURED - ALUMINIUM / COPPER</t>
    </r>
  </si>
  <si>
    <r>
      <rPr>
        <sz val="10"/>
        <color theme="1"/>
        <rFont val="Calibri"/>
      </rPr>
      <t>MR</t>
    </r>
  </si>
  <si>
    <r>
      <rPr>
        <sz val="10"/>
        <color theme="1"/>
        <rFont val="Calibri"/>
      </rPr>
      <t>3Cx 300 sq.mm. Al. Ar. XLPE cable</t>
    </r>
  </si>
  <si>
    <r>
      <rPr>
        <sz val="10"/>
        <color theme="1"/>
        <rFont val="Calibri"/>
      </rPr>
      <t>RM</t>
    </r>
  </si>
  <si>
    <r>
      <rPr>
        <sz val="10"/>
        <color theme="1"/>
        <rFont val="Calibri"/>
      </rPr>
      <t>MR</t>
    </r>
  </si>
  <si>
    <r>
      <rPr>
        <sz val="10"/>
        <color theme="1"/>
        <rFont val="Calibri"/>
      </rPr>
      <t>3Cx 95 sq.mm. Al. Ar. XLPE cable</t>
    </r>
  </si>
  <si>
    <r>
      <rPr>
        <sz val="10"/>
        <color theme="1"/>
        <rFont val="Calibri"/>
      </rPr>
      <t>RM</t>
    </r>
  </si>
  <si>
    <r>
      <rPr>
        <sz val="10"/>
        <color theme="1"/>
        <rFont val="Calibri"/>
      </rPr>
      <t>MR</t>
    </r>
  </si>
  <si>
    <r>
      <rPr>
        <sz val="10"/>
        <color theme="1"/>
        <rFont val="Calibri"/>
      </rPr>
      <t>3C x 70 sq.mm.Cu. Ar. XLPE cable</t>
    </r>
  </si>
  <si>
    <r>
      <rPr>
        <sz val="10"/>
        <color theme="1"/>
        <rFont val="Calibri"/>
      </rPr>
      <t>RM</t>
    </r>
  </si>
  <si>
    <r>
      <rPr>
        <sz val="10"/>
        <color theme="1"/>
        <rFont val="Calibri"/>
      </rPr>
      <t>MR</t>
    </r>
  </si>
  <si>
    <r>
      <rPr>
        <sz val="10"/>
        <color theme="1"/>
        <rFont val="Calibri"/>
      </rPr>
      <t>3C x 50 sq.mm.Cu. Ar. XLPE cable</t>
    </r>
  </si>
  <si>
    <r>
      <rPr>
        <sz val="10"/>
        <color theme="1"/>
        <rFont val="Calibri"/>
      </rPr>
      <t>RM</t>
    </r>
  </si>
  <si>
    <r>
      <rPr>
        <sz val="10"/>
        <color theme="1"/>
        <rFont val="Calibri"/>
      </rPr>
      <t>MR</t>
    </r>
  </si>
  <si>
    <r>
      <rPr>
        <sz val="10"/>
        <color theme="1"/>
        <rFont val="Calibri"/>
      </rPr>
      <t>3C x 16 sq.mm.Cu. Ar. XLPE cable</t>
    </r>
  </si>
  <si>
    <r>
      <rPr>
        <sz val="10"/>
        <color theme="1"/>
        <rFont val="Calibri"/>
      </rPr>
      <t>RM</t>
    </r>
  </si>
  <si>
    <r>
      <rPr>
        <sz val="10"/>
        <color theme="1"/>
        <rFont val="Calibri"/>
      </rPr>
      <t>MR</t>
    </r>
  </si>
  <si>
    <r>
      <rPr>
        <sz val="10"/>
        <color theme="1"/>
        <rFont val="Calibri"/>
      </rPr>
      <t>3C x 10 sq.mm.Cu. Ar. XLPE cable</t>
    </r>
  </si>
  <si>
    <r>
      <rPr>
        <sz val="10"/>
        <color theme="1"/>
        <rFont val="Calibri"/>
      </rPr>
      <t>RM</t>
    </r>
  </si>
  <si>
    <r>
      <rPr>
        <sz val="10"/>
        <color theme="1"/>
        <rFont val="Calibri"/>
      </rPr>
      <t>MR</t>
    </r>
  </si>
  <si>
    <r>
      <rPr>
        <sz val="10"/>
        <color theme="1"/>
        <rFont val="Calibri"/>
      </rPr>
      <t>3C x 6 sq.mm.Cu. Ar. XLPE cable</t>
    </r>
  </si>
  <si>
    <r>
      <rPr>
        <sz val="10"/>
        <color theme="1"/>
        <rFont val="Calibri"/>
      </rPr>
      <t>RM</t>
    </r>
  </si>
  <si>
    <r>
      <rPr>
        <sz val="10"/>
        <color theme="1"/>
        <rFont val="Calibri"/>
      </rPr>
      <t>MR</t>
    </r>
  </si>
  <si>
    <r>
      <rPr>
        <sz val="10"/>
        <color theme="1"/>
        <rFont val="Calibri"/>
      </rPr>
      <t>3C x 4 sq.mm.Cu. Ar. XLPE cable</t>
    </r>
  </si>
  <si>
    <r>
      <rPr>
        <sz val="10"/>
        <color theme="1"/>
        <rFont val="Calibri"/>
      </rPr>
      <t>RM</t>
    </r>
  </si>
  <si>
    <r>
      <rPr>
        <b/>
        <u/>
        <sz val="10"/>
        <color theme="1"/>
        <rFont val="Calibri"/>
      </rPr>
      <t>2 CORES - ARMOURED - ALUMINIUM / COPPER</t>
    </r>
  </si>
  <si>
    <r>
      <rPr>
        <sz val="10"/>
        <color theme="1"/>
        <rFont val="Calibri"/>
      </rPr>
      <t>MR</t>
    </r>
  </si>
  <si>
    <r>
      <rPr>
        <sz val="10"/>
        <color theme="1"/>
        <rFont val="Calibri"/>
      </rPr>
      <t>2C x 70 sq.mm.Cu. Ar. XLPE cable</t>
    </r>
  </si>
  <si>
    <r>
      <rPr>
        <sz val="10"/>
        <color theme="1"/>
        <rFont val="Calibri"/>
      </rPr>
      <t>RM</t>
    </r>
  </si>
  <si>
    <r>
      <rPr>
        <sz val="10"/>
        <color theme="1"/>
        <rFont val="Calibri"/>
      </rPr>
      <t>MR</t>
    </r>
  </si>
  <si>
    <r>
      <rPr>
        <sz val="10"/>
        <color theme="1"/>
        <rFont val="Calibri"/>
      </rPr>
      <t>2C x 50 sq.mm.Cu. Ar. XLPE cable</t>
    </r>
  </si>
  <si>
    <r>
      <rPr>
        <sz val="10"/>
        <color theme="1"/>
        <rFont val="Calibri"/>
      </rPr>
      <t>RM</t>
    </r>
  </si>
  <si>
    <r>
      <rPr>
        <sz val="10"/>
        <color theme="1"/>
        <rFont val="Calibri"/>
      </rPr>
      <t>MR</t>
    </r>
  </si>
  <si>
    <r>
      <rPr>
        <sz val="10"/>
        <color theme="1"/>
        <rFont val="Calibri"/>
      </rPr>
      <t>2C x 16 sq.mm.Cu. Ar. XLPE cable</t>
    </r>
  </si>
  <si>
    <r>
      <rPr>
        <sz val="10"/>
        <color theme="1"/>
        <rFont val="Calibri"/>
      </rPr>
      <t>RM</t>
    </r>
  </si>
  <si>
    <r>
      <rPr>
        <sz val="10"/>
        <color theme="1"/>
        <rFont val="Calibri"/>
      </rPr>
      <t>MR</t>
    </r>
  </si>
  <si>
    <r>
      <rPr>
        <sz val="10"/>
        <color theme="1"/>
        <rFont val="Calibri"/>
      </rPr>
      <t>2C x 10 sq.mm.Cu. Ar. XLPE cable</t>
    </r>
  </si>
  <si>
    <r>
      <rPr>
        <sz val="10"/>
        <color theme="1"/>
        <rFont val="Calibri"/>
      </rPr>
      <t>RM</t>
    </r>
  </si>
  <si>
    <r>
      <rPr>
        <b/>
        <u/>
        <sz val="10"/>
        <color theme="1"/>
        <rFont val="Calibri"/>
      </rPr>
      <t>2 CORES - ARMOURED - ALUMINIUM</t>
    </r>
  </si>
  <si>
    <r>
      <rPr>
        <sz val="10"/>
        <color theme="1"/>
        <rFont val="Calibri"/>
      </rPr>
      <t>MR</t>
    </r>
  </si>
  <si>
    <r>
      <rPr>
        <sz val="10"/>
        <color theme="1"/>
        <rFont val="Calibri"/>
      </rPr>
      <t>2C x 95 sq.mm.Al. Ar. XLPE cable</t>
    </r>
  </si>
  <si>
    <r>
      <rPr>
        <sz val="10"/>
        <color theme="1"/>
        <rFont val="Calibri"/>
      </rPr>
      <t>RM</t>
    </r>
  </si>
  <si>
    <r>
      <rPr>
        <b/>
        <u/>
        <sz val="10"/>
        <color theme="1"/>
        <rFont val="Calibri"/>
      </rPr>
      <t>UN ARMOURED CABLES - COPPER:</t>
    </r>
  </si>
  <si>
    <r>
      <rPr>
        <b/>
        <u/>
        <sz val="10"/>
        <color rgb="FF000000"/>
        <rFont val="Calibri"/>
      </rPr>
      <t>SUPPLY OF CABLES- XLPE INSULATED, FRLS(H) PVC SHEATHED COPPER CONDUCTOR </t>
    </r>
    <r>
      <rPr>
        <b/>
        <sz val="10"/>
        <color rgb="FF000000"/>
        <rFont val="Calibri"/>
      </rPr>
      <t xml:space="preserve"> UN. ARMOURED CABLES (IS:7098 Part-I):</t>
    </r>
  </si>
  <si>
    <r>
      <rPr>
        <sz val="10"/>
        <color rgb="FF000000"/>
        <rFont val="Calibri"/>
      </rPr>
      <t xml:space="preserve">Supply of following sizes of 1.1kV grade </t>
    </r>
    <r>
      <rPr>
        <b/>
        <u/>
        <sz val="10"/>
        <color rgb="FF000000"/>
        <rFont val="Calibri"/>
      </rPr>
      <t>XLPE insulated, Extruded FRLS(H) PVC sheath </t>
    </r>
    <r>
      <rPr>
        <b/>
        <sz val="10"/>
        <color rgb="FF000000"/>
        <rFont val="Calibri"/>
      </rPr>
      <t xml:space="preserve"> </t>
    </r>
    <r>
      <rPr>
        <b/>
        <u/>
        <sz val="10"/>
        <color rgb="FF000000"/>
        <rFont val="Calibri"/>
      </rPr>
      <t xml:space="preserve">Type ST-2 with Anti termite and Anti rodent properties, Copper Conductor, Un. 
</t>
    </r>
    <r>
      <rPr>
        <b/>
        <sz val="10"/>
        <color rgb="FF000000"/>
        <rFont val="Calibri"/>
      </rPr>
      <t xml:space="preserve">Armoured </t>
    </r>
    <r>
      <rPr>
        <sz val="10"/>
        <color rgb="FF000000"/>
        <rFont val="Calibri"/>
      </rPr>
      <t>cables as per IS:7098 Part-I.</t>
    </r>
  </si>
  <si>
    <r>
      <rPr>
        <sz val="10"/>
        <color theme="1"/>
        <rFont val="Calibri"/>
      </rPr>
      <t>MR</t>
    </r>
  </si>
  <si>
    <r>
      <rPr>
        <sz val="10"/>
        <color theme="1"/>
        <rFont val="Calibri"/>
      </rPr>
      <t>1Cx 185 sq.mm. Cu. Un. Ar. XLPE cable</t>
    </r>
  </si>
  <si>
    <r>
      <rPr>
        <sz val="10"/>
        <color theme="1"/>
        <rFont val="Calibri"/>
      </rPr>
      <t>RM</t>
    </r>
  </si>
  <si>
    <r>
      <rPr>
        <sz val="10"/>
        <color theme="1"/>
        <rFont val="Calibri"/>
      </rPr>
      <t>MR</t>
    </r>
  </si>
  <si>
    <r>
      <rPr>
        <sz val="10"/>
        <color theme="1"/>
        <rFont val="Calibri"/>
      </rPr>
      <t>1Cx 95 sq.mm. Cu. Un. Ar. XLPE cable</t>
    </r>
  </si>
  <si>
    <r>
      <rPr>
        <sz val="10"/>
        <color theme="1"/>
        <rFont val="Calibri"/>
      </rPr>
      <t>RM</t>
    </r>
  </si>
  <si>
    <r>
      <rPr>
        <sz val="10"/>
        <color theme="1"/>
        <rFont val="Calibri"/>
      </rPr>
      <t>MR</t>
    </r>
  </si>
  <si>
    <r>
      <rPr>
        <sz val="10"/>
        <color theme="1"/>
        <rFont val="Calibri"/>
      </rPr>
      <t>1Cx 70 sq.mm. Cu. Un. Ar. XLPE cable</t>
    </r>
  </si>
  <si>
    <r>
      <rPr>
        <sz val="10"/>
        <color theme="1"/>
        <rFont val="Calibri"/>
      </rPr>
      <t>RM</t>
    </r>
  </si>
  <si>
    <r>
      <rPr>
        <sz val="10"/>
        <color theme="1"/>
        <rFont val="Calibri"/>
      </rPr>
      <t>MR</t>
    </r>
  </si>
  <si>
    <r>
      <rPr>
        <sz val="10"/>
        <color theme="1"/>
        <rFont val="Calibri"/>
      </rPr>
      <t>1Cx 50 sq.mm. Cu. Un. Ar. XLPE cable</t>
    </r>
  </si>
  <si>
    <r>
      <rPr>
        <sz val="10"/>
        <color theme="1"/>
        <rFont val="Calibri"/>
      </rPr>
      <t>RM</t>
    </r>
  </si>
  <si>
    <r>
      <rPr>
        <sz val="10"/>
        <color theme="1"/>
        <rFont val="Calibri"/>
      </rPr>
      <t>MR</t>
    </r>
  </si>
  <si>
    <r>
      <rPr>
        <sz val="10"/>
        <color theme="1"/>
        <rFont val="Calibri"/>
      </rPr>
      <t>1Cx 16 sq.mm. Cu. Un. Ar. XLPE cable</t>
    </r>
  </si>
  <si>
    <r>
      <rPr>
        <sz val="10"/>
        <color theme="1"/>
        <rFont val="Calibri"/>
      </rPr>
      <t>RM</t>
    </r>
  </si>
  <si>
    <r>
      <rPr>
        <sz val="10"/>
        <color theme="1"/>
        <rFont val="Calibri"/>
      </rPr>
      <t>MR</t>
    </r>
  </si>
  <si>
    <r>
      <rPr>
        <sz val="10"/>
        <color theme="1"/>
        <rFont val="Calibri"/>
      </rPr>
      <t>4Cx 4 sq.mm. Cu. Un. Ar. XLPE cable</t>
    </r>
  </si>
  <si>
    <r>
      <rPr>
        <sz val="10"/>
        <color theme="1"/>
        <rFont val="Calibri"/>
      </rPr>
      <t>RM</t>
    </r>
  </si>
  <si>
    <r>
      <rPr>
        <sz val="10"/>
        <color theme="1"/>
        <rFont val="Calibri"/>
      </rPr>
      <t>MR</t>
    </r>
  </si>
  <si>
    <r>
      <rPr>
        <sz val="10"/>
        <color theme="1"/>
        <rFont val="Calibri"/>
      </rPr>
      <t>3Cx 4 sq.mm. Cu. Flexible PVC cable</t>
    </r>
  </si>
  <si>
    <r>
      <rPr>
        <sz val="10"/>
        <color theme="1"/>
        <rFont val="Calibri"/>
      </rPr>
      <t>RM</t>
    </r>
  </si>
  <si>
    <r>
      <rPr>
        <b/>
        <sz val="10"/>
        <color theme="1"/>
        <rFont val="Calibri"/>
      </rPr>
      <t>FIRE SURVIVAL CABLES : COPPER CONDUCTOR  CABLES</t>
    </r>
  </si>
  <si>
    <r>
      <rPr>
        <sz val="10"/>
        <color rgb="FF000000"/>
        <rFont val="Calibri"/>
      </rPr>
      <t xml:space="preserve">Supply of </t>
    </r>
    <r>
      <rPr>
        <u/>
        <sz val="10"/>
        <color rgb="FF000000"/>
        <rFont val="Calibri"/>
      </rPr>
      <t>Fire Survival armoured cables</t>
    </r>
    <r>
      <rPr>
        <sz val="10"/>
        <color rgb="FF000000"/>
        <rFont val="Calibri"/>
      </rPr>
      <t xml:space="preserve"> of 600/1000V rated with Copper circular conductor having glass mica fire barrier tape covered by an XLPE insulation and LSZH for inner &amp; outer sheath. Generally as per BS 7846, IEC-60502-1 &amp; BS-8519 (latest edition). Should retain circuit integrity as per BS 8491:2008 (950°C for 3 hours) for cables having overall dia of 20mm and above. Cables with overall dia below 20 mm should retain circuit integrity as per BS 8434-2.
</t>
    </r>
    <r>
      <rPr>
        <sz val="10"/>
        <color rgb="FF000000"/>
        <rFont val="Calibri"/>
      </rPr>
      <t>3rd Party inspection required prior to despatch of every lot. Cables shall be LPCB / TUV / BRE Global certified.</t>
    </r>
  </si>
  <si>
    <r>
      <rPr>
        <sz val="10"/>
        <color theme="1"/>
        <rFont val="Calibri"/>
      </rPr>
      <t>MR</t>
    </r>
  </si>
  <si>
    <r>
      <rPr>
        <sz val="10"/>
        <color theme="1"/>
        <rFont val="Calibri"/>
      </rPr>
      <t>2c x 4 Sq.mm Copper Conductor Ar. FS Cable</t>
    </r>
  </si>
  <si>
    <r>
      <rPr>
        <sz val="10"/>
        <color theme="1"/>
        <rFont val="Calibri"/>
      </rPr>
      <t>RM</t>
    </r>
  </si>
  <si>
    <r>
      <rPr>
        <sz val="10"/>
        <color theme="1"/>
        <rFont val="Calibri"/>
      </rPr>
      <t>MR</t>
    </r>
  </si>
  <si>
    <r>
      <rPr>
        <sz val="10"/>
        <color theme="1"/>
        <rFont val="Calibri"/>
      </rPr>
      <t>3c x 4 Sq.mm Copper Conductor Ar. FS Cable</t>
    </r>
  </si>
  <si>
    <r>
      <rPr>
        <sz val="10"/>
        <color theme="1"/>
        <rFont val="Calibri"/>
      </rPr>
      <t>RM</t>
    </r>
  </si>
  <si>
    <r>
      <rPr>
        <sz val="10"/>
        <color theme="1"/>
        <rFont val="Calibri"/>
      </rPr>
      <t>MR</t>
    </r>
  </si>
  <si>
    <r>
      <rPr>
        <sz val="10"/>
        <color theme="1"/>
        <rFont val="Calibri"/>
      </rPr>
      <t>3c x 6 Sq.mm Copper Conductor Ar. FS Cable</t>
    </r>
  </si>
  <si>
    <r>
      <rPr>
        <sz val="10"/>
        <color theme="1"/>
        <rFont val="Calibri"/>
      </rPr>
      <t>RM</t>
    </r>
  </si>
  <si>
    <r>
      <rPr>
        <sz val="10"/>
        <color theme="1"/>
        <rFont val="Calibri"/>
      </rPr>
      <t>MR</t>
    </r>
  </si>
  <si>
    <r>
      <rPr>
        <sz val="10"/>
        <color theme="1"/>
        <rFont val="Calibri"/>
      </rPr>
      <t>4c x 4 Sq.mm Copper Conductor Ar. FS Cable</t>
    </r>
  </si>
  <si>
    <r>
      <rPr>
        <sz val="10"/>
        <color theme="1"/>
        <rFont val="Calibri"/>
      </rPr>
      <t>RM</t>
    </r>
  </si>
  <si>
    <r>
      <rPr>
        <sz val="10"/>
        <color theme="1"/>
        <rFont val="Calibri"/>
      </rPr>
      <t>Laying and fixing of one number PVC insulated and PVC sheathed / XLPE power cable of 1.1 KV grade of following size on cable tray as required.</t>
    </r>
  </si>
  <si>
    <r>
      <rPr>
        <sz val="10"/>
        <color theme="1"/>
        <rFont val="Calibri"/>
      </rPr>
      <t>Upto 35 sq. mm (clamped with 1mm thick saddle)</t>
    </r>
  </si>
  <si>
    <r>
      <rPr>
        <sz val="10"/>
        <color theme="1"/>
        <rFont val="Calibri"/>
      </rPr>
      <t>Meter</t>
    </r>
  </si>
  <si>
    <r>
      <rPr>
        <sz val="10"/>
        <color theme="1"/>
        <rFont val="Calibri"/>
      </rPr>
      <t>Above 35 sq. mm and upto 95 sq. mm (clamped with 25x3mm MS flat clamp)</t>
    </r>
  </si>
  <si>
    <r>
      <rPr>
        <sz val="10"/>
        <color theme="1"/>
        <rFont val="Calibri"/>
      </rPr>
      <t>Meter</t>
    </r>
  </si>
  <si>
    <r>
      <rPr>
        <sz val="10"/>
        <color theme="1"/>
        <rFont val="Calibri"/>
      </rPr>
      <t>Above 95 sq. mm and upto 185 sq. mm (clamped with 25/40x3mm MS flat clamp)</t>
    </r>
  </si>
  <si>
    <r>
      <rPr>
        <sz val="10"/>
        <color theme="1"/>
        <rFont val="Calibri"/>
      </rPr>
      <t>Meter</t>
    </r>
  </si>
  <si>
    <r>
      <rPr>
        <sz val="10"/>
        <color theme="1"/>
        <rFont val="Calibri"/>
      </rPr>
      <t>Above 185 sq. mm and upto 400 sq. mm (clamped with 40x3mm MS flat clamp)</t>
    </r>
  </si>
  <si>
    <r>
      <rPr>
        <sz val="10"/>
        <color theme="1"/>
        <rFont val="Calibri"/>
      </rPr>
      <t>Meter</t>
    </r>
  </si>
  <si>
    <r>
      <rPr>
        <b/>
        <sz val="10"/>
        <color theme="1"/>
        <rFont val="Calibri"/>
      </rPr>
      <t>TOTAL CARRIED OVER TO SUMMARY</t>
    </r>
  </si>
  <si>
    <r>
      <rPr>
        <b/>
        <sz val="10"/>
        <color theme="1"/>
        <rFont val="Calibri"/>
      </rPr>
      <t>SUB HEAD H</t>
    </r>
  </si>
  <si>
    <r>
      <rPr>
        <b/>
        <sz val="10"/>
        <color theme="1"/>
        <rFont val="Calibri"/>
      </rPr>
      <t>CHAPTER- 11</t>
    </r>
  </si>
  <si>
    <r>
      <rPr>
        <b/>
        <sz val="10"/>
        <color theme="1"/>
        <rFont val="Calibri"/>
      </rPr>
      <t>MV CABLE JOINTING &amp; END TERMINATION</t>
    </r>
  </si>
  <si>
    <r>
      <rPr>
        <sz val="10"/>
        <color theme="1"/>
        <rFont val="Calibri"/>
      </rPr>
      <t>DSR-2025- 11.1</t>
    </r>
  </si>
  <si>
    <r>
      <rPr>
        <sz val="10"/>
        <color theme="1"/>
        <rFont val="Calibri"/>
      </rPr>
      <t>Supplying and making end termination with brass compression gland and aluminium lugs for following size of PVC insulated and PVC sheathed / XLPE aluminium conductor cable of 1.1 KV grade as required.</t>
    </r>
  </si>
  <si>
    <r>
      <rPr>
        <sz val="10"/>
        <color theme="1"/>
        <rFont val="Calibri"/>
      </rPr>
      <t>MR</t>
    </r>
  </si>
  <si>
    <r>
      <rPr>
        <sz val="10"/>
        <color theme="1"/>
        <rFont val="Calibri"/>
      </rPr>
      <t>2 X 95 sq. mm</t>
    </r>
  </si>
  <si>
    <r>
      <rPr>
        <sz val="10"/>
        <color theme="1"/>
        <rFont val="Calibri"/>
      </rPr>
      <t>Each</t>
    </r>
  </si>
  <si>
    <r>
      <rPr>
        <sz val="10"/>
        <color theme="1"/>
        <rFont val="Calibri"/>
      </rPr>
      <t>DSR-2025- 11.1.13</t>
    </r>
  </si>
  <si>
    <r>
      <rPr>
        <sz val="10"/>
        <color theme="1"/>
        <rFont val="Calibri"/>
      </rPr>
      <t>3 X 95 sq. mm (38mm)</t>
    </r>
  </si>
  <si>
    <r>
      <rPr>
        <sz val="10"/>
        <color theme="1"/>
        <rFont val="Calibri"/>
      </rPr>
      <t>Each</t>
    </r>
  </si>
  <si>
    <r>
      <rPr>
        <sz val="10"/>
        <color theme="1"/>
        <rFont val="Calibri"/>
      </rPr>
      <t>DSR-2025- 11.1.19</t>
    </r>
  </si>
  <si>
    <r>
      <rPr>
        <sz val="10"/>
        <color theme="1"/>
        <rFont val="Calibri"/>
      </rPr>
      <t>3 X 300 sq. mm (70mm)</t>
    </r>
  </si>
  <si>
    <r>
      <rPr>
        <sz val="10"/>
        <color theme="1"/>
        <rFont val="Calibri"/>
      </rPr>
      <t>Each</t>
    </r>
  </si>
  <si>
    <r>
      <rPr>
        <sz val="10"/>
        <color theme="1"/>
        <rFont val="Calibri"/>
      </rPr>
      <t>DSR-2025- 11.1.21</t>
    </r>
  </si>
  <si>
    <r>
      <rPr>
        <sz val="10"/>
        <color theme="1"/>
        <rFont val="Calibri"/>
      </rPr>
      <t>3½ X 35 sq. mm (32mm)</t>
    </r>
  </si>
  <si>
    <r>
      <rPr>
        <sz val="10"/>
        <color theme="1"/>
        <rFont val="Calibri"/>
      </rPr>
      <t>Each</t>
    </r>
  </si>
  <si>
    <r>
      <rPr>
        <sz val="10"/>
        <color theme="1"/>
        <rFont val="Calibri"/>
      </rPr>
      <t>DSR-2025- 11.1.22</t>
    </r>
  </si>
  <si>
    <r>
      <rPr>
        <sz val="10"/>
        <color theme="1"/>
        <rFont val="Calibri"/>
      </rPr>
      <t>3½ X 50 sq. mm (35mm)</t>
    </r>
  </si>
  <si>
    <r>
      <rPr>
        <sz val="10"/>
        <color theme="1"/>
        <rFont val="Calibri"/>
      </rPr>
      <t>Each</t>
    </r>
  </si>
  <si>
    <r>
      <rPr>
        <sz val="10"/>
        <color theme="1"/>
        <rFont val="Calibri"/>
      </rPr>
      <t>DSR-2025- 11.1.23</t>
    </r>
  </si>
  <si>
    <r>
      <rPr>
        <sz val="10"/>
        <color theme="1"/>
        <rFont val="Calibri"/>
      </rPr>
      <t>3½ X 70 sq. mm (38mm)</t>
    </r>
  </si>
  <si>
    <r>
      <rPr>
        <sz val="10"/>
        <color theme="1"/>
        <rFont val="Calibri"/>
      </rPr>
      <t>Each</t>
    </r>
  </si>
  <si>
    <r>
      <rPr>
        <sz val="10"/>
        <color theme="1"/>
        <rFont val="Calibri"/>
      </rPr>
      <t>DSR-2025- 11.1.24</t>
    </r>
  </si>
  <si>
    <r>
      <rPr>
        <sz val="10"/>
        <color theme="1"/>
        <rFont val="Calibri"/>
      </rPr>
      <t>3½ X 95 sq. mm (45mm)</t>
    </r>
  </si>
  <si>
    <r>
      <rPr>
        <sz val="10"/>
        <color theme="1"/>
        <rFont val="Calibri"/>
      </rPr>
      <t>Each</t>
    </r>
  </si>
  <si>
    <r>
      <rPr>
        <sz val="10"/>
        <color theme="1"/>
        <rFont val="Calibri"/>
      </rPr>
      <t>DSR-2025- 11.1.25</t>
    </r>
  </si>
  <si>
    <r>
      <rPr>
        <sz val="10"/>
        <color theme="1"/>
        <rFont val="Calibri"/>
      </rPr>
      <t>3½ X 120 sq. mm (45mm)</t>
    </r>
  </si>
  <si>
    <r>
      <rPr>
        <sz val="10"/>
        <color theme="1"/>
        <rFont val="Calibri"/>
      </rPr>
      <t>Each</t>
    </r>
  </si>
  <si>
    <r>
      <rPr>
        <sz val="10"/>
        <color theme="1"/>
        <rFont val="Calibri"/>
      </rPr>
      <t>DSR-2025- 11.1.26</t>
    </r>
  </si>
  <si>
    <r>
      <rPr>
        <sz val="10"/>
        <color theme="1"/>
        <rFont val="Calibri"/>
      </rPr>
      <t>3½ X 150 sq. mm (50mm)</t>
    </r>
  </si>
  <si>
    <r>
      <rPr>
        <sz val="10"/>
        <color theme="1"/>
        <rFont val="Calibri"/>
      </rPr>
      <t>Each</t>
    </r>
  </si>
  <si>
    <r>
      <rPr>
        <sz val="10"/>
        <color theme="1"/>
        <rFont val="Calibri"/>
      </rPr>
      <t>DSR-2025- 11.1.27</t>
    </r>
  </si>
  <si>
    <r>
      <rPr>
        <sz val="10"/>
        <color theme="1"/>
        <rFont val="Calibri"/>
      </rPr>
      <t>3½ X 185 sq. mm (57mm)</t>
    </r>
  </si>
  <si>
    <r>
      <rPr>
        <sz val="10"/>
        <color theme="1"/>
        <rFont val="Calibri"/>
      </rPr>
      <t>Each</t>
    </r>
  </si>
  <si>
    <r>
      <rPr>
        <sz val="10"/>
        <color theme="1"/>
        <rFont val="Calibri"/>
      </rPr>
      <t>DSR-2025- 11.1.29</t>
    </r>
  </si>
  <si>
    <r>
      <rPr>
        <sz val="10"/>
        <color theme="1"/>
        <rFont val="Calibri"/>
      </rPr>
      <t>3½ X 240 sq. mm (62mm)</t>
    </r>
  </si>
  <si>
    <r>
      <rPr>
        <sz val="10"/>
        <color theme="1"/>
        <rFont val="Calibri"/>
      </rPr>
      <t>Each</t>
    </r>
  </si>
  <si>
    <r>
      <rPr>
        <sz val="10"/>
        <color theme="1"/>
        <rFont val="Calibri"/>
      </rPr>
      <t>DSR-2025- 11.1.30</t>
    </r>
  </si>
  <si>
    <r>
      <rPr>
        <sz val="10"/>
        <color theme="1"/>
        <rFont val="Calibri"/>
      </rPr>
      <t>3½ X 300 sq. mm (70mm)</t>
    </r>
  </si>
  <si>
    <r>
      <rPr>
        <sz val="10"/>
        <color theme="1"/>
        <rFont val="Calibri"/>
      </rPr>
      <t>Each</t>
    </r>
  </si>
  <si>
    <r>
      <rPr>
        <sz val="10"/>
        <color theme="1"/>
        <rFont val="Calibri"/>
      </rPr>
      <t>DSR-2025- 11.1.34</t>
    </r>
  </si>
  <si>
    <r>
      <rPr>
        <sz val="10"/>
        <color theme="1"/>
        <rFont val="Calibri"/>
      </rPr>
      <t>4 X 25 sq. mm (28mm)</t>
    </r>
  </si>
  <si>
    <r>
      <rPr>
        <sz val="10"/>
        <color theme="1"/>
        <rFont val="Calibri"/>
      </rPr>
      <t>Each</t>
    </r>
  </si>
  <si>
    <r>
      <rPr>
        <b/>
        <u/>
        <sz val="10"/>
        <color theme="1"/>
        <rFont val="Calibri"/>
      </rPr>
      <t>CABLE TERMINATION (IS:7098 Part-I) - FOR COPPER CABLES</t>
    </r>
  </si>
  <si>
    <r>
      <rPr>
        <sz val="10"/>
        <color rgb="FF000000"/>
        <rFont val="Calibri"/>
      </rPr>
      <t xml:space="preserve">Cable end Termination of following sizes </t>
    </r>
    <r>
      <rPr>
        <b/>
        <u/>
        <sz val="10"/>
        <color rgb="FF000000"/>
        <rFont val="Calibri"/>
      </rPr>
      <t>XLPE insulated, Extruded FRLS(H) PVC sheath </t>
    </r>
    <r>
      <rPr>
        <b/>
        <sz val="10"/>
        <color rgb="FF000000"/>
        <rFont val="Calibri"/>
      </rPr>
      <t xml:space="preserve"> </t>
    </r>
    <r>
      <rPr>
        <b/>
        <u/>
        <sz val="10"/>
        <color rgb="FF000000"/>
        <rFont val="Calibri"/>
      </rPr>
      <t xml:space="preserve">Type ST-2 with Anti termite and Anti rodent properties, Copper Conductor, Un. 
</t>
    </r>
    <r>
      <rPr>
        <b/>
        <u/>
        <sz val="10"/>
        <color rgb="FF000000"/>
        <rFont val="Calibri"/>
      </rPr>
      <t>Armoured / Armoured</t>
    </r>
    <r>
      <rPr>
        <b/>
        <sz val="10"/>
        <color rgb="FF000000"/>
        <rFont val="Calibri"/>
      </rPr>
      <t xml:space="preserve"> </t>
    </r>
    <r>
      <rPr>
        <sz val="10"/>
        <color rgb="FF000000"/>
        <rFont val="Calibri"/>
      </rPr>
      <t xml:space="preserve">cables as per IS:7098 Part-I including cost of aluminium, heavy duty crimpping lugs, double compression glands, insulation tape and all necessary material to
</t>
    </r>
    <r>
      <rPr>
        <sz val="10"/>
        <color rgb="FF000000"/>
        <rFont val="Calibri"/>
      </rPr>
      <t>complete the termination.</t>
    </r>
  </si>
  <si>
    <r>
      <rPr>
        <sz val="10"/>
        <color theme="1"/>
        <rFont val="Calibri"/>
      </rPr>
      <t>MR</t>
    </r>
  </si>
  <si>
    <r>
      <rPr>
        <sz val="10"/>
        <color theme="1"/>
        <rFont val="Calibri"/>
      </rPr>
      <t>1Cx 50 sq.mm. Cu. Un. Ar. XLPE cable</t>
    </r>
  </si>
  <si>
    <r>
      <rPr>
        <sz val="10"/>
        <color theme="1"/>
        <rFont val="Calibri"/>
      </rPr>
      <t>Each</t>
    </r>
  </si>
  <si>
    <r>
      <rPr>
        <sz val="10"/>
        <color theme="1"/>
        <rFont val="Calibri"/>
      </rPr>
      <t>MR</t>
    </r>
  </si>
  <si>
    <r>
      <rPr>
        <sz val="10"/>
        <color theme="1"/>
        <rFont val="Calibri"/>
      </rPr>
      <t>1Cx 16 sq.mm. Cu. Un. Ar. XLPE cable</t>
    </r>
  </si>
  <si>
    <r>
      <rPr>
        <sz val="10"/>
        <color theme="1"/>
        <rFont val="Calibri"/>
      </rPr>
      <t>Each</t>
    </r>
  </si>
  <si>
    <r>
      <rPr>
        <sz val="10"/>
        <color theme="1"/>
        <rFont val="Calibri"/>
      </rPr>
      <t>MR</t>
    </r>
  </si>
  <si>
    <r>
      <rPr>
        <sz val="10"/>
        <color theme="1"/>
        <rFont val="Calibri"/>
      </rPr>
      <t>1Cx 70 sq.mm. Cu. Un. Ar. XLPE cable</t>
    </r>
  </si>
  <si>
    <r>
      <rPr>
        <sz val="10"/>
        <color theme="1"/>
        <rFont val="Calibri"/>
      </rPr>
      <t>Each</t>
    </r>
  </si>
  <si>
    <r>
      <rPr>
        <sz val="10"/>
        <color theme="1"/>
        <rFont val="Calibri"/>
      </rPr>
      <t>MR</t>
    </r>
  </si>
  <si>
    <r>
      <rPr>
        <sz val="10"/>
        <color theme="1"/>
        <rFont val="Calibri"/>
      </rPr>
      <t>1Cx 95 sq.mm. Cu. Un. Ar. XLPE cable</t>
    </r>
  </si>
  <si>
    <r>
      <rPr>
        <sz val="10"/>
        <color theme="1"/>
        <rFont val="Calibri"/>
      </rPr>
      <t>Each</t>
    </r>
  </si>
  <si>
    <r>
      <rPr>
        <sz val="10"/>
        <color theme="1"/>
        <rFont val="Calibri"/>
      </rPr>
      <t>MR</t>
    </r>
  </si>
  <si>
    <r>
      <rPr>
        <sz val="10"/>
        <color theme="1"/>
        <rFont val="Calibri"/>
      </rPr>
      <t>1Cx 185 sq.mm. Cu. Un. Ar. XLPE cable</t>
    </r>
  </si>
  <si>
    <r>
      <rPr>
        <sz val="10"/>
        <color theme="1"/>
        <rFont val="Calibri"/>
      </rPr>
      <t>Each</t>
    </r>
  </si>
  <si>
    <r>
      <rPr>
        <sz val="10"/>
        <color theme="1"/>
        <rFont val="Calibri"/>
      </rPr>
      <t>MR</t>
    </r>
  </si>
  <si>
    <r>
      <rPr>
        <sz val="10"/>
        <color theme="1"/>
        <rFont val="Calibri"/>
      </rPr>
      <t>4Cx 4 sq.mm. Cu. Un. Ar. XLPE cable</t>
    </r>
  </si>
  <si>
    <r>
      <rPr>
        <sz val="10"/>
        <color theme="1"/>
        <rFont val="Calibri"/>
      </rPr>
      <t>Each</t>
    </r>
  </si>
  <si>
    <r>
      <rPr>
        <sz val="10"/>
        <color theme="1"/>
        <rFont val="Calibri"/>
      </rPr>
      <t>MR</t>
    </r>
  </si>
  <si>
    <r>
      <rPr>
        <sz val="10"/>
        <color theme="1"/>
        <rFont val="Calibri"/>
      </rPr>
      <t>4Cx 16 sq.mm. Cu. Ar. XLPE cable</t>
    </r>
  </si>
  <si>
    <r>
      <rPr>
        <sz val="10"/>
        <color theme="1"/>
        <rFont val="Calibri"/>
      </rPr>
      <t>Each</t>
    </r>
  </si>
  <si>
    <r>
      <rPr>
        <sz val="10"/>
        <color theme="1"/>
        <rFont val="Calibri"/>
      </rPr>
      <t>MR</t>
    </r>
  </si>
  <si>
    <r>
      <rPr>
        <sz val="10"/>
        <color theme="1"/>
        <rFont val="Calibri"/>
      </rPr>
      <t>4Cx 10 sq.mm. Cu. Ar. XLPE cable</t>
    </r>
  </si>
  <si>
    <r>
      <rPr>
        <sz val="10"/>
        <color theme="1"/>
        <rFont val="Calibri"/>
      </rPr>
      <t>Each</t>
    </r>
  </si>
  <si>
    <r>
      <rPr>
        <sz val="10"/>
        <color theme="1"/>
        <rFont val="Calibri"/>
      </rPr>
      <t>MR</t>
    </r>
  </si>
  <si>
    <r>
      <rPr>
        <sz val="10"/>
        <color theme="1"/>
        <rFont val="Calibri"/>
      </rPr>
      <t>4Cx 6 sq.mm. Cu. Ar. XLPE cable</t>
    </r>
  </si>
  <si>
    <r>
      <rPr>
        <sz val="10"/>
        <color theme="1"/>
        <rFont val="Calibri"/>
      </rPr>
      <t>Each</t>
    </r>
  </si>
  <si>
    <r>
      <rPr>
        <sz val="10"/>
        <color theme="1"/>
        <rFont val="Calibri"/>
      </rPr>
      <t>MR</t>
    </r>
  </si>
  <si>
    <r>
      <rPr>
        <sz val="10"/>
        <color theme="1"/>
        <rFont val="Calibri"/>
      </rPr>
      <t>4Cx 4 sq.mm. Cu. Ar. XLPE cable</t>
    </r>
  </si>
  <si>
    <r>
      <rPr>
        <sz val="10"/>
        <color theme="1"/>
        <rFont val="Calibri"/>
      </rPr>
      <t>Each</t>
    </r>
  </si>
  <si>
    <r>
      <rPr>
        <sz val="10"/>
        <color theme="1"/>
        <rFont val="Calibri"/>
      </rPr>
      <t>MR</t>
    </r>
  </si>
  <si>
    <r>
      <rPr>
        <sz val="10"/>
        <color theme="1"/>
        <rFont val="Calibri"/>
      </rPr>
      <t>3Cx 70 sq.mm. Cu. Ar. XLPE cable</t>
    </r>
  </si>
  <si>
    <r>
      <rPr>
        <sz val="10"/>
        <color theme="1"/>
        <rFont val="Calibri"/>
      </rPr>
      <t>Each</t>
    </r>
  </si>
  <si>
    <r>
      <rPr>
        <sz val="10"/>
        <color theme="1"/>
        <rFont val="Calibri"/>
      </rPr>
      <t>MR</t>
    </r>
  </si>
  <si>
    <r>
      <rPr>
        <sz val="10"/>
        <color theme="1"/>
        <rFont val="Calibri"/>
      </rPr>
      <t>3Cx 50 sq.mm. Cu. Ar. XLPE cable</t>
    </r>
  </si>
  <si>
    <r>
      <rPr>
        <sz val="10"/>
        <color theme="1"/>
        <rFont val="Calibri"/>
      </rPr>
      <t>Each</t>
    </r>
  </si>
  <si>
    <r>
      <rPr>
        <sz val="10"/>
        <color theme="1"/>
        <rFont val="Calibri"/>
      </rPr>
      <t>MR</t>
    </r>
  </si>
  <si>
    <r>
      <rPr>
        <sz val="10"/>
        <color theme="1"/>
        <rFont val="Calibri"/>
      </rPr>
      <t>3Cx 16 sq.mm. Cu. Ar. XLPE cable</t>
    </r>
  </si>
  <si>
    <r>
      <rPr>
        <sz val="10"/>
        <color theme="1"/>
        <rFont val="Calibri"/>
      </rPr>
      <t>Each</t>
    </r>
  </si>
  <si>
    <r>
      <rPr>
        <sz val="10"/>
        <color theme="1"/>
        <rFont val="Calibri"/>
      </rPr>
      <t>MR</t>
    </r>
  </si>
  <si>
    <r>
      <rPr>
        <sz val="10"/>
        <color theme="1"/>
        <rFont val="Calibri"/>
      </rPr>
      <t>3Cx 10 sq.mm. Cu. Ar. XLPE cable</t>
    </r>
  </si>
  <si>
    <r>
      <rPr>
        <sz val="10"/>
        <color theme="1"/>
        <rFont val="Calibri"/>
      </rPr>
      <t>Each</t>
    </r>
  </si>
  <si>
    <r>
      <rPr>
        <sz val="10"/>
        <color theme="1"/>
        <rFont val="Calibri"/>
      </rPr>
      <t>MR</t>
    </r>
  </si>
  <si>
    <r>
      <rPr>
        <sz val="10"/>
        <color theme="1"/>
        <rFont val="Calibri"/>
      </rPr>
      <t>3Cx 6 sq.mm. Cu. Ar. XLPE cable</t>
    </r>
  </si>
  <si>
    <r>
      <rPr>
        <sz val="10"/>
        <color theme="1"/>
        <rFont val="Calibri"/>
      </rPr>
      <t>Each</t>
    </r>
  </si>
  <si>
    <r>
      <rPr>
        <sz val="10"/>
        <color theme="1"/>
        <rFont val="Calibri"/>
      </rPr>
      <t>MR</t>
    </r>
  </si>
  <si>
    <r>
      <rPr>
        <sz val="10"/>
        <color theme="1"/>
        <rFont val="Calibri"/>
      </rPr>
      <t>3Cx 4 sq.mm. Cu. Ar. XLPE cable</t>
    </r>
  </si>
  <si>
    <r>
      <rPr>
        <sz val="10"/>
        <color theme="1"/>
        <rFont val="Calibri"/>
      </rPr>
      <t>Each</t>
    </r>
  </si>
  <si>
    <r>
      <rPr>
        <sz val="10"/>
        <color theme="1"/>
        <rFont val="Calibri"/>
      </rPr>
      <t>MR</t>
    </r>
  </si>
  <si>
    <r>
      <rPr>
        <sz val="10"/>
        <color theme="1"/>
        <rFont val="Calibri"/>
      </rPr>
      <t>2Cx 70 sq.mm. Cu. Ar. XLPE cable</t>
    </r>
  </si>
  <si>
    <r>
      <rPr>
        <sz val="10"/>
        <color theme="1"/>
        <rFont val="Calibri"/>
      </rPr>
      <t>Each</t>
    </r>
  </si>
  <si>
    <r>
      <rPr>
        <sz val="10"/>
        <color theme="1"/>
        <rFont val="Calibri"/>
      </rPr>
      <t>MR</t>
    </r>
  </si>
  <si>
    <r>
      <rPr>
        <sz val="10"/>
        <color theme="1"/>
        <rFont val="Calibri"/>
      </rPr>
      <t>2Cx 50 sq.mm. Cu. Ar. XLPE cable</t>
    </r>
  </si>
  <si>
    <r>
      <rPr>
        <sz val="10"/>
        <color theme="1"/>
        <rFont val="Calibri"/>
      </rPr>
      <t>Each</t>
    </r>
  </si>
  <si>
    <r>
      <rPr>
        <sz val="10"/>
        <color theme="1"/>
        <rFont val="Calibri"/>
      </rPr>
      <t>MR</t>
    </r>
  </si>
  <si>
    <r>
      <rPr>
        <sz val="10"/>
        <color theme="1"/>
        <rFont val="Calibri"/>
      </rPr>
      <t>2Cx 16 sq.mm. Cu. Ar. XLPE cable</t>
    </r>
  </si>
  <si>
    <r>
      <rPr>
        <sz val="10"/>
        <color theme="1"/>
        <rFont val="Calibri"/>
      </rPr>
      <t>Each</t>
    </r>
  </si>
  <si>
    <r>
      <rPr>
        <sz val="10"/>
        <color theme="1"/>
        <rFont val="Calibri"/>
      </rPr>
      <t>MR</t>
    </r>
  </si>
  <si>
    <r>
      <rPr>
        <sz val="10"/>
        <color theme="1"/>
        <rFont val="Calibri"/>
      </rPr>
      <t>2Cx 10 sq.mm. Cu. Ar. XLPE cable</t>
    </r>
  </si>
  <si>
    <r>
      <rPr>
        <sz val="10"/>
        <color theme="1"/>
        <rFont val="Calibri"/>
      </rPr>
      <t>Each</t>
    </r>
  </si>
  <si>
    <r>
      <rPr>
        <sz val="10"/>
        <color theme="1"/>
        <rFont val="Calibri"/>
      </rPr>
      <t>MR</t>
    </r>
  </si>
  <si>
    <r>
      <rPr>
        <sz val="10"/>
        <color theme="1"/>
        <rFont val="Calibri"/>
      </rPr>
      <t>2Cx 4 sq.mm. Cu. Ar. XLPE cable</t>
    </r>
  </si>
  <si>
    <r>
      <rPr>
        <sz val="10"/>
        <color theme="1"/>
        <rFont val="Calibri"/>
      </rPr>
      <t>Each</t>
    </r>
  </si>
  <si>
    <r>
      <rPr>
        <sz val="10"/>
        <color theme="1"/>
        <rFont val="Calibri"/>
      </rPr>
      <t>MR</t>
    </r>
  </si>
  <si>
    <r>
      <rPr>
        <sz val="10"/>
        <color theme="1"/>
        <rFont val="Calibri"/>
      </rPr>
      <t>3Cx 4 sq.mm. Cu. Flexible PVC cable</t>
    </r>
  </si>
  <si>
    <r>
      <rPr>
        <sz val="10"/>
        <color theme="1"/>
        <rFont val="Calibri"/>
      </rPr>
      <t>Each</t>
    </r>
  </si>
  <si>
    <r>
      <rPr>
        <b/>
        <sz val="10"/>
        <color theme="1"/>
        <rFont val="Calibri"/>
      </rPr>
      <t>TOTAL CARRIED OVER TO SUMMARY</t>
    </r>
  </si>
  <si>
    <r>
      <rPr>
        <b/>
        <sz val="10"/>
        <color theme="1"/>
        <rFont val="Calibri"/>
      </rPr>
      <t>SUB HEAD I</t>
    </r>
  </si>
  <si>
    <r>
      <rPr>
        <b/>
        <sz val="10"/>
        <color theme="1"/>
        <rFont val="Calibri"/>
      </rPr>
      <t>MV PANELS (AS PER SLD)</t>
    </r>
  </si>
  <si>
    <r>
      <rPr>
        <b/>
        <sz val="10"/>
        <color rgb="FF000000"/>
        <rFont val="Calibri"/>
      </rPr>
      <t xml:space="preserve">Design, manufacture, assembly, wiring, testing at works and supply to site of following
</t>
    </r>
    <r>
      <rPr>
        <b/>
        <sz val="10"/>
        <color rgb="FF000000"/>
        <rFont val="Calibri"/>
      </rPr>
      <t>panels/ distribution boards/ switch boards. The boards shall be designed and fabricated as per general specifications, technical details, specifications and notes as</t>
    </r>
  </si>
  <si>
    <r>
      <rPr>
        <b/>
        <sz val="10"/>
        <color theme="1"/>
        <rFont val="Calibri"/>
      </rPr>
      <t>Also, refer to General Notes and Specifications for Panels/ Boards</t>
    </r>
  </si>
  <si>
    <r>
      <rPr>
        <b/>
        <sz val="10"/>
        <color theme="1"/>
        <rFont val="Calibri"/>
      </rPr>
      <t>GENERAL NOTES FOR  ACB's &amp; MCCB's:</t>
    </r>
  </si>
  <si>
    <r>
      <rPr>
        <sz val="10"/>
        <color theme="1"/>
        <rFont val="Calibri"/>
      </rPr>
      <t>ACB's &amp; MCCB's shall be of 3P or 4P as called for in the BOQ.</t>
    </r>
  </si>
  <si>
    <r>
      <rPr>
        <sz val="10"/>
        <color theme="1"/>
        <rFont val="Calibri"/>
      </rPr>
      <t>Ics = Icu = 100% for the MCCB's, MPCB's &amp; ACB's</t>
    </r>
  </si>
  <si>
    <r>
      <rPr>
        <sz val="10"/>
        <color theme="1"/>
        <rFont val="Calibri"/>
      </rPr>
      <t>MCCB's shall be with extended rotary handle.</t>
    </r>
  </si>
  <si>
    <r>
      <rPr>
        <sz val="10"/>
        <color theme="1"/>
        <rFont val="Calibri"/>
      </rPr>
      <t>Exact rating (Amps), Poles, Type/Duty, Short circuit rating of MCCB is to be selected by the contractor as per load, fault and requirement and also approval taken.</t>
    </r>
  </si>
  <si>
    <r>
      <rPr>
        <sz val="10"/>
        <color theme="1"/>
        <rFont val="Calibri"/>
      </rPr>
      <t>All Switchgear selections shall be as per manufacturer's recommendation.</t>
    </r>
  </si>
  <si>
    <r>
      <rPr>
        <sz val="10"/>
        <color theme="1"/>
        <rFont val="Calibri"/>
      </rPr>
      <t>Contractor to submit manufacturer's selection charts for approval.</t>
    </r>
  </si>
  <si>
    <r>
      <rPr>
        <sz val="10"/>
        <color theme="1"/>
        <rFont val="Calibri"/>
      </rPr>
      <t>Only one make of switchgear to be used in a board /panel.</t>
    </r>
  </si>
  <si>
    <r>
      <rPr>
        <sz val="10"/>
        <color theme="1"/>
        <rFont val="Calibri"/>
      </rPr>
      <t>All communicable meters should be looped inside the panels and this loop has to be brought to one terminal point in the panel for connectivity.</t>
    </r>
  </si>
  <si>
    <r>
      <rPr>
        <sz val="10"/>
        <color theme="1"/>
        <rFont val="Calibri"/>
      </rPr>
      <t>No BMS cable should be directly connected to VFD and hence these points will have to be brought on to the terminal blocks inside the panel.</t>
    </r>
  </si>
  <si>
    <r>
      <rPr>
        <sz val="10"/>
        <color theme="1"/>
        <rFont val="Calibri"/>
      </rPr>
      <t>All energy meters shall be dual source and communicable type.</t>
    </r>
  </si>
  <si>
    <r>
      <rPr>
        <sz val="10"/>
        <color theme="1"/>
        <rFont val="Calibri"/>
      </rPr>
      <t>EMC &amp;  RFI FILTRATION FOR VFD's.</t>
    </r>
  </si>
  <si>
    <r>
      <rPr>
        <sz val="10"/>
        <color rgb="FF000000"/>
        <rFont val="Calibri"/>
      </rPr>
      <t xml:space="preserve">VFD’s for sensitive installations  where life critical data communications  are of importance
</t>
    </r>
    <r>
      <rPr>
        <sz val="10"/>
        <color rgb="FF000000"/>
        <rFont val="Calibri"/>
      </rPr>
      <t xml:space="preserve">,like:
</t>
    </r>
    <r>
      <rPr>
        <sz val="10"/>
        <color rgb="FF000000"/>
        <rFont val="Calibri"/>
      </rPr>
      <t xml:space="preserve">• Hospitals
</t>
    </r>
    <r>
      <rPr>
        <sz val="10"/>
        <color rgb="FF000000"/>
        <rFont val="Calibri"/>
      </rPr>
      <t xml:space="preserve">• Airports
</t>
    </r>
    <r>
      <rPr>
        <sz val="10"/>
        <color rgb="FF000000"/>
        <rFont val="Calibri"/>
      </rPr>
      <t xml:space="preserve">• Electronic Industry
</t>
    </r>
    <r>
      <rPr>
        <sz val="10"/>
        <color rgb="FF000000"/>
        <rFont val="Calibri"/>
      </rPr>
      <t xml:space="preserve">• Data centres
</t>
    </r>
    <r>
      <rPr>
        <sz val="10"/>
        <color rgb="FF000000"/>
        <rFont val="Calibri"/>
      </rPr>
      <t xml:space="preserve">• Communication centres
</t>
    </r>
    <r>
      <rPr>
        <sz val="10"/>
        <color rgb="FF000000"/>
        <rFont val="Calibri"/>
      </rPr>
      <t xml:space="preserve">These installations Must have ‘C1’ category of  RFI &amp; EMC filters for 50 meters of cable length. These are applicable to all the VFD’s of AHU’s, fans, blowers, pumps , chillers and cooling towers.
</t>
    </r>
    <r>
      <rPr>
        <sz val="10"/>
        <color rgb="FF000000"/>
        <rFont val="Calibri"/>
      </rPr>
      <t xml:space="preserve">For these above mentioned critical applications, if chiller motors and pump motors are more
</t>
    </r>
    <r>
      <rPr>
        <sz val="10"/>
        <color rgb="FF000000"/>
        <rFont val="Calibri"/>
      </rPr>
      <t xml:space="preserve">than 90Kw, then ‘C2’ category of filters to be used if ‘ C1’ is not available.
</t>
    </r>
    <r>
      <rPr>
        <sz val="10"/>
        <color rgb="FF000000"/>
        <rFont val="Calibri"/>
      </rPr>
      <t>VFD’s for normal buildings and others similar installations  shall have ‘C3’ category of RFI &amp; EMC filter for AHU’s , fans, blowers, pumps, cooling towers &amp; Chillers .</t>
    </r>
  </si>
  <si>
    <r>
      <rPr>
        <sz val="10"/>
        <color theme="1"/>
        <rFont val="Calibri"/>
      </rPr>
      <t>THDI for VFD's between 35% and 40%  except VFD's for chillers, which will have THDI not exceeding 25%.</t>
    </r>
  </si>
  <si>
    <r>
      <rPr>
        <sz val="10"/>
        <color theme="1"/>
        <rFont val="Calibri"/>
      </rPr>
      <t>All VFD's shall be IP-20, if installed inside the panels and shall be IP55 if installed without enclosure.</t>
    </r>
  </si>
  <si>
    <r>
      <rPr>
        <sz val="10"/>
        <color theme="1"/>
        <rFont val="Calibri"/>
      </rPr>
      <t>Incomer switchgear, bus bars, supports and outgoing switchgear shall be of same fault level withstand capacity as mentioned for the panel.</t>
    </r>
  </si>
  <si>
    <r>
      <rPr>
        <sz val="10"/>
        <color theme="1"/>
        <rFont val="Calibri"/>
      </rPr>
      <t>All starter feeders/ VFD feeders in panels means complete with starter &amp; VFD as the case may be as per specifications.</t>
    </r>
  </si>
  <si>
    <r>
      <rPr>
        <sz val="10"/>
        <color theme="1"/>
        <rFont val="Calibri"/>
      </rPr>
      <t>Use separate PLC's for Load management and  separate for  interlocking of breakers and bus couplers .</t>
    </r>
  </si>
  <si>
    <r>
      <rPr>
        <sz val="10"/>
        <color rgb="FF000000"/>
        <rFont val="Calibri"/>
      </rPr>
      <t xml:space="preserve">In the Main LT Panel, DG Power Panel, LT Panel cum DG Power Panel &amp; Fire Emergency Panel: An external power source from 24V DC batteries with battery charger,independant of main supply  has been proposed for trip circuit:
</t>
    </r>
    <r>
      <rPr>
        <sz val="10"/>
        <color rgb="FF000000"/>
        <rFont val="Calibri"/>
      </rPr>
      <t xml:space="preserve">● 24 V DC bus to be run inside the panel
</t>
    </r>
    <r>
      <rPr>
        <sz val="10"/>
        <color rgb="FF000000"/>
        <rFont val="Calibri"/>
      </rPr>
      <t xml:space="preserve">● For ON / OFF / Trip Indications.(24V DC)
</t>
    </r>
    <r>
      <rPr>
        <sz val="10"/>
        <color rgb="FF000000"/>
        <rFont val="Calibri"/>
      </rPr>
      <t xml:space="preserve">● For Trip circuit healthy indications.(24V DC)
</t>
    </r>
    <r>
      <rPr>
        <sz val="10"/>
        <color rgb="FF000000"/>
        <rFont val="Calibri"/>
      </rPr>
      <t>● For Shunt trip coil (24V DC).</t>
    </r>
  </si>
  <si>
    <r>
      <rPr>
        <sz val="10"/>
        <color rgb="FF000000"/>
        <rFont val="Calibri"/>
      </rPr>
      <t xml:space="preserve">In the Main LT Panel, DG Power Panel, LT Panel cum DG Power Panel &amp; Fire Emergency Panel: It is recommend not to have 230V supply on panel door for Metering &amp; Indication lamps.
</t>
    </r>
    <r>
      <rPr>
        <sz val="10"/>
        <color rgb="FF000000"/>
        <rFont val="Calibri"/>
      </rPr>
      <t xml:space="preserve">Therefore  415/√3 / 110 / √3  PT  is considered to get 110 / √3 for ( 3 nos. Single phase PT's)
</t>
    </r>
    <r>
      <rPr>
        <sz val="10"/>
        <color rgb="FF000000"/>
        <rFont val="Calibri"/>
      </rPr>
      <t xml:space="preserve">for:
</t>
    </r>
    <r>
      <rPr>
        <sz val="10"/>
        <color rgb="FF000000"/>
        <rFont val="Calibri"/>
      </rPr>
      <t xml:space="preserve">● R, Y, B Phase indication lamp  at the incomer : 63V
</t>
    </r>
    <r>
      <rPr>
        <sz val="10"/>
        <color rgb="FF000000"/>
        <rFont val="Calibri"/>
      </rPr>
      <t>● Incomer Metering / MFM meters:110V</t>
    </r>
  </si>
  <si>
    <r>
      <rPr>
        <sz val="10"/>
        <color rgb="FF000000"/>
        <rFont val="Calibri"/>
      </rPr>
      <t xml:space="preserve">In the Motor Control Panel &amp; Other Panels : It is recommend not to have 230V supply on panel door for Metering &amp; Indication lamps. Therefore  415/√3 / 110 / √3  PT  is considered to get 110 / √3 for ( 3 nos. Single phase PT's) for:
</t>
    </r>
    <r>
      <rPr>
        <sz val="10"/>
        <color rgb="FF000000"/>
        <rFont val="Calibri"/>
      </rPr>
      <t xml:space="preserve">● R, Y, B Phase indication lamp  at the incomer : 63V
</t>
    </r>
    <r>
      <rPr>
        <sz val="10"/>
        <color rgb="FF000000"/>
        <rFont val="Calibri"/>
      </rPr>
      <t xml:space="preserve">● Incomer Metering / MFM meters:110V incomer metering
</t>
    </r>
    <r>
      <rPr>
        <sz val="10"/>
        <color rgb="FF000000"/>
        <rFont val="Calibri"/>
      </rPr>
      <t>● On, Off, Trip indication lamps at incomer: 110V</t>
    </r>
  </si>
  <si>
    <r>
      <rPr>
        <sz val="10"/>
        <color rgb="FF000000"/>
        <rFont val="Calibri"/>
      </rPr>
      <t xml:space="preserve">In the Motor Control Panel &amp; Other Panels: It is also recommended to have a control transformer 415V (2 Phase) / 110V (1 Phase) for:
</t>
    </r>
    <r>
      <rPr>
        <sz val="10"/>
        <color rgb="FF000000"/>
        <rFont val="Calibri"/>
      </rPr>
      <t>• Starter's contactor coil (110V)</t>
    </r>
  </si>
  <si>
    <r>
      <rPr>
        <sz val="10"/>
        <color theme="1"/>
        <rFont val="Calibri"/>
      </rPr>
      <t>Metering &amp; Indications:</t>
    </r>
  </si>
  <si>
    <r>
      <rPr>
        <b/>
        <sz val="10"/>
        <color theme="1"/>
        <rFont val="Calibri"/>
      </rPr>
      <t>A. For Main LT Panel, DG Power Panel, LT Panel cum DG Power Panel &amp; Fire Emergency Panel, provide:</t>
    </r>
  </si>
  <si>
    <r>
      <rPr>
        <u/>
        <sz val="10"/>
        <color theme="1"/>
        <rFont val="Calibri"/>
      </rPr>
      <t>Incomer Metering Chamber:</t>
    </r>
  </si>
  <si>
    <r>
      <rPr>
        <sz val="10"/>
        <color rgb="FF000000"/>
        <rFont val="Calibri"/>
      </rPr>
      <t xml:space="preserve">• Provide a </t>
    </r>
    <r>
      <rPr>
        <u/>
        <sz val="10"/>
        <color rgb="FF000000"/>
        <rFont val="Calibri"/>
      </rPr>
      <t>Separate Metering Chamber </t>
    </r>
    <r>
      <rPr>
        <sz val="10"/>
        <color rgb="FF000000"/>
        <rFont val="Calibri"/>
      </rPr>
      <t>for the Incomer to house a 415V / √3 / 110V / √3 PT.</t>
    </r>
  </si>
  <si>
    <r>
      <rPr>
        <sz val="10"/>
        <color theme="1"/>
        <rFont val="Calibri"/>
      </rPr>
      <t>• Door to have R, Y, B (63.5V) LED indication lamps for incomer.</t>
    </r>
  </si>
  <si>
    <r>
      <rPr>
        <sz val="10"/>
        <color theme="1"/>
        <rFont val="Calibri"/>
      </rPr>
      <t>• Door to have MFM / Metering (110V) incomer metering.</t>
    </r>
  </si>
  <si>
    <r>
      <rPr>
        <sz val="10"/>
        <color theme="1"/>
        <rFont val="Calibri"/>
      </rPr>
      <t>• Door to have ON / OFF / TRIP Indication LED: 24V DC</t>
    </r>
  </si>
  <si>
    <r>
      <rPr>
        <u/>
        <sz val="10"/>
        <color theme="1"/>
        <rFont val="Calibri"/>
      </rPr>
      <t>Bus PT Chamber for metering of outgoing feeders:</t>
    </r>
  </si>
  <si>
    <r>
      <rPr>
        <sz val="10"/>
        <color theme="1"/>
        <rFont val="Calibri"/>
      </rPr>
      <t>Provide a separate Bus PT Chamber next to Bus coupler ACB section to house a 415V / √3 / 110V / √3 PT for MFM / Metering (110V) of outgoing feeders.</t>
    </r>
  </si>
  <si>
    <r>
      <rPr>
        <sz val="10"/>
        <color theme="1"/>
        <rFont val="Calibri"/>
      </rPr>
      <t>Outgoing feeders to have ON,OFF,TRIP LED Indication lamps:24VDC</t>
    </r>
  </si>
  <si>
    <r>
      <rPr>
        <b/>
        <sz val="10"/>
        <color theme="1"/>
        <rFont val="Calibri"/>
      </rPr>
      <t>B. For Motor Control Centres &amp; Other Panels, provide:</t>
    </r>
  </si>
  <si>
    <r>
      <rPr>
        <u/>
        <sz val="10"/>
        <color theme="1"/>
        <rFont val="Calibri"/>
      </rPr>
      <t>Incomer Metering Chamber:</t>
    </r>
  </si>
  <si>
    <r>
      <rPr>
        <sz val="10"/>
        <color rgb="FF000000"/>
        <rFont val="Calibri"/>
      </rPr>
      <t xml:space="preserve">• Provide a </t>
    </r>
    <r>
      <rPr>
        <u/>
        <sz val="10"/>
        <color rgb="FF000000"/>
        <rFont val="Calibri"/>
      </rPr>
      <t>Separate Metering Chamber </t>
    </r>
    <r>
      <rPr>
        <sz val="10"/>
        <color rgb="FF000000"/>
        <rFont val="Calibri"/>
      </rPr>
      <t>for the Incomer to house a 415V / √3 / 110V / √3 PT.</t>
    </r>
  </si>
  <si>
    <r>
      <rPr>
        <sz val="10"/>
        <color theme="1"/>
        <rFont val="Calibri"/>
      </rPr>
      <t>• Door to have R, Y, B (63.5V) LED indication lamp for incomer.</t>
    </r>
  </si>
  <si>
    <r>
      <rPr>
        <sz val="10"/>
        <color theme="1"/>
        <rFont val="Calibri"/>
      </rPr>
      <t>• Door to have VAF / Metering (110V) incomer metering.</t>
    </r>
  </si>
  <si>
    <r>
      <rPr>
        <sz val="10"/>
        <color theme="1"/>
        <rFont val="Calibri"/>
      </rPr>
      <t>• Door to have ON, OFF, Trip Indication for incomer (110V).</t>
    </r>
  </si>
  <si>
    <r>
      <rPr>
        <u/>
        <sz val="10"/>
        <color theme="1"/>
        <rFont val="Calibri"/>
      </rPr>
      <t>Control Transformer Chamber:</t>
    </r>
  </si>
  <si>
    <r>
      <rPr>
        <sz val="10"/>
        <color rgb="FF000000"/>
        <rFont val="Calibri"/>
      </rPr>
      <t xml:space="preserve">Provide a separate </t>
    </r>
    <r>
      <rPr>
        <u/>
        <sz val="10"/>
        <color rgb="FF000000"/>
        <rFont val="Calibri"/>
      </rPr>
      <t>Control Transformer Chamber</t>
    </r>
    <r>
      <rPr>
        <sz val="10"/>
        <color rgb="FF000000"/>
        <rFont val="Calibri"/>
      </rPr>
      <t xml:space="preserve"> to house a 415V (2 Phase) / 110V (1 Phase) Control Transformer for outgoing feeders for:</t>
    </r>
  </si>
  <si>
    <r>
      <rPr>
        <sz val="10"/>
        <color theme="1"/>
        <rFont val="Calibri"/>
      </rPr>
      <t>• ON / OFF / Trip Indication (110V) for out going feeders.</t>
    </r>
  </si>
  <si>
    <r>
      <rPr>
        <sz val="10"/>
        <color theme="1"/>
        <rFont val="Calibri"/>
      </rPr>
      <t>• Starter / Contactor Coils (110V) for out going feeders.</t>
    </r>
  </si>
  <si>
    <r>
      <rPr>
        <b/>
        <u/>
        <sz val="10"/>
        <color theme="1"/>
        <rFont val="Calibri"/>
      </rPr>
      <t>Notes:</t>
    </r>
  </si>
  <si>
    <r>
      <rPr>
        <sz val="10"/>
        <color rgb="FF000000"/>
        <rFont val="Calibri"/>
      </rPr>
      <t xml:space="preserve">• For  24V DC  supply, battery &amp; battery charger shall be employed, specified separately in
</t>
    </r>
    <r>
      <rPr>
        <sz val="10"/>
        <color rgb="FF000000"/>
        <rFont val="Calibri"/>
      </rPr>
      <t>another sub-head of the BOQ.</t>
    </r>
  </si>
  <si>
    <r>
      <rPr>
        <sz val="10"/>
        <color theme="1"/>
        <rFont val="Calibri"/>
      </rPr>
      <t>• ‘DC’ control cabling to be laid from Battery &amp; Battery charger unit to ‘DC’ DB and then to:</t>
    </r>
  </si>
  <si>
    <r>
      <rPr>
        <sz val="10"/>
        <color theme="1"/>
        <rFont val="Calibri"/>
      </rPr>
      <t>o   Main LT Panel</t>
    </r>
  </si>
  <si>
    <r>
      <rPr>
        <sz val="10"/>
        <color theme="1"/>
        <rFont val="Calibri"/>
      </rPr>
      <t>o   DG Power Panel</t>
    </r>
  </si>
  <si>
    <r>
      <rPr>
        <sz val="10"/>
        <color theme="1"/>
        <rFont val="Calibri"/>
      </rPr>
      <t>o   Main LT Panel cum DG Power Panel</t>
    </r>
  </si>
  <si>
    <r>
      <rPr>
        <sz val="10"/>
        <color theme="1"/>
        <rFont val="Calibri"/>
      </rPr>
      <t>o   Fire Emergency Panel</t>
    </r>
  </si>
  <si>
    <r>
      <rPr>
        <b/>
        <sz val="10"/>
        <color theme="1"/>
        <rFont val="Calibri"/>
      </rPr>
      <t>GENERAL NOTES FOR TRANSIENT VOLTAGE SURGE SUPPRESSOR (TVSS):</t>
    </r>
  </si>
  <si>
    <r>
      <rPr>
        <sz val="10"/>
        <color theme="1"/>
        <rFont val="Calibri"/>
      </rPr>
      <t>Transient Voltage Surge Suppressors (TVSS) shall be mounted out side the panel / switch board in a sheet steel enclosure.</t>
    </r>
  </si>
  <si>
    <r>
      <rPr>
        <sz val="10"/>
        <color theme="1"/>
        <rFont val="Calibri"/>
      </rPr>
      <t>It shall be suitable for handling required (specified) surge handling capacity, shall be 10 modes protection with noise filters. (EMI &amp; RFI) and with inbuilt back up fuse protection.</t>
    </r>
  </si>
  <si>
    <r>
      <rPr>
        <sz val="10"/>
        <color theme="1"/>
        <rFont val="Calibri"/>
      </rPr>
      <t>Surge suppressor shall be complete with isolating / protective device in the form of MCB / MCCB of KA rating (breaking capacity) as of switch board.</t>
    </r>
  </si>
  <si>
    <r>
      <rPr>
        <sz val="10"/>
        <color rgb="FF000000"/>
        <rFont val="Calibri"/>
      </rPr>
      <t xml:space="preserve">10 MODE transient voltage surge suppressor (MOV-Metal Oxide Varistors). It shall be complete with EMI &amp; RFI filters. TVSS assembly cartrage shall be encapsulated inside a NEMA / an IEC enclosure &amp; shall be completely sealed. It shall have inbuilt fuse protection &amp; thermal disconnector and a RED LED indications or a mechanical flag for indication of end of life and a potential free contact for remote / BMS indication for end of lift.
</t>
    </r>
    <r>
      <rPr>
        <sz val="10"/>
        <color rgb="FF000000"/>
        <rFont val="Calibri"/>
      </rPr>
      <t>TVSS shall be Type B + Type C as per German Standard or Type 1 + Type 2 as per IEC standards.</t>
    </r>
  </si>
  <si>
    <r>
      <rPr>
        <sz val="10"/>
        <color theme="1"/>
        <rFont val="Calibri"/>
      </rPr>
      <t>Type 1 (Type B) : For Lightning Surges Type 2 (Type C) : For Switching Surges</t>
    </r>
  </si>
  <si>
    <r>
      <rPr>
        <sz val="10"/>
        <color theme="1"/>
        <rFont val="Calibri"/>
      </rPr>
      <t>10 Modes are :</t>
    </r>
  </si>
  <si>
    <r>
      <rPr>
        <sz val="10"/>
        <color theme="1"/>
        <rFont val="Calibri"/>
      </rPr>
      <t>a) RY, YB, BR                                 3</t>
    </r>
  </si>
  <si>
    <r>
      <rPr>
        <sz val="10"/>
        <color theme="1"/>
        <rFont val="Calibri"/>
      </rPr>
      <t>b) RN, YN, BN                               3</t>
    </r>
  </si>
  <si>
    <r>
      <rPr>
        <sz val="10"/>
        <color theme="1"/>
        <rFont val="Calibri"/>
      </rPr>
      <t>c) RG, YG, BG, NG                       4</t>
    </r>
  </si>
  <si>
    <r>
      <rPr>
        <sz val="10"/>
        <color theme="1"/>
        <rFont val="Calibri"/>
      </rPr>
      <t xml:space="preserve">Total                                       </t>
    </r>
    <r>
      <rPr>
        <u/>
        <sz val="10"/>
        <color theme="1"/>
        <rFont val="Calibri"/>
      </rPr>
      <t>10 Modes</t>
    </r>
  </si>
  <si>
    <r>
      <rPr>
        <b/>
        <u/>
        <sz val="10"/>
        <color rgb="FF000000"/>
        <rFont val="Calibri"/>
      </rPr>
      <t>IMPORTANT NOTES FOR ELECTRICAL PANELS, SWITCHGEAR &amp; MOTOR CONTROL </t>
    </r>
    <r>
      <rPr>
        <b/>
        <sz val="10"/>
        <color rgb="FF000000"/>
        <rFont val="Calibri"/>
      </rPr>
      <t xml:space="preserve"> CENTRES</t>
    </r>
  </si>
  <si>
    <r>
      <rPr>
        <sz val="10"/>
        <color theme="1"/>
        <rFont val="Calibri"/>
      </rPr>
      <t>SWITCHGEAR OF ONLY ONE MAKE / MANUFACTURER TO BE USED.</t>
    </r>
  </si>
  <si>
    <r>
      <rPr>
        <sz val="10"/>
        <color theme="1"/>
        <rFont val="Calibri"/>
      </rPr>
      <t>TYPE-2 CO-ORDINATION TO BE FOLLOWED.</t>
    </r>
  </si>
  <si>
    <r>
      <rPr>
        <sz val="10"/>
        <color theme="1"/>
        <rFont val="Calibri"/>
      </rPr>
      <t>ICS = ICU = 100% FOR THE MCCB'S, MPCB'S &amp; ACB'S</t>
    </r>
  </si>
  <si>
    <r>
      <rPr>
        <sz val="10"/>
        <color rgb="FF000000"/>
        <rFont val="Calibri"/>
      </rPr>
      <t xml:space="preserve">MOTORISED (EDO) ACB’S SHALL HAVE CLOSING COIL, SHUNT TRIP COIL &amp; UNDER VOLTAGE
</t>
    </r>
    <r>
      <rPr>
        <sz val="10"/>
        <color rgb="FF000000"/>
        <rFont val="Calibri"/>
      </rPr>
      <t>RELEASE.</t>
    </r>
  </si>
  <si>
    <r>
      <rPr>
        <sz val="10"/>
        <color theme="1"/>
        <rFont val="Calibri"/>
      </rPr>
      <t>MANUAL (MDO) ACB’S SHALL HAVE SHUNT TRIP COIL.</t>
    </r>
  </si>
  <si>
    <r>
      <rPr>
        <sz val="10"/>
        <color theme="1"/>
        <rFont val="Calibri"/>
      </rPr>
      <t>ACB’S UPTO 4000A SHALL BE SINGLE FRAME TYPE.</t>
    </r>
  </si>
  <si>
    <r>
      <rPr>
        <sz val="10"/>
        <color theme="1"/>
        <rFont val="Calibri"/>
      </rPr>
      <t>ALL ACB’s OF ALL RATINGS, MANUAL &amp; MOTORISED SHALL BE OF DRAW OUT TYPE.</t>
    </r>
  </si>
  <si>
    <r>
      <rPr>
        <sz val="10"/>
        <color theme="1"/>
        <rFont val="Calibri"/>
      </rPr>
      <t>MCCB’S WITH FIXED THERMAL &amp; MAGNETIC RELEASES, WHEREVER CALLED FOR, CAN ALSO BE WITH ADJUTABLE THERMAL &amp; FIXED MAGNETIC, IF THIS COMES AS A STANDARD FEATURE OF THE PRODUCT.</t>
    </r>
  </si>
  <si>
    <r>
      <rPr>
        <sz val="10"/>
        <color rgb="FF000000"/>
        <rFont val="Calibri"/>
      </rPr>
      <t xml:space="preserve">MCCB’s UPTO 250A SHALL BE WITH FIXED RELEASES &amp; ABOVE 250A SHALL BE WITH MICRO
</t>
    </r>
    <r>
      <rPr>
        <sz val="10"/>
        <color rgb="FF000000"/>
        <rFont val="Calibri"/>
      </rPr>
      <t>PROCESSOR BASED RELEASES.</t>
    </r>
  </si>
  <si>
    <r>
      <rPr>
        <sz val="10"/>
        <color rgb="FF000000"/>
        <rFont val="Calibri"/>
      </rPr>
      <t xml:space="preserve">MOTOR DUTY MPCB’S &amp; MCCB’S TO BE SELECTED AS PER SWITCHGEAR MANUFACTURER’S
</t>
    </r>
    <r>
      <rPr>
        <sz val="10"/>
        <color rgb="FF000000"/>
        <rFont val="Calibri"/>
      </rPr>
      <t>RECOMMENDATION / CHARTS.</t>
    </r>
  </si>
  <si>
    <r>
      <rPr>
        <sz val="10"/>
        <color theme="1"/>
        <rFont val="Calibri"/>
      </rPr>
      <t>IN CASE OF ANY DISCREPANCY BETWEEN SPECIFICATIONS, BOQ &amp; DRAWING (SLD), THE BEST</t>
    </r>
  </si>
  <si>
    <r>
      <rPr>
        <sz val="10"/>
        <color theme="1"/>
        <rFont val="Calibri"/>
      </rPr>
      <t>TEMPERATURE DERATION OF SWITCHGEAR TO BE TAKEN INTO ACCOUNT WHILE SELECTING IT EVEN IF IT IS NOT ACCOUNTED FOR IN THE BOQ / DRAWING (SLD).</t>
    </r>
  </si>
  <si>
    <r>
      <rPr>
        <sz val="10"/>
        <color rgb="FF000000"/>
        <rFont val="Calibri"/>
      </rPr>
      <t xml:space="preserve">MOTOR DUTY MCCB’S ARE AVAILABLE IN 50KA FAULT WITHSTAND CAPACITY, EVEN IF IT IS
</t>
    </r>
    <r>
      <rPr>
        <sz val="10"/>
        <color rgb="FF000000"/>
        <rFont val="Calibri"/>
      </rPr>
      <t>SPECIFIED OTHERWISE IN BOQ / DRAWINGS (SLD).</t>
    </r>
  </si>
  <si>
    <r>
      <rPr>
        <sz val="10"/>
        <color rgb="FF000000"/>
        <rFont val="Calibri"/>
      </rPr>
      <t xml:space="preserve">MPCB’S LESS THAN 36KA FAULT WITHSTAND CAPACITY NOT TO BE USED, EVEN IF IT HAS
</t>
    </r>
    <r>
      <rPr>
        <sz val="10"/>
        <color rgb="FF000000"/>
        <rFont val="Calibri"/>
      </rPr>
      <t>BEEN SPECIFIED OTHERWISE.</t>
    </r>
  </si>
  <si>
    <r>
      <rPr>
        <sz val="10"/>
        <color theme="1"/>
        <rFont val="Calibri"/>
      </rPr>
      <t>STANDARD RANGE OF MCCB’S IS:</t>
    </r>
  </si>
  <si>
    <r>
      <rPr>
        <sz val="10"/>
        <color theme="1"/>
        <rFont val="Calibri"/>
      </rPr>
      <t>16A, 25A, 32A, 40A, 50A, 63A, 80A, 100A, 125A, 160A, 225A, 250A, 320A, 400A, 500A, 630A</t>
    </r>
  </si>
  <si>
    <r>
      <rPr>
        <sz val="10"/>
        <color theme="1"/>
        <rFont val="Calibri"/>
      </rPr>
      <t>STANDARD FAULT WITHSTAND RATINGS OF MCCB’S ARE:</t>
    </r>
  </si>
  <si>
    <r>
      <rPr>
        <sz val="10"/>
        <color theme="1"/>
        <rFont val="Calibri"/>
      </rPr>
      <t>16KA, 25KA, 35KA/36KA, 50KA, 65KA/70KA, 100KA</t>
    </r>
  </si>
  <si>
    <r>
      <rPr>
        <sz val="10"/>
        <color theme="1"/>
        <rFont val="Calibri"/>
      </rPr>
      <t>STANDARD MPCB’S FAULT WITHSTAND RATINGS ARE:</t>
    </r>
  </si>
  <si>
    <r>
      <rPr>
        <sz val="10"/>
        <color theme="1"/>
        <rFont val="Calibri"/>
      </rPr>
      <t>25KA, 36KA, 50KA, 100KA, 150KA</t>
    </r>
  </si>
  <si>
    <r>
      <rPr>
        <sz val="10"/>
        <color rgb="FF000000"/>
        <rFont val="Calibri"/>
      </rPr>
      <t xml:space="preserve">MPCB’S UPTO 63A SHALL BE THERMAL-MAGNETIC TYPE WITH ADJUSTABLE O/L TRIP SETTING
</t>
    </r>
    <r>
      <rPr>
        <sz val="10"/>
        <color rgb="FF000000"/>
        <rFont val="Calibri"/>
      </rPr>
      <t>AND ABOVE 63A SHALL BE WITH MICROPROCESSOR BASED RELEASE.</t>
    </r>
  </si>
  <si>
    <r>
      <rPr>
        <sz val="10"/>
        <color theme="1"/>
        <rFont val="Calibri"/>
      </rPr>
      <t>ALL MCCB’S &amp; MPCB’S SHALL BE WITH DIRECT / EXTENDED ROTARY HANDLES.</t>
    </r>
  </si>
  <si>
    <r>
      <rPr>
        <sz val="10"/>
        <color rgb="FF000000"/>
        <rFont val="Calibri"/>
      </rPr>
      <t xml:space="preserve">ARRANGEMENT OF PAD LOCKING &amp; FOOL PROOF LOTO (LOCKOUT &amp; TAG OUT) TO BE AVAILABLE WITH ALL MCCB’S &amp; MPCB’S FOR MAINTENANCE, SERVICING, REPAIRS AND INSPECTION FOR SAFETY REASONS ON MOTORS / EQUIPMENT. ALSO, DOOR INTERLOCK
</t>
    </r>
    <r>
      <rPr>
        <sz val="10"/>
        <color rgb="FF000000"/>
        <rFont val="Calibri"/>
      </rPr>
      <t>DEFEAT FUNCTION SHOULD NOT BE PROVIDED.</t>
    </r>
  </si>
  <si>
    <r>
      <rPr>
        <sz val="10"/>
        <color rgb="FF000000"/>
        <rFont val="Calibri"/>
      </rPr>
      <t xml:space="preserve">CLIENT’s MAINTENANCE TEAM TO UTILIZE LOTO FEATURE BEFORE INITIATING ANY REPAIR /
</t>
    </r>
    <r>
      <rPr>
        <sz val="10"/>
        <color rgb="FF000000"/>
        <rFont val="Calibri"/>
      </rPr>
      <t>MAINTENANCE ON ALL ELECTRICAL EQUIPMENT / PUMPS / MOTORS / FANS / BLOWERS ETC.</t>
    </r>
  </si>
  <si>
    <r>
      <rPr>
        <b/>
        <sz val="10"/>
        <color theme="1"/>
        <rFont val="Calibri"/>
      </rPr>
      <t>ATS</t>
    </r>
  </si>
  <si>
    <r>
      <rPr>
        <b/>
        <sz val="10"/>
        <color theme="1"/>
        <rFont val="Calibri"/>
      </rPr>
      <t>For Main LT Panel, Fire Emergency Panel &amp; DG Set Aux. Panel:</t>
    </r>
  </si>
  <si>
    <r>
      <rPr>
        <sz val="10"/>
        <color theme="1"/>
        <rFont val="Calibri"/>
      </rPr>
      <t>o   ATS shall be ASCO Make Series 7000 for above 1200Amps and Series 300 below 1200 Amps or equivalent.</t>
    </r>
  </si>
  <si>
    <r>
      <rPr>
        <sz val="10"/>
        <color theme="1"/>
        <rFont val="Calibri"/>
      </rPr>
      <t>o   Main LT Panel &amp; Fire Emergency Panel shall have 4P ATS.</t>
    </r>
  </si>
  <si>
    <r>
      <rPr>
        <sz val="10"/>
        <color theme="1"/>
        <rFont val="Calibri"/>
      </rPr>
      <t>o   DG Set Aux. Panel shall have 4P ATS.</t>
    </r>
  </si>
  <si>
    <r>
      <rPr>
        <sz val="10"/>
        <color theme="1"/>
        <rFont val="Calibri"/>
      </rPr>
      <t>o   ATS with controller, controller with AMF function.</t>
    </r>
  </si>
  <si>
    <r>
      <rPr>
        <sz val="10"/>
        <color theme="1"/>
        <rFont val="Calibri"/>
      </rPr>
      <t>o   ATS with 100% overlapping neutral.</t>
    </r>
  </si>
  <si>
    <r>
      <rPr>
        <sz val="10"/>
        <color theme="1"/>
        <rFont val="Calibri"/>
      </rPr>
      <t>o   ATS: Solenoid operated, RS485 Communication.</t>
    </r>
  </si>
  <si>
    <r>
      <rPr>
        <sz val="10"/>
        <color theme="1"/>
        <rFont val="Calibri"/>
      </rPr>
      <t>o   Utilization category: AC 33A.</t>
    </r>
  </si>
  <si>
    <r>
      <rPr>
        <sz val="10"/>
        <color theme="1"/>
        <rFont val="Calibri"/>
      </rPr>
      <t>o   Same phase angle transition &amp; in phase monitoring.</t>
    </r>
  </si>
  <si>
    <r>
      <rPr>
        <sz val="10"/>
        <color theme="1"/>
        <rFont val="Calibri"/>
      </rPr>
      <t>o   85KA for 0.3 sec (fault withstand)</t>
    </r>
  </si>
  <si>
    <r>
      <rPr>
        <b/>
        <sz val="10"/>
        <color theme="1"/>
        <rFont val="Calibri"/>
      </rPr>
      <t>For Lift Panel &amp; UPS Input / Output Panels:</t>
    </r>
  </si>
  <si>
    <r>
      <rPr>
        <sz val="10"/>
        <color theme="1"/>
        <rFont val="Calibri"/>
      </rPr>
      <t>o   ATS shall be ASCO Make Series 300 or equivalent</t>
    </r>
  </si>
  <si>
    <r>
      <rPr>
        <sz val="10"/>
        <color theme="1"/>
        <rFont val="Calibri"/>
      </rPr>
      <t>o   4P ATS</t>
    </r>
  </si>
  <si>
    <r>
      <rPr>
        <sz val="10"/>
        <color theme="1"/>
        <rFont val="Calibri"/>
      </rPr>
      <t>o   ATS with 100% overlapping neutral.</t>
    </r>
  </si>
  <si>
    <r>
      <rPr>
        <sz val="10"/>
        <color theme="1"/>
        <rFont val="Calibri"/>
      </rPr>
      <t>o   ATS: Solenoid operated.</t>
    </r>
  </si>
  <si>
    <r>
      <rPr>
        <sz val="10"/>
        <color theme="1"/>
        <rFont val="Calibri"/>
      </rPr>
      <t>o   85KA for 0.3 sec (fault withstand).</t>
    </r>
  </si>
  <si>
    <r>
      <rPr>
        <sz val="10"/>
        <color theme="1"/>
        <rFont val="Calibri"/>
      </rPr>
      <t>SWITCHGEAR SELECTION SHOULD ACHIEVE DISCRIMINATION EVEN IF IT IS NOT SHOWN IN BOQ / DRAWING (SLD).</t>
    </r>
  </si>
  <si>
    <r>
      <rPr>
        <sz val="10"/>
        <color rgb="FF000000"/>
        <rFont val="Calibri"/>
      </rPr>
      <t xml:space="preserve">BURDEN CALCULATIONS FOR CT’S, PT’S AND CONTROL TRANSFORMERS TO BE SUMITTED
</t>
    </r>
    <r>
      <rPr>
        <sz val="10"/>
        <color rgb="FF000000"/>
        <rFont val="Calibri"/>
      </rPr>
      <t>ALONG WITH SHOP DRWINGS.</t>
    </r>
  </si>
  <si>
    <r>
      <rPr>
        <sz val="10"/>
        <color theme="1"/>
        <rFont val="Calibri"/>
      </rPr>
      <t>INCOMER SWITCHGEAR, BUS BARS, SUPPORTS AND OUTGOING SWITCHGEAR SHALL BE OF SAME FAULT LEVEL WITHSTAND CAPACITY AS MENTIONED FOR THE PANEL.</t>
    </r>
  </si>
  <si>
    <r>
      <rPr>
        <sz val="10"/>
        <color theme="1"/>
        <rFont val="Calibri"/>
      </rPr>
      <t>SUGGESTED “MCCB” SELECTION FOR CAPACITOR APPLICATION WITH DETUNED FILTERS:</t>
    </r>
  </si>
  <si>
    <r>
      <rPr>
        <sz val="10"/>
        <color theme="1"/>
        <rFont val="Calibri"/>
      </rPr>
      <t>5 KVAR - 16A TP MCCB (TH + MG) – F</t>
    </r>
  </si>
  <si>
    <r>
      <rPr>
        <sz val="10"/>
        <color theme="1"/>
        <rFont val="Calibri"/>
      </rPr>
      <t>10 KVAR - 25A TP MCCB (TH + MG) – F</t>
    </r>
  </si>
  <si>
    <r>
      <rPr>
        <sz val="10"/>
        <color theme="1"/>
        <rFont val="Calibri"/>
      </rPr>
      <t>15 KVAR - 40A TP MCCB (TH + MG) – F</t>
    </r>
  </si>
  <si>
    <r>
      <rPr>
        <sz val="10"/>
        <color theme="1"/>
        <rFont val="Calibri"/>
      </rPr>
      <t>20 KVAR - 50A TP MCCB (TH + MG) – F</t>
    </r>
  </si>
  <si>
    <r>
      <rPr>
        <sz val="10"/>
        <color theme="1"/>
        <rFont val="Calibri"/>
      </rPr>
      <t>25 KVAR - 63A TP MCCB (TH + MG) – F</t>
    </r>
  </si>
  <si>
    <r>
      <rPr>
        <sz val="10"/>
        <color theme="1"/>
        <rFont val="Calibri"/>
      </rPr>
      <t>50 KVAR - 125A TP MCCB (TH + MG) – F</t>
    </r>
  </si>
  <si>
    <r>
      <rPr>
        <sz val="10"/>
        <color theme="1"/>
        <rFont val="Calibri"/>
      </rPr>
      <t>CAPACITORS SHALL BE HEAVY DUTY MPP CONSTRUCTION.</t>
    </r>
  </si>
  <si>
    <r>
      <rPr>
        <sz val="10"/>
        <color theme="1"/>
        <rFont val="Calibri"/>
      </rPr>
      <t>Automatic power Factor Correction relay in Capacitor panels: APFCR shall be microprocessor based , communicable type with RS485 port.</t>
    </r>
  </si>
  <si>
    <r>
      <rPr>
        <sz val="10"/>
        <color theme="1"/>
        <rFont val="Calibri"/>
      </rPr>
      <t>7% &amp; 14% DETUNED REACTORS SHALL BE COPPER WOUND, CLASS H INSULATION.</t>
    </r>
  </si>
  <si>
    <r>
      <rPr>
        <b/>
        <sz val="10"/>
        <color theme="1"/>
        <rFont val="Calibri"/>
      </rPr>
      <t>DEDICATED COPPER EARTHING LINK OF SUITABLE SIZE ON INSULATED SUPPORTS FOR:</t>
    </r>
  </si>
  <si>
    <r>
      <rPr>
        <b/>
        <sz val="10"/>
        <color theme="1"/>
        <rFont val="Calibri"/>
      </rPr>
      <t>ALL UPS DB’S, PDU’S, UPS OUTPUT PANELS &amp; FLOOR UPS PANELS/ SDB - UPS PANELS WILL HAVE A DEDICATED COPPER EARTH LINK OF ADEQUATE SIZE SUPPORTED ON INSULATED SUPPORTS FOR 3RD PIN EARTHING (ISOLATED GROUND).</t>
    </r>
  </si>
  <si>
    <r>
      <rPr>
        <b/>
        <sz val="10"/>
        <color theme="1"/>
        <rFont val="Calibri"/>
      </rPr>
      <t>THE GROUNDING EARTH LINK SHALL ALSO BE PROVIDED IN ADDITION TO DEDICATED EARTH BUS.</t>
    </r>
  </si>
  <si>
    <r>
      <rPr>
        <b/>
        <u/>
        <sz val="10"/>
        <color theme="1"/>
        <rFont val="Calibri"/>
      </rPr>
      <t>MOTOR FEEDERS</t>
    </r>
  </si>
  <si>
    <r>
      <rPr>
        <b/>
        <sz val="10"/>
        <color theme="1"/>
        <rFont val="Calibri"/>
      </rPr>
      <t>A.      MOTOR FEEDERS WITH STARTERS:-</t>
    </r>
  </si>
  <si>
    <r>
      <rPr>
        <b/>
        <sz val="10"/>
        <color theme="1"/>
        <rFont val="Calibri"/>
      </rPr>
      <t>1.       Upto 10 HP / 7.5 KW Motor</t>
    </r>
  </si>
  <si>
    <r>
      <rPr>
        <sz val="10"/>
        <color theme="1"/>
        <rFont val="Calibri"/>
      </rPr>
      <t>o   3P MPCB – TH + MG (Thermal Magnetic Release with adjustable O/L trip class).</t>
    </r>
  </si>
  <si>
    <r>
      <rPr>
        <sz val="10"/>
        <color rgb="FF000000"/>
        <rFont val="Calibri"/>
      </rPr>
      <t xml:space="preserve">o   MPCB’S upto 63A shall be Thermal-Magnetic type with adjustable O/L trip setting and above
</t>
    </r>
    <r>
      <rPr>
        <sz val="10"/>
        <color rgb="FF000000"/>
        <rFont val="Calibri"/>
      </rPr>
      <t>63A shall be with Microprocessor based release.</t>
    </r>
  </si>
  <si>
    <r>
      <rPr>
        <sz val="10"/>
        <color theme="1"/>
        <rFont val="Calibri"/>
      </rPr>
      <t>o   DOL</t>
    </r>
  </si>
  <si>
    <r>
      <rPr>
        <b/>
        <sz val="10"/>
        <color theme="1"/>
        <rFont val="Calibri"/>
      </rPr>
      <t>2.       From 12.5 HP / 9.3 KW to 40 HP / 30 KW Motors</t>
    </r>
  </si>
  <si>
    <r>
      <rPr>
        <sz val="10"/>
        <color theme="1"/>
        <rFont val="Calibri"/>
      </rPr>
      <t>o   3P MPCB – TH + MG (Thermal Magnetic Release with adjustable O/L trip class).</t>
    </r>
  </si>
  <si>
    <r>
      <rPr>
        <sz val="10"/>
        <color rgb="FF000000"/>
        <rFont val="Calibri"/>
      </rPr>
      <t xml:space="preserve">o   MPCB’S upto 63A shall be Thermal-Magnetic type with adjustable O/L trip setting and above
</t>
    </r>
    <r>
      <rPr>
        <sz val="10"/>
        <color rgb="FF000000"/>
        <rFont val="Calibri"/>
      </rPr>
      <t>63A shall be with Microprocessor based release.</t>
    </r>
  </si>
  <si>
    <r>
      <rPr>
        <sz val="10"/>
        <color theme="1"/>
        <rFont val="Calibri"/>
      </rPr>
      <t>o   Star Delta</t>
    </r>
  </si>
  <si>
    <r>
      <rPr>
        <b/>
        <sz val="10"/>
        <color theme="1"/>
        <rFont val="Calibri"/>
      </rPr>
      <t>3.       From 50 HP / 37 KW to 150 HP / 110 KW</t>
    </r>
  </si>
  <si>
    <r>
      <rPr>
        <sz val="10"/>
        <color theme="1"/>
        <rFont val="Calibri"/>
      </rPr>
      <t>o   3P MCCB – M (F) (Motor Duty – Fixed Release)</t>
    </r>
  </si>
  <si>
    <r>
      <rPr>
        <sz val="10"/>
        <color theme="1"/>
        <rFont val="Calibri"/>
      </rPr>
      <t>o   Star Delta</t>
    </r>
  </si>
  <si>
    <r>
      <rPr>
        <sz val="10"/>
        <color theme="1"/>
        <rFont val="Calibri"/>
      </rPr>
      <t>o   External Electronic O/L Relay with SPP</t>
    </r>
  </si>
  <si>
    <r>
      <rPr>
        <b/>
        <sz val="10"/>
        <color theme="1"/>
        <rFont val="Calibri"/>
      </rPr>
      <t>4.       Above 150 HP / 110 KW Motors</t>
    </r>
  </si>
  <si>
    <r>
      <rPr>
        <sz val="10"/>
        <color theme="1"/>
        <rFont val="Calibri"/>
      </rPr>
      <t>o   3P MCCB – MP (Motor Duty – Micro Processor Base Release)</t>
    </r>
  </si>
  <si>
    <r>
      <rPr>
        <sz val="10"/>
        <color theme="1"/>
        <rFont val="Calibri"/>
      </rPr>
      <t>o   Star Delta</t>
    </r>
  </si>
  <si>
    <r>
      <rPr>
        <sz val="10"/>
        <color theme="1"/>
        <rFont val="Calibri"/>
      </rPr>
      <t>o   External Electronic O/L Relay with SPP</t>
    </r>
  </si>
  <si>
    <r>
      <rPr>
        <b/>
        <sz val="10"/>
        <color theme="1"/>
        <rFont val="Calibri"/>
      </rPr>
      <t>B.      MOTOR FEEDERS WITH VFD’s</t>
    </r>
  </si>
  <si>
    <r>
      <rPr>
        <b/>
        <sz val="10"/>
        <color theme="1"/>
        <rFont val="Calibri"/>
      </rPr>
      <t>1.       Upto 40 HP / 30 KW Motors</t>
    </r>
  </si>
  <si>
    <r>
      <rPr>
        <sz val="10"/>
        <color theme="1"/>
        <rFont val="Calibri"/>
      </rPr>
      <t>o   3P MPCB –MG (Magnetic Release)</t>
    </r>
  </si>
  <si>
    <r>
      <rPr>
        <sz val="10"/>
        <color rgb="FF000000"/>
        <rFont val="Calibri"/>
      </rPr>
      <t xml:space="preserve">o   MPCB’S upto 63A shall be Magnetic release and above 63A shall be with Microprocessor
</t>
    </r>
    <r>
      <rPr>
        <sz val="10"/>
        <color rgb="FF000000"/>
        <rFont val="Calibri"/>
      </rPr>
      <t>based release.</t>
    </r>
  </si>
  <si>
    <r>
      <rPr>
        <sz val="10"/>
        <color theme="1"/>
        <rFont val="Calibri"/>
      </rPr>
      <t>o   VFD</t>
    </r>
  </si>
  <si>
    <r>
      <rPr>
        <b/>
        <sz val="10"/>
        <color theme="1"/>
        <rFont val="Calibri"/>
      </rPr>
      <t>2.       From 50 HP / 37 KW to 150 HP / 110 KW Motors</t>
    </r>
  </si>
  <si>
    <r>
      <rPr>
        <sz val="10"/>
        <color theme="1"/>
        <rFont val="Calibri"/>
      </rPr>
      <t>o   3P MCCB –M(F) (Motor Duty - Fixed Release)</t>
    </r>
  </si>
  <si>
    <r>
      <rPr>
        <sz val="10"/>
        <color theme="1"/>
        <rFont val="Calibri"/>
      </rPr>
      <t>o   VFD</t>
    </r>
  </si>
  <si>
    <r>
      <rPr>
        <b/>
        <sz val="10"/>
        <color theme="1"/>
        <rFont val="Calibri"/>
      </rPr>
      <t>3.       Above 150  HP / 110 KW Motors</t>
    </r>
  </si>
  <si>
    <r>
      <rPr>
        <sz val="10"/>
        <color theme="1"/>
        <rFont val="Calibri"/>
      </rPr>
      <t>o   3P MCCB – M (MP) (Motor Duty – Micro Processor Base Release)</t>
    </r>
  </si>
  <si>
    <r>
      <rPr>
        <sz val="10"/>
        <color theme="1"/>
        <rFont val="Calibri"/>
      </rPr>
      <t>o   VFD</t>
    </r>
  </si>
  <si>
    <r>
      <rPr>
        <b/>
        <sz val="10"/>
        <color theme="1"/>
        <rFont val="Calibri"/>
      </rPr>
      <t>C.      MOTOR FEEDERS WITH SOFT STARTERS</t>
    </r>
  </si>
  <si>
    <r>
      <rPr>
        <b/>
        <sz val="10"/>
        <color theme="1"/>
        <rFont val="Calibri"/>
      </rPr>
      <t>1.       Upto 40 HP / 30 KW Motor</t>
    </r>
  </si>
  <si>
    <r>
      <rPr>
        <sz val="10"/>
        <color theme="1"/>
        <rFont val="Calibri"/>
      </rPr>
      <t>o   3P MPCB – MG (Magnetic Release)</t>
    </r>
  </si>
  <si>
    <r>
      <rPr>
        <sz val="10"/>
        <color rgb="FF000000"/>
        <rFont val="Calibri"/>
      </rPr>
      <t xml:space="preserve">o   MPCB’S upto 63A shall be Magnetic release and above 63A shall be with Microprocessor
</t>
    </r>
    <r>
      <rPr>
        <sz val="10"/>
        <color rgb="FF000000"/>
        <rFont val="Calibri"/>
      </rPr>
      <t>based release.</t>
    </r>
  </si>
  <si>
    <r>
      <rPr>
        <sz val="10"/>
        <color theme="1"/>
        <rFont val="Calibri"/>
      </rPr>
      <t>o   Soft Starter with inbuilt Bypass Contactor</t>
    </r>
  </si>
  <si>
    <r>
      <rPr>
        <b/>
        <sz val="10"/>
        <color theme="1"/>
        <rFont val="Calibri"/>
      </rPr>
      <t>2.       From 50 HP/ 37 KW to 150 HP / 110 KW Motor</t>
    </r>
  </si>
  <si>
    <r>
      <rPr>
        <sz val="10"/>
        <color theme="1"/>
        <rFont val="Calibri"/>
      </rPr>
      <t>o   3P MCCB – M(F) (Motor Duty - Fixed Release)</t>
    </r>
  </si>
  <si>
    <r>
      <rPr>
        <sz val="10"/>
        <color theme="1"/>
        <rFont val="Calibri"/>
      </rPr>
      <t>o   Soft Starter with inbuilt Bypass Contactor</t>
    </r>
  </si>
  <si>
    <r>
      <rPr>
        <b/>
        <sz val="10"/>
        <color theme="1"/>
        <rFont val="Calibri"/>
      </rPr>
      <t>3.       Above 150 HP / 110 KW Motor</t>
    </r>
  </si>
  <si>
    <r>
      <rPr>
        <sz val="10"/>
        <color theme="1"/>
        <rFont val="Calibri"/>
      </rPr>
      <t>o   3P MCCB – M (MP) (Motor Duty – Micro Processor Base Release)</t>
    </r>
  </si>
  <si>
    <r>
      <rPr>
        <sz val="10"/>
        <color theme="1"/>
        <rFont val="Calibri"/>
      </rPr>
      <t>o   Soft Starter with inbuilt Bypass Contactor</t>
    </r>
  </si>
  <si>
    <r>
      <rPr>
        <b/>
        <sz val="10"/>
        <color theme="1"/>
        <rFont val="Calibri"/>
      </rPr>
      <t>4.       Soft starters  for fire pumps shall be with programmable auxilary contacts for BMS connectivity.</t>
    </r>
  </si>
  <si>
    <r>
      <rPr>
        <b/>
        <sz val="10"/>
        <color theme="1"/>
        <rFont val="Calibri"/>
      </rPr>
      <t>D.      JET FAN 2 STAGE STARTER</t>
    </r>
  </si>
  <si>
    <r>
      <rPr>
        <sz val="10"/>
        <color theme="1"/>
        <rFont val="Calibri"/>
      </rPr>
      <t>o   3P MPCB – MG (Magnetic Release)</t>
    </r>
  </si>
  <si>
    <r>
      <rPr>
        <sz val="10"/>
        <color theme="1"/>
        <rFont val="Calibri"/>
      </rPr>
      <t>o   2 Stage Starter</t>
    </r>
  </si>
  <si>
    <r>
      <rPr>
        <sz val="10"/>
        <color theme="1"/>
        <rFont val="Calibri"/>
      </rPr>
      <t>o   Overload Relay &amp; SPP</t>
    </r>
  </si>
  <si>
    <r>
      <rPr>
        <sz val="10"/>
        <color theme="1"/>
        <rFont val="Calibri"/>
      </rPr>
      <t>Note: Cost shall inculde Elastomer mat 1000 mm. wide, 2mm thick, for upto 3.3kV grade as per Latest BIS Codes (IS: 15652/2006). (Vendor to check the thickness of the mat as per latest IS code &amp; Quoe accordingly and also mention the thickness provided) for all the floor mount panel. Vendor to include the same required quantity</t>
    </r>
  </si>
  <si>
    <r>
      <rPr>
        <b/>
        <sz val="10"/>
        <color theme="1"/>
        <rFont val="Calibri"/>
      </rPr>
      <t>Following Panels as per attached Electrical Single Line Diagram:</t>
    </r>
  </si>
  <si>
    <r>
      <rPr>
        <sz val="10"/>
        <color theme="1"/>
        <rFont val="Calibri"/>
      </rPr>
      <t>MR</t>
    </r>
  </si>
  <si>
    <r>
      <rPr>
        <sz val="10"/>
        <color theme="1"/>
        <rFont val="Calibri"/>
      </rPr>
      <t>LT PANEL</t>
    </r>
  </si>
  <si>
    <r>
      <rPr>
        <sz val="10"/>
        <color theme="1"/>
        <rFont val="Calibri"/>
      </rPr>
      <t>Set</t>
    </r>
  </si>
  <si>
    <r>
      <rPr>
        <sz val="10"/>
        <color theme="1"/>
        <rFont val="Calibri"/>
      </rPr>
      <t>MR</t>
    </r>
  </si>
  <si>
    <r>
      <rPr>
        <sz val="10"/>
        <color theme="1"/>
        <rFont val="Calibri"/>
      </rPr>
      <t>AHU PANEL</t>
    </r>
  </si>
  <si>
    <r>
      <rPr>
        <sz val="10"/>
        <color theme="1"/>
        <rFont val="Calibri"/>
      </rPr>
      <t>Set</t>
    </r>
  </si>
  <si>
    <r>
      <rPr>
        <sz val="10"/>
        <color theme="1"/>
        <rFont val="Calibri"/>
      </rPr>
      <t>MR</t>
    </r>
  </si>
  <si>
    <r>
      <rPr>
        <sz val="10"/>
        <color theme="1"/>
        <rFont val="Calibri"/>
      </rPr>
      <t>TERRACE CHILLER PANEL</t>
    </r>
  </si>
  <si>
    <r>
      <rPr>
        <sz val="10"/>
        <color theme="1"/>
        <rFont val="Calibri"/>
      </rPr>
      <t>Set</t>
    </r>
  </si>
  <si>
    <r>
      <rPr>
        <sz val="10"/>
        <color theme="1"/>
        <rFont val="Calibri"/>
      </rPr>
      <t>MR</t>
    </r>
  </si>
  <si>
    <r>
      <rPr>
        <sz val="10"/>
        <color theme="1"/>
        <rFont val="Calibri"/>
      </rPr>
      <t>EV CAR CHARGING PANEL</t>
    </r>
  </si>
  <si>
    <r>
      <rPr>
        <sz val="10"/>
        <color theme="1"/>
        <rFont val="Calibri"/>
      </rPr>
      <t>Set</t>
    </r>
  </si>
  <si>
    <r>
      <rPr>
        <sz val="10"/>
        <color theme="1"/>
        <rFont val="Calibri"/>
      </rPr>
      <t>MR</t>
    </r>
  </si>
  <si>
    <r>
      <rPr>
        <sz val="10"/>
        <color theme="1"/>
        <rFont val="Calibri"/>
      </rPr>
      <t>EV FAST CAR CHARGING PANEL-2</t>
    </r>
  </si>
  <si>
    <r>
      <rPr>
        <sz val="10"/>
        <color theme="1"/>
        <rFont val="Calibri"/>
      </rPr>
      <t>Set</t>
    </r>
  </si>
  <si>
    <r>
      <rPr>
        <sz val="10"/>
        <color theme="1"/>
        <rFont val="Calibri"/>
      </rPr>
      <t>MR</t>
    </r>
  </si>
  <si>
    <r>
      <rPr>
        <sz val="10"/>
        <color theme="1"/>
        <rFont val="Calibri"/>
      </rPr>
      <t>4 WAY PPI TPN EV CHARGING DB</t>
    </r>
  </si>
  <si>
    <r>
      <rPr>
        <sz val="10"/>
        <color theme="1"/>
        <rFont val="Calibri"/>
      </rPr>
      <t>Set</t>
    </r>
  </si>
  <si>
    <r>
      <rPr>
        <sz val="10"/>
        <color theme="1"/>
        <rFont val="Calibri"/>
      </rPr>
      <t>MR</t>
    </r>
  </si>
  <si>
    <r>
      <rPr>
        <sz val="10"/>
        <color theme="1"/>
        <rFont val="Calibri"/>
      </rPr>
      <t>EV FAST CAR CHARGING PANEL-1</t>
    </r>
  </si>
  <si>
    <r>
      <rPr>
        <sz val="10"/>
        <color theme="1"/>
        <rFont val="Calibri"/>
      </rPr>
      <t>Set</t>
    </r>
  </si>
  <si>
    <r>
      <rPr>
        <sz val="10"/>
        <color theme="1"/>
        <rFont val="Calibri"/>
      </rPr>
      <t>MR</t>
    </r>
  </si>
  <si>
    <r>
      <rPr>
        <sz val="10"/>
        <color theme="1"/>
        <rFont val="Calibri"/>
      </rPr>
      <t>WS UPS INPUT PANEL</t>
    </r>
  </si>
  <si>
    <r>
      <rPr>
        <sz val="10"/>
        <color theme="1"/>
        <rFont val="Calibri"/>
      </rPr>
      <t>Set</t>
    </r>
  </si>
  <si>
    <r>
      <rPr>
        <sz val="10"/>
        <color theme="1"/>
        <rFont val="Calibri"/>
      </rPr>
      <t>MR</t>
    </r>
  </si>
  <si>
    <r>
      <rPr>
        <sz val="10"/>
        <color theme="1"/>
        <rFont val="Calibri"/>
      </rPr>
      <t>WS UPS OUTPUT PANEL</t>
    </r>
  </si>
  <si>
    <r>
      <rPr>
        <sz val="10"/>
        <color theme="1"/>
        <rFont val="Calibri"/>
      </rPr>
      <t>Set</t>
    </r>
  </si>
  <si>
    <r>
      <rPr>
        <sz val="10"/>
        <color theme="1"/>
        <rFont val="Calibri"/>
      </rPr>
      <t>MR</t>
    </r>
  </si>
  <si>
    <r>
      <rPr>
        <sz val="10"/>
        <color theme="1"/>
        <rFont val="Calibri"/>
      </rPr>
      <t>MDB-9F LHS UPS</t>
    </r>
  </si>
  <si>
    <r>
      <rPr>
        <sz val="10"/>
        <color theme="1"/>
        <rFont val="Calibri"/>
      </rPr>
      <t>Set</t>
    </r>
  </si>
  <si>
    <r>
      <rPr>
        <sz val="10"/>
        <color theme="1"/>
        <rFont val="Calibri"/>
      </rPr>
      <t>MR</t>
    </r>
  </si>
  <si>
    <r>
      <rPr>
        <sz val="10"/>
        <color theme="1"/>
        <rFont val="Calibri"/>
      </rPr>
      <t>MDB-8F LHS UPS</t>
    </r>
  </si>
  <si>
    <r>
      <rPr>
        <sz val="10"/>
        <color theme="1"/>
        <rFont val="Calibri"/>
      </rPr>
      <t>Set</t>
    </r>
  </si>
  <si>
    <r>
      <rPr>
        <sz val="10"/>
        <color theme="1"/>
        <rFont val="Calibri"/>
      </rPr>
      <t>MR</t>
    </r>
  </si>
  <si>
    <r>
      <rPr>
        <sz val="10"/>
        <color theme="1"/>
        <rFont val="Calibri"/>
      </rPr>
      <t>MDB-7F LHS UPS</t>
    </r>
  </si>
  <si>
    <r>
      <rPr>
        <sz val="10"/>
        <color theme="1"/>
        <rFont val="Calibri"/>
      </rPr>
      <t>Set</t>
    </r>
  </si>
  <si>
    <r>
      <rPr>
        <sz val="10"/>
        <color theme="1"/>
        <rFont val="Calibri"/>
      </rPr>
      <t>MR</t>
    </r>
  </si>
  <si>
    <r>
      <rPr>
        <sz val="10"/>
        <color theme="1"/>
        <rFont val="Calibri"/>
      </rPr>
      <t>MDB-6F LHS UPS</t>
    </r>
  </si>
  <si>
    <r>
      <rPr>
        <sz val="10"/>
        <color theme="1"/>
        <rFont val="Calibri"/>
      </rPr>
      <t>Set</t>
    </r>
  </si>
  <si>
    <r>
      <rPr>
        <sz val="10"/>
        <color theme="1"/>
        <rFont val="Calibri"/>
      </rPr>
      <t>MR</t>
    </r>
  </si>
  <si>
    <r>
      <rPr>
        <sz val="10"/>
        <color theme="1"/>
        <rFont val="Calibri"/>
      </rPr>
      <t>MDB-5F LHS UPS</t>
    </r>
  </si>
  <si>
    <r>
      <rPr>
        <sz val="10"/>
        <color theme="1"/>
        <rFont val="Calibri"/>
      </rPr>
      <t>Set</t>
    </r>
  </si>
  <si>
    <r>
      <rPr>
        <sz val="10"/>
        <color theme="1"/>
        <rFont val="Calibri"/>
      </rPr>
      <t>MR</t>
    </r>
  </si>
  <si>
    <r>
      <rPr>
        <sz val="10"/>
        <color theme="1"/>
        <rFont val="Calibri"/>
      </rPr>
      <t>MDB-4F LHS UPS</t>
    </r>
  </si>
  <si>
    <r>
      <rPr>
        <sz val="10"/>
        <color theme="1"/>
        <rFont val="Calibri"/>
      </rPr>
      <t>Set</t>
    </r>
  </si>
  <si>
    <r>
      <rPr>
        <sz val="10"/>
        <color theme="1"/>
        <rFont val="Calibri"/>
      </rPr>
      <t>MR</t>
    </r>
  </si>
  <si>
    <r>
      <rPr>
        <sz val="10"/>
        <color theme="1"/>
        <rFont val="Calibri"/>
      </rPr>
      <t>MDB-3F LHS UPS</t>
    </r>
  </si>
  <si>
    <r>
      <rPr>
        <sz val="10"/>
        <color theme="1"/>
        <rFont val="Calibri"/>
      </rPr>
      <t>Set</t>
    </r>
  </si>
  <si>
    <r>
      <rPr>
        <sz val="10"/>
        <color theme="1"/>
        <rFont val="Calibri"/>
      </rPr>
      <t>MR</t>
    </r>
  </si>
  <si>
    <r>
      <rPr>
        <sz val="10"/>
        <color theme="1"/>
        <rFont val="Calibri"/>
      </rPr>
      <t>MDB-2F LHS UPS</t>
    </r>
  </si>
  <si>
    <r>
      <rPr>
        <sz val="10"/>
        <color theme="1"/>
        <rFont val="Calibri"/>
      </rPr>
      <t>Set</t>
    </r>
  </si>
  <si>
    <r>
      <rPr>
        <sz val="10"/>
        <color theme="1"/>
        <rFont val="Calibri"/>
      </rPr>
      <t>MR</t>
    </r>
  </si>
  <si>
    <r>
      <rPr>
        <sz val="10"/>
        <color theme="1"/>
        <rFont val="Calibri"/>
      </rPr>
      <t>MDB-1F LHS UPS</t>
    </r>
  </si>
  <si>
    <r>
      <rPr>
        <sz val="10"/>
        <color theme="1"/>
        <rFont val="Calibri"/>
      </rPr>
      <t>Set</t>
    </r>
  </si>
  <si>
    <r>
      <rPr>
        <sz val="10"/>
        <color theme="1"/>
        <rFont val="Calibri"/>
      </rPr>
      <t>MR</t>
    </r>
  </si>
  <si>
    <r>
      <rPr>
        <sz val="10"/>
        <color theme="1"/>
        <rFont val="Calibri"/>
      </rPr>
      <t>MDB-GF LHS UPS</t>
    </r>
  </si>
  <si>
    <r>
      <rPr>
        <sz val="10"/>
        <color theme="1"/>
        <rFont val="Calibri"/>
      </rPr>
      <t>Set</t>
    </r>
  </si>
  <si>
    <r>
      <rPr>
        <sz val="10"/>
        <color theme="1"/>
        <rFont val="Calibri"/>
      </rPr>
      <t>MR</t>
    </r>
  </si>
  <si>
    <r>
      <rPr>
        <sz val="10"/>
        <color theme="1"/>
        <rFont val="Calibri"/>
      </rPr>
      <t>IT UPS INPUT PANEL-1 (W)</t>
    </r>
  </si>
  <si>
    <r>
      <rPr>
        <sz val="10"/>
        <color theme="1"/>
        <rFont val="Calibri"/>
      </rPr>
      <t>Set</t>
    </r>
  </si>
  <si>
    <r>
      <rPr>
        <sz val="10"/>
        <color theme="1"/>
        <rFont val="Calibri"/>
      </rPr>
      <t>MR</t>
    </r>
  </si>
  <si>
    <r>
      <rPr>
        <sz val="10"/>
        <color theme="1"/>
        <rFont val="Calibri"/>
      </rPr>
      <t>IT UPS INPUT PANEL-2 (S)</t>
    </r>
  </si>
  <si>
    <r>
      <rPr>
        <sz val="10"/>
        <color theme="1"/>
        <rFont val="Calibri"/>
      </rPr>
      <t>Set</t>
    </r>
  </si>
  <si>
    <r>
      <rPr>
        <sz val="10"/>
        <color theme="1"/>
        <rFont val="Calibri"/>
      </rPr>
      <t>MR</t>
    </r>
  </si>
  <si>
    <r>
      <rPr>
        <sz val="10"/>
        <color theme="1"/>
        <rFont val="Calibri"/>
      </rPr>
      <t>IT UPS OUTPUT PANEL-1 (W)</t>
    </r>
  </si>
  <si>
    <r>
      <rPr>
        <sz val="10"/>
        <color theme="1"/>
        <rFont val="Calibri"/>
      </rPr>
      <t>Set</t>
    </r>
  </si>
  <si>
    <r>
      <rPr>
        <sz val="10"/>
        <color theme="1"/>
        <rFont val="Calibri"/>
      </rPr>
      <t>MR</t>
    </r>
  </si>
  <si>
    <r>
      <rPr>
        <sz val="10"/>
        <color theme="1"/>
        <rFont val="Calibri"/>
      </rPr>
      <t>IT UPS OUTPUT PANEL-2 (S)</t>
    </r>
  </si>
  <si>
    <r>
      <rPr>
        <sz val="10"/>
        <color theme="1"/>
        <rFont val="Calibri"/>
      </rPr>
      <t>Set</t>
    </r>
  </si>
  <si>
    <r>
      <rPr>
        <sz val="10"/>
        <color theme="1"/>
        <rFont val="Calibri"/>
      </rPr>
      <t>MR</t>
    </r>
  </si>
  <si>
    <r>
      <rPr>
        <sz val="10"/>
        <color theme="1"/>
        <rFont val="Calibri"/>
      </rPr>
      <t>PDU-1 (W) 9F</t>
    </r>
  </si>
  <si>
    <r>
      <rPr>
        <sz val="10"/>
        <color theme="1"/>
        <rFont val="Calibri"/>
      </rPr>
      <t>Set</t>
    </r>
  </si>
  <si>
    <r>
      <rPr>
        <sz val="10"/>
        <color theme="1"/>
        <rFont val="Calibri"/>
      </rPr>
      <t>MR</t>
    </r>
  </si>
  <si>
    <r>
      <rPr>
        <sz val="10"/>
        <color theme="1"/>
        <rFont val="Calibri"/>
      </rPr>
      <t>PDU-1 (S) 9F</t>
    </r>
  </si>
  <si>
    <r>
      <rPr>
        <sz val="10"/>
        <color theme="1"/>
        <rFont val="Calibri"/>
      </rPr>
      <t>Set</t>
    </r>
  </si>
  <si>
    <r>
      <rPr>
        <sz val="10"/>
        <color theme="1"/>
        <rFont val="Calibri"/>
      </rPr>
      <t>MR</t>
    </r>
  </si>
  <si>
    <r>
      <rPr>
        <sz val="10"/>
        <color theme="1"/>
        <rFont val="Calibri"/>
      </rPr>
      <t>PDU-1 (W) 8F</t>
    </r>
  </si>
  <si>
    <r>
      <rPr>
        <sz val="10"/>
        <color theme="1"/>
        <rFont val="Calibri"/>
      </rPr>
      <t>Set</t>
    </r>
  </si>
  <si>
    <r>
      <rPr>
        <sz val="10"/>
        <color theme="1"/>
        <rFont val="Calibri"/>
      </rPr>
      <t>MR</t>
    </r>
  </si>
  <si>
    <r>
      <rPr>
        <sz val="10"/>
        <color theme="1"/>
        <rFont val="Calibri"/>
      </rPr>
      <t>PDU-1 (S) 8F</t>
    </r>
  </si>
  <si>
    <r>
      <rPr>
        <sz val="10"/>
        <color theme="1"/>
        <rFont val="Calibri"/>
      </rPr>
      <t>Set</t>
    </r>
  </si>
  <si>
    <r>
      <rPr>
        <sz val="10"/>
        <color theme="1"/>
        <rFont val="Calibri"/>
      </rPr>
      <t>MR</t>
    </r>
  </si>
  <si>
    <r>
      <rPr>
        <sz val="10"/>
        <color theme="1"/>
        <rFont val="Calibri"/>
      </rPr>
      <t>PDU-1 (W) 6F</t>
    </r>
  </si>
  <si>
    <r>
      <rPr>
        <sz val="10"/>
        <color theme="1"/>
        <rFont val="Calibri"/>
      </rPr>
      <t>Set</t>
    </r>
  </si>
  <si>
    <r>
      <rPr>
        <sz val="10"/>
        <color theme="1"/>
        <rFont val="Calibri"/>
      </rPr>
      <t>MR</t>
    </r>
  </si>
  <si>
    <r>
      <rPr>
        <sz val="10"/>
        <color theme="1"/>
        <rFont val="Calibri"/>
      </rPr>
      <t>PDU-1 (S) 6F</t>
    </r>
  </si>
  <si>
    <r>
      <rPr>
        <sz val="10"/>
        <color theme="1"/>
        <rFont val="Calibri"/>
      </rPr>
      <t>Set</t>
    </r>
  </si>
  <si>
    <r>
      <rPr>
        <sz val="10"/>
        <color theme="1"/>
        <rFont val="Calibri"/>
      </rPr>
      <t>MR</t>
    </r>
  </si>
  <si>
    <r>
      <rPr>
        <sz val="10"/>
        <color theme="1"/>
        <rFont val="Calibri"/>
      </rPr>
      <t>PDU-1 (W) 5F</t>
    </r>
  </si>
  <si>
    <r>
      <rPr>
        <sz val="10"/>
        <color theme="1"/>
        <rFont val="Calibri"/>
      </rPr>
      <t>Set</t>
    </r>
  </si>
  <si>
    <r>
      <rPr>
        <sz val="10"/>
        <color theme="1"/>
        <rFont val="Calibri"/>
      </rPr>
      <t>MR</t>
    </r>
  </si>
  <si>
    <r>
      <rPr>
        <sz val="10"/>
        <color theme="1"/>
        <rFont val="Calibri"/>
      </rPr>
      <t>PDU-1 (S) 5F</t>
    </r>
  </si>
  <si>
    <r>
      <rPr>
        <sz val="10"/>
        <color theme="1"/>
        <rFont val="Calibri"/>
      </rPr>
      <t>Set</t>
    </r>
  </si>
  <si>
    <r>
      <rPr>
        <sz val="10"/>
        <color theme="1"/>
        <rFont val="Calibri"/>
      </rPr>
      <t>MR</t>
    </r>
  </si>
  <si>
    <r>
      <rPr>
        <sz val="10"/>
        <color theme="1"/>
        <rFont val="Calibri"/>
      </rPr>
      <t>PDU-1 (W) 4F</t>
    </r>
  </si>
  <si>
    <r>
      <rPr>
        <sz val="10"/>
        <color theme="1"/>
        <rFont val="Calibri"/>
      </rPr>
      <t>Set</t>
    </r>
  </si>
  <si>
    <r>
      <rPr>
        <sz val="10"/>
        <color theme="1"/>
        <rFont val="Calibri"/>
      </rPr>
      <t>MR</t>
    </r>
  </si>
  <si>
    <r>
      <rPr>
        <sz val="10"/>
        <color theme="1"/>
        <rFont val="Calibri"/>
      </rPr>
      <t>PDU-1 (S) 4F</t>
    </r>
  </si>
  <si>
    <r>
      <rPr>
        <sz val="10"/>
        <color theme="1"/>
        <rFont val="Calibri"/>
      </rPr>
      <t>Set</t>
    </r>
  </si>
  <si>
    <r>
      <rPr>
        <sz val="10"/>
        <color theme="1"/>
        <rFont val="Calibri"/>
      </rPr>
      <t>MR</t>
    </r>
  </si>
  <si>
    <r>
      <rPr>
        <sz val="10"/>
        <color theme="1"/>
        <rFont val="Calibri"/>
      </rPr>
      <t>PDU-1 (W) 3F</t>
    </r>
  </si>
  <si>
    <r>
      <rPr>
        <sz val="10"/>
        <color theme="1"/>
        <rFont val="Calibri"/>
      </rPr>
      <t>Set</t>
    </r>
  </si>
  <si>
    <r>
      <rPr>
        <sz val="10"/>
        <color theme="1"/>
        <rFont val="Calibri"/>
      </rPr>
      <t>MR</t>
    </r>
  </si>
  <si>
    <r>
      <rPr>
        <sz val="10"/>
        <color theme="1"/>
        <rFont val="Calibri"/>
      </rPr>
      <t>PDU-1 (S) 3F</t>
    </r>
  </si>
  <si>
    <r>
      <rPr>
        <sz val="10"/>
        <color theme="1"/>
        <rFont val="Calibri"/>
      </rPr>
      <t>Set</t>
    </r>
  </si>
  <si>
    <r>
      <rPr>
        <sz val="10"/>
        <color theme="1"/>
        <rFont val="Calibri"/>
      </rPr>
      <t>MR</t>
    </r>
  </si>
  <si>
    <r>
      <rPr>
        <sz val="10"/>
        <color theme="1"/>
        <rFont val="Calibri"/>
      </rPr>
      <t>PDU-1 (W) 2F</t>
    </r>
  </si>
  <si>
    <r>
      <rPr>
        <sz val="10"/>
        <color theme="1"/>
        <rFont val="Calibri"/>
      </rPr>
      <t>Set</t>
    </r>
  </si>
  <si>
    <r>
      <rPr>
        <sz val="10"/>
        <color theme="1"/>
        <rFont val="Calibri"/>
      </rPr>
      <t>MR</t>
    </r>
  </si>
  <si>
    <r>
      <rPr>
        <sz val="10"/>
        <color theme="1"/>
        <rFont val="Calibri"/>
      </rPr>
      <t>PDU-1 (S) 2F</t>
    </r>
  </si>
  <si>
    <r>
      <rPr>
        <sz val="10"/>
        <color theme="1"/>
        <rFont val="Calibri"/>
      </rPr>
      <t>Set</t>
    </r>
  </si>
  <si>
    <r>
      <rPr>
        <sz val="10"/>
        <color theme="1"/>
        <rFont val="Calibri"/>
      </rPr>
      <t>MR</t>
    </r>
  </si>
  <si>
    <r>
      <rPr>
        <sz val="10"/>
        <color theme="1"/>
        <rFont val="Calibri"/>
      </rPr>
      <t>PDU-1 (W) 1F</t>
    </r>
  </si>
  <si>
    <r>
      <rPr>
        <sz val="10"/>
        <color theme="1"/>
        <rFont val="Calibri"/>
      </rPr>
      <t>Set</t>
    </r>
  </si>
  <si>
    <r>
      <rPr>
        <sz val="10"/>
        <color theme="1"/>
        <rFont val="Calibri"/>
      </rPr>
      <t>MR</t>
    </r>
  </si>
  <si>
    <r>
      <rPr>
        <sz val="10"/>
        <color theme="1"/>
        <rFont val="Calibri"/>
      </rPr>
      <t>PDU-1 (S) 1F</t>
    </r>
  </si>
  <si>
    <r>
      <rPr>
        <sz val="10"/>
        <color theme="1"/>
        <rFont val="Calibri"/>
      </rPr>
      <t>Set</t>
    </r>
  </si>
  <si>
    <r>
      <rPr>
        <sz val="10"/>
        <color theme="1"/>
        <rFont val="Calibri"/>
      </rPr>
      <t>MR</t>
    </r>
  </si>
  <si>
    <r>
      <rPr>
        <sz val="10"/>
        <color theme="1"/>
        <rFont val="Calibri"/>
      </rPr>
      <t>PDU-1 (W) 1F SERVER ROOM</t>
    </r>
  </si>
  <si>
    <r>
      <rPr>
        <sz val="10"/>
        <color theme="1"/>
        <rFont val="Calibri"/>
      </rPr>
      <t>Set</t>
    </r>
  </si>
  <si>
    <r>
      <rPr>
        <sz val="10"/>
        <color theme="1"/>
        <rFont val="Calibri"/>
      </rPr>
      <t>MR</t>
    </r>
  </si>
  <si>
    <r>
      <rPr>
        <sz val="10"/>
        <color theme="1"/>
        <rFont val="Calibri"/>
      </rPr>
      <t>PDU-1 (S) 1F SERVER ROOM</t>
    </r>
  </si>
  <si>
    <r>
      <rPr>
        <sz val="10"/>
        <color theme="1"/>
        <rFont val="Calibri"/>
      </rPr>
      <t>Set</t>
    </r>
  </si>
  <si>
    <r>
      <rPr>
        <sz val="10"/>
        <color theme="1"/>
        <rFont val="Calibri"/>
      </rPr>
      <t>MR</t>
    </r>
  </si>
  <si>
    <r>
      <rPr>
        <sz val="10"/>
        <color theme="1"/>
        <rFont val="Calibri"/>
      </rPr>
      <t>PDU-1 (W) GF</t>
    </r>
  </si>
  <si>
    <r>
      <rPr>
        <sz val="10"/>
        <color theme="1"/>
        <rFont val="Calibri"/>
      </rPr>
      <t>Set</t>
    </r>
  </si>
  <si>
    <r>
      <rPr>
        <sz val="10"/>
        <color theme="1"/>
        <rFont val="Calibri"/>
      </rPr>
      <t>MR</t>
    </r>
  </si>
  <si>
    <r>
      <rPr>
        <sz val="10"/>
        <color theme="1"/>
        <rFont val="Calibri"/>
      </rPr>
      <t>PDU-1 (S) GF</t>
    </r>
  </si>
  <si>
    <r>
      <rPr>
        <sz val="10"/>
        <color theme="1"/>
        <rFont val="Calibri"/>
      </rPr>
      <t>Set</t>
    </r>
  </si>
  <si>
    <r>
      <rPr>
        <sz val="10"/>
        <color theme="1"/>
        <rFont val="Calibri"/>
      </rPr>
      <t>MR</t>
    </r>
  </si>
  <si>
    <r>
      <rPr>
        <sz val="10"/>
        <color theme="1"/>
        <rFont val="Calibri"/>
      </rPr>
      <t>SDB L+P PANEL 9F</t>
    </r>
  </si>
  <si>
    <r>
      <rPr>
        <sz val="10"/>
        <color theme="1"/>
        <rFont val="Calibri"/>
      </rPr>
      <t>Set</t>
    </r>
  </si>
  <si>
    <r>
      <rPr>
        <sz val="10"/>
        <color theme="1"/>
        <rFont val="Calibri"/>
      </rPr>
      <t>MR</t>
    </r>
  </si>
  <si>
    <r>
      <rPr>
        <sz val="10"/>
        <color theme="1"/>
        <rFont val="Calibri"/>
      </rPr>
      <t>AHU PANEL-1 (9F-LHS)</t>
    </r>
  </si>
  <si>
    <r>
      <rPr>
        <sz val="10"/>
        <color theme="1"/>
        <rFont val="Calibri"/>
      </rPr>
      <t>Set</t>
    </r>
  </si>
  <si>
    <r>
      <rPr>
        <sz val="10"/>
        <color theme="1"/>
        <rFont val="Calibri"/>
      </rPr>
      <t>MR</t>
    </r>
  </si>
  <si>
    <r>
      <rPr>
        <sz val="10"/>
        <color theme="1"/>
        <rFont val="Calibri"/>
      </rPr>
      <t>AHU PANEL-2 (9F-RHS)</t>
    </r>
  </si>
  <si>
    <r>
      <rPr>
        <sz val="10"/>
        <color theme="1"/>
        <rFont val="Calibri"/>
      </rPr>
      <t>Set</t>
    </r>
  </si>
  <si>
    <r>
      <rPr>
        <sz val="10"/>
        <color theme="1"/>
        <rFont val="Calibri"/>
      </rPr>
      <t>MR</t>
    </r>
  </si>
  <si>
    <r>
      <rPr>
        <sz val="10"/>
        <color theme="1"/>
        <rFont val="Calibri"/>
      </rPr>
      <t>SDB L+P PANEL 8F</t>
    </r>
  </si>
  <si>
    <r>
      <rPr>
        <sz val="10"/>
        <color theme="1"/>
        <rFont val="Calibri"/>
      </rPr>
      <t>Set</t>
    </r>
  </si>
  <si>
    <r>
      <rPr>
        <sz val="10"/>
        <color theme="1"/>
        <rFont val="Calibri"/>
      </rPr>
      <t>MR</t>
    </r>
  </si>
  <si>
    <r>
      <rPr>
        <sz val="10"/>
        <color theme="1"/>
        <rFont val="Calibri"/>
      </rPr>
      <t>AHU PANEL-1 (8F-LHS)</t>
    </r>
  </si>
  <si>
    <r>
      <rPr>
        <sz val="10"/>
        <color theme="1"/>
        <rFont val="Calibri"/>
      </rPr>
      <t>Set</t>
    </r>
  </si>
  <si>
    <r>
      <rPr>
        <sz val="10"/>
        <color theme="1"/>
        <rFont val="Calibri"/>
      </rPr>
      <t>MR</t>
    </r>
  </si>
  <si>
    <r>
      <rPr>
        <sz val="10"/>
        <color theme="1"/>
        <rFont val="Calibri"/>
      </rPr>
      <t>AHU PANEL-2 (8F-RHS)</t>
    </r>
  </si>
  <si>
    <r>
      <rPr>
        <sz val="10"/>
        <color theme="1"/>
        <rFont val="Calibri"/>
      </rPr>
      <t>Set</t>
    </r>
  </si>
  <si>
    <r>
      <rPr>
        <sz val="10"/>
        <color theme="1"/>
        <rFont val="Calibri"/>
      </rPr>
      <t>MR</t>
    </r>
  </si>
  <si>
    <r>
      <rPr>
        <sz val="10"/>
        <color theme="1"/>
        <rFont val="Calibri"/>
      </rPr>
      <t>100A, 4P MCCB-7F</t>
    </r>
  </si>
  <si>
    <r>
      <rPr>
        <sz val="10"/>
        <color theme="1"/>
        <rFont val="Calibri"/>
      </rPr>
      <t>Set</t>
    </r>
  </si>
  <si>
    <r>
      <rPr>
        <sz val="10"/>
        <color theme="1"/>
        <rFont val="Calibri"/>
      </rPr>
      <t>MR</t>
    </r>
  </si>
  <si>
    <r>
      <rPr>
        <sz val="10"/>
        <color theme="1"/>
        <rFont val="Calibri"/>
      </rPr>
      <t>SDB L+P PANEL-1 (7F)</t>
    </r>
  </si>
  <si>
    <r>
      <rPr>
        <sz val="10"/>
        <color theme="1"/>
        <rFont val="Calibri"/>
      </rPr>
      <t>Set</t>
    </r>
  </si>
  <si>
    <r>
      <rPr>
        <sz val="10"/>
        <color theme="1"/>
        <rFont val="Calibri"/>
      </rPr>
      <t>MR</t>
    </r>
  </si>
  <si>
    <r>
      <rPr>
        <sz val="10"/>
        <color theme="1"/>
        <rFont val="Calibri"/>
      </rPr>
      <t>SDB L+P PANEL-2 (7F)</t>
    </r>
  </si>
  <si>
    <r>
      <rPr>
        <sz val="10"/>
        <color theme="1"/>
        <rFont val="Calibri"/>
      </rPr>
      <t>Set</t>
    </r>
  </si>
  <si>
    <r>
      <rPr>
        <sz val="10"/>
        <color theme="1"/>
        <rFont val="Calibri"/>
      </rPr>
      <t>MR</t>
    </r>
  </si>
  <si>
    <r>
      <rPr>
        <sz val="10"/>
        <color theme="1"/>
        <rFont val="Calibri"/>
      </rPr>
      <t>STARTER PANEL-1 VENT -7F</t>
    </r>
  </si>
  <si>
    <r>
      <rPr>
        <sz val="10"/>
        <color theme="1"/>
        <rFont val="Calibri"/>
      </rPr>
      <t>Set</t>
    </r>
  </si>
  <si>
    <r>
      <rPr>
        <sz val="10"/>
        <color theme="1"/>
        <rFont val="Calibri"/>
      </rPr>
      <t>MR</t>
    </r>
  </si>
  <si>
    <r>
      <rPr>
        <sz val="10"/>
        <color theme="1"/>
        <rFont val="Calibri"/>
      </rPr>
      <t>STARTER PANEL-2 VENT -7F</t>
    </r>
  </si>
  <si>
    <r>
      <rPr>
        <sz val="10"/>
        <color theme="1"/>
        <rFont val="Calibri"/>
      </rPr>
      <t>Set</t>
    </r>
  </si>
  <si>
    <r>
      <rPr>
        <sz val="10"/>
        <color theme="1"/>
        <rFont val="Calibri"/>
      </rPr>
      <t>MR</t>
    </r>
  </si>
  <si>
    <r>
      <rPr>
        <sz val="10"/>
        <color theme="1"/>
        <rFont val="Calibri"/>
      </rPr>
      <t>AHU PANEL-1 (7F-LHS)</t>
    </r>
  </si>
  <si>
    <r>
      <rPr>
        <sz val="10"/>
        <color theme="1"/>
        <rFont val="Calibri"/>
      </rPr>
      <t>Set</t>
    </r>
  </si>
  <si>
    <r>
      <rPr>
        <sz val="10"/>
        <color theme="1"/>
        <rFont val="Calibri"/>
      </rPr>
      <t>MR</t>
    </r>
  </si>
  <si>
    <r>
      <rPr>
        <sz val="10"/>
        <color theme="1"/>
        <rFont val="Calibri"/>
      </rPr>
      <t>AHU PANEL-2 (7F-RHS)</t>
    </r>
  </si>
  <si>
    <r>
      <rPr>
        <sz val="10"/>
        <color theme="1"/>
        <rFont val="Calibri"/>
      </rPr>
      <t>Set</t>
    </r>
  </si>
  <si>
    <r>
      <rPr>
        <sz val="10"/>
        <color theme="1"/>
        <rFont val="Calibri"/>
      </rPr>
      <t>MR</t>
    </r>
  </si>
  <si>
    <r>
      <rPr>
        <sz val="10"/>
        <color theme="1"/>
        <rFont val="Calibri"/>
      </rPr>
      <t>SDB L+P PANEL 6F</t>
    </r>
  </si>
  <si>
    <r>
      <rPr>
        <sz val="10"/>
        <color theme="1"/>
        <rFont val="Calibri"/>
      </rPr>
      <t>Set</t>
    </r>
  </si>
  <si>
    <r>
      <rPr>
        <sz val="10"/>
        <color theme="1"/>
        <rFont val="Calibri"/>
      </rPr>
      <t>MR</t>
    </r>
  </si>
  <si>
    <r>
      <rPr>
        <sz val="10"/>
        <color theme="1"/>
        <rFont val="Calibri"/>
      </rPr>
      <t>AHU PANEL-1 (6F-LHS)</t>
    </r>
  </si>
  <si>
    <r>
      <rPr>
        <sz val="10"/>
        <color theme="1"/>
        <rFont val="Calibri"/>
      </rPr>
      <t>Set</t>
    </r>
  </si>
  <si>
    <r>
      <rPr>
        <sz val="10"/>
        <color theme="1"/>
        <rFont val="Calibri"/>
      </rPr>
      <t>MR</t>
    </r>
  </si>
  <si>
    <r>
      <rPr>
        <sz val="10"/>
        <color theme="1"/>
        <rFont val="Calibri"/>
      </rPr>
      <t>AHU PANEL-2 (6F-RHS)</t>
    </r>
  </si>
  <si>
    <r>
      <rPr>
        <sz val="10"/>
        <color theme="1"/>
        <rFont val="Calibri"/>
      </rPr>
      <t>Set</t>
    </r>
  </si>
  <si>
    <r>
      <rPr>
        <sz val="10"/>
        <color theme="1"/>
        <rFont val="Calibri"/>
      </rPr>
      <t>MR</t>
    </r>
  </si>
  <si>
    <r>
      <rPr>
        <sz val="10"/>
        <color theme="1"/>
        <rFont val="Calibri"/>
      </rPr>
      <t>SDB L+P PANEL 5F</t>
    </r>
  </si>
  <si>
    <r>
      <rPr>
        <sz val="10"/>
        <color theme="1"/>
        <rFont val="Calibri"/>
      </rPr>
      <t>Set</t>
    </r>
  </si>
  <si>
    <r>
      <rPr>
        <sz val="10"/>
        <color theme="1"/>
        <rFont val="Calibri"/>
      </rPr>
      <t>MR</t>
    </r>
  </si>
  <si>
    <r>
      <rPr>
        <sz val="10"/>
        <color theme="1"/>
        <rFont val="Calibri"/>
      </rPr>
      <t>AHU PANEL-1 (5F-LHS)</t>
    </r>
  </si>
  <si>
    <r>
      <rPr>
        <sz val="10"/>
        <color theme="1"/>
        <rFont val="Calibri"/>
      </rPr>
      <t>Set</t>
    </r>
  </si>
  <si>
    <r>
      <rPr>
        <sz val="10"/>
        <color theme="1"/>
        <rFont val="Calibri"/>
      </rPr>
      <t>MR</t>
    </r>
  </si>
  <si>
    <r>
      <rPr>
        <sz val="10"/>
        <color theme="1"/>
        <rFont val="Calibri"/>
      </rPr>
      <t>AHU PANEL-2 (5F-RHS)</t>
    </r>
  </si>
  <si>
    <r>
      <rPr>
        <sz val="10"/>
        <color theme="1"/>
        <rFont val="Calibri"/>
      </rPr>
      <t>Set</t>
    </r>
  </si>
  <si>
    <r>
      <rPr>
        <sz val="10"/>
        <color theme="1"/>
        <rFont val="Calibri"/>
      </rPr>
      <t>MR</t>
    </r>
  </si>
  <si>
    <r>
      <rPr>
        <sz val="10"/>
        <color theme="1"/>
        <rFont val="Calibri"/>
      </rPr>
      <t>SDB L+P PANEL 4F</t>
    </r>
  </si>
  <si>
    <r>
      <rPr>
        <sz val="10"/>
        <color theme="1"/>
        <rFont val="Calibri"/>
      </rPr>
      <t>Set</t>
    </r>
  </si>
  <si>
    <r>
      <rPr>
        <sz val="10"/>
        <color theme="1"/>
        <rFont val="Calibri"/>
      </rPr>
      <t>MR</t>
    </r>
  </si>
  <si>
    <r>
      <rPr>
        <sz val="10"/>
        <color theme="1"/>
        <rFont val="Calibri"/>
      </rPr>
      <t>AHU PANEL-1 (4F-LHS)</t>
    </r>
  </si>
  <si>
    <r>
      <rPr>
        <sz val="10"/>
        <color theme="1"/>
        <rFont val="Calibri"/>
      </rPr>
      <t>Set</t>
    </r>
  </si>
  <si>
    <r>
      <rPr>
        <sz val="10"/>
        <color theme="1"/>
        <rFont val="Calibri"/>
      </rPr>
      <t>MR</t>
    </r>
  </si>
  <si>
    <r>
      <rPr>
        <sz val="10"/>
        <color theme="1"/>
        <rFont val="Calibri"/>
      </rPr>
      <t>AHU PANEL-2 (4F-RHS)</t>
    </r>
  </si>
  <si>
    <r>
      <rPr>
        <sz val="10"/>
        <color theme="1"/>
        <rFont val="Calibri"/>
      </rPr>
      <t>Set</t>
    </r>
  </si>
  <si>
    <r>
      <rPr>
        <sz val="10"/>
        <color theme="1"/>
        <rFont val="Calibri"/>
      </rPr>
      <t>MR</t>
    </r>
  </si>
  <si>
    <r>
      <rPr>
        <sz val="10"/>
        <color theme="1"/>
        <rFont val="Calibri"/>
      </rPr>
      <t>SDB L+P PANEL 3F</t>
    </r>
  </si>
  <si>
    <r>
      <rPr>
        <sz val="10"/>
        <color theme="1"/>
        <rFont val="Calibri"/>
      </rPr>
      <t>Set</t>
    </r>
  </si>
  <si>
    <r>
      <rPr>
        <sz val="10"/>
        <color theme="1"/>
        <rFont val="Calibri"/>
      </rPr>
      <t>MR</t>
    </r>
  </si>
  <si>
    <r>
      <rPr>
        <sz val="10"/>
        <color theme="1"/>
        <rFont val="Calibri"/>
      </rPr>
      <t>AHU PANEL-1 (3F-LHS)</t>
    </r>
  </si>
  <si>
    <r>
      <rPr>
        <sz val="10"/>
        <color theme="1"/>
        <rFont val="Calibri"/>
      </rPr>
      <t>Set</t>
    </r>
  </si>
  <si>
    <r>
      <rPr>
        <sz val="10"/>
        <color theme="1"/>
        <rFont val="Calibri"/>
      </rPr>
      <t>MR</t>
    </r>
  </si>
  <si>
    <r>
      <rPr>
        <sz val="10"/>
        <color theme="1"/>
        <rFont val="Calibri"/>
      </rPr>
      <t>AHU PANEL-2 (3F-RHS)</t>
    </r>
  </si>
  <si>
    <r>
      <rPr>
        <sz val="10"/>
        <color theme="1"/>
        <rFont val="Calibri"/>
      </rPr>
      <t>Set</t>
    </r>
  </si>
  <si>
    <r>
      <rPr>
        <sz val="10"/>
        <color theme="1"/>
        <rFont val="Calibri"/>
      </rPr>
      <t>MR</t>
    </r>
  </si>
  <si>
    <r>
      <rPr>
        <sz val="10"/>
        <color theme="1"/>
        <rFont val="Calibri"/>
      </rPr>
      <t>SDB L+P PANEL 2F</t>
    </r>
  </si>
  <si>
    <r>
      <rPr>
        <sz val="10"/>
        <color theme="1"/>
        <rFont val="Calibri"/>
      </rPr>
      <t>Set</t>
    </r>
  </si>
  <si>
    <r>
      <rPr>
        <sz val="10"/>
        <color theme="1"/>
        <rFont val="Calibri"/>
      </rPr>
      <t>MR</t>
    </r>
  </si>
  <si>
    <r>
      <rPr>
        <sz val="10"/>
        <color theme="1"/>
        <rFont val="Calibri"/>
      </rPr>
      <t>AHU PANEL-1 (2F-LHS)</t>
    </r>
  </si>
  <si>
    <r>
      <rPr>
        <sz val="10"/>
        <color theme="1"/>
        <rFont val="Calibri"/>
      </rPr>
      <t>Set</t>
    </r>
  </si>
  <si>
    <r>
      <rPr>
        <sz val="10"/>
        <color theme="1"/>
        <rFont val="Calibri"/>
      </rPr>
      <t>MR</t>
    </r>
  </si>
  <si>
    <r>
      <rPr>
        <sz val="10"/>
        <color theme="1"/>
        <rFont val="Calibri"/>
      </rPr>
      <t>AHU PANEL-2 (2F-RHS)</t>
    </r>
  </si>
  <si>
    <r>
      <rPr>
        <sz val="10"/>
        <color theme="1"/>
        <rFont val="Calibri"/>
      </rPr>
      <t>Set</t>
    </r>
  </si>
  <si>
    <r>
      <rPr>
        <sz val="10"/>
        <color theme="1"/>
        <rFont val="Calibri"/>
      </rPr>
      <t>MR</t>
    </r>
  </si>
  <si>
    <r>
      <rPr>
        <sz val="10"/>
        <color theme="1"/>
        <rFont val="Calibri"/>
      </rPr>
      <t>100A, 4P MCCB-FF</t>
    </r>
  </si>
  <si>
    <r>
      <rPr>
        <sz val="10"/>
        <color theme="1"/>
        <rFont val="Calibri"/>
      </rPr>
      <t>Set</t>
    </r>
  </si>
  <si>
    <r>
      <rPr>
        <sz val="10"/>
        <color theme="1"/>
        <rFont val="Calibri"/>
      </rPr>
      <t>MR</t>
    </r>
  </si>
  <si>
    <r>
      <rPr>
        <sz val="10"/>
        <color theme="1"/>
        <rFont val="Calibri"/>
      </rPr>
      <t>SDB L+P PANEL FF</t>
    </r>
  </si>
  <si>
    <r>
      <rPr>
        <sz val="10"/>
        <color theme="1"/>
        <rFont val="Calibri"/>
      </rPr>
      <t>Set</t>
    </r>
  </si>
  <si>
    <r>
      <rPr>
        <sz val="10"/>
        <color theme="1"/>
        <rFont val="Calibri"/>
      </rPr>
      <t>MR</t>
    </r>
  </si>
  <si>
    <r>
      <rPr>
        <sz val="10"/>
        <color theme="1"/>
        <rFont val="Calibri"/>
      </rPr>
      <t>AHU PANEL-1 (FF-LHS)</t>
    </r>
  </si>
  <si>
    <r>
      <rPr>
        <sz val="10"/>
        <color theme="1"/>
        <rFont val="Calibri"/>
      </rPr>
      <t>Set</t>
    </r>
  </si>
  <si>
    <r>
      <rPr>
        <sz val="10"/>
        <color theme="1"/>
        <rFont val="Calibri"/>
      </rPr>
      <t>MR</t>
    </r>
  </si>
  <si>
    <r>
      <rPr>
        <sz val="10"/>
        <color theme="1"/>
        <rFont val="Calibri"/>
      </rPr>
      <t>AHU PANEL-2 (FF-RHS)</t>
    </r>
  </si>
  <si>
    <r>
      <rPr>
        <sz val="10"/>
        <color theme="1"/>
        <rFont val="Calibri"/>
      </rPr>
      <t>Set</t>
    </r>
  </si>
  <si>
    <r>
      <rPr>
        <sz val="10"/>
        <color theme="1"/>
        <rFont val="Calibri"/>
      </rPr>
      <t>MR</t>
    </r>
  </si>
  <si>
    <r>
      <rPr>
        <sz val="10"/>
        <color theme="1"/>
        <rFont val="Calibri"/>
      </rPr>
      <t>STARTER PANEL-1 VENT -FF</t>
    </r>
  </si>
  <si>
    <r>
      <rPr>
        <sz val="10"/>
        <color theme="1"/>
        <rFont val="Calibri"/>
      </rPr>
      <t>Set</t>
    </r>
  </si>
  <si>
    <r>
      <rPr>
        <sz val="10"/>
        <color theme="1"/>
        <rFont val="Calibri"/>
      </rPr>
      <t>MR</t>
    </r>
  </si>
  <si>
    <r>
      <rPr>
        <sz val="10"/>
        <color theme="1"/>
        <rFont val="Calibri"/>
      </rPr>
      <t>STARTER PANEL-2 VENT -FF</t>
    </r>
  </si>
  <si>
    <r>
      <rPr>
        <sz val="10"/>
        <color theme="1"/>
        <rFont val="Calibri"/>
      </rPr>
      <t>Set</t>
    </r>
  </si>
  <si>
    <r>
      <rPr>
        <sz val="10"/>
        <color theme="1"/>
        <rFont val="Calibri"/>
      </rPr>
      <t>MR</t>
    </r>
  </si>
  <si>
    <r>
      <rPr>
        <sz val="10"/>
        <color theme="1"/>
        <rFont val="Calibri"/>
      </rPr>
      <t>SDB L+P PANEL GF</t>
    </r>
  </si>
  <si>
    <r>
      <rPr>
        <sz val="10"/>
        <color theme="1"/>
        <rFont val="Calibri"/>
      </rPr>
      <t>Set</t>
    </r>
  </si>
  <si>
    <r>
      <rPr>
        <sz val="10"/>
        <color theme="1"/>
        <rFont val="Calibri"/>
      </rPr>
      <t>MR</t>
    </r>
  </si>
  <si>
    <r>
      <rPr>
        <sz val="10"/>
        <color theme="1"/>
        <rFont val="Calibri"/>
      </rPr>
      <t>AHU PANEL-1 (GF-LHS)</t>
    </r>
  </si>
  <si>
    <r>
      <rPr>
        <sz val="10"/>
        <color theme="1"/>
        <rFont val="Calibri"/>
      </rPr>
      <t>Set</t>
    </r>
  </si>
  <si>
    <r>
      <rPr>
        <sz val="10"/>
        <color theme="1"/>
        <rFont val="Calibri"/>
      </rPr>
      <t>MR</t>
    </r>
  </si>
  <si>
    <r>
      <rPr>
        <sz val="10"/>
        <color theme="1"/>
        <rFont val="Calibri"/>
      </rPr>
      <t>AHU PANEL-2 (GF-RHS)</t>
    </r>
  </si>
  <si>
    <r>
      <rPr>
        <sz val="10"/>
        <color theme="1"/>
        <rFont val="Calibri"/>
      </rPr>
      <t>Set</t>
    </r>
  </si>
  <si>
    <r>
      <rPr>
        <sz val="10"/>
        <color theme="1"/>
        <rFont val="Calibri"/>
      </rPr>
      <t>MR</t>
    </r>
  </si>
  <si>
    <r>
      <rPr>
        <sz val="10"/>
        <color theme="1"/>
        <rFont val="Calibri"/>
      </rPr>
      <t>SDB L+P PANEL UPS ROOM</t>
    </r>
  </si>
  <si>
    <r>
      <rPr>
        <sz val="10"/>
        <color theme="1"/>
        <rFont val="Calibri"/>
      </rPr>
      <t>Set</t>
    </r>
  </si>
  <si>
    <r>
      <rPr>
        <b/>
        <sz val="10"/>
        <color theme="1"/>
        <rFont val="Calibri"/>
      </rPr>
      <t>TOTAL CARRIED OVER TO SUMMARY</t>
    </r>
  </si>
  <si>
    <r>
      <rPr>
        <b/>
        <sz val="10"/>
        <color theme="1"/>
        <rFont val="Calibri"/>
      </rPr>
      <t>SUB HEAD J</t>
    </r>
  </si>
  <si>
    <r>
      <rPr>
        <b/>
        <sz val="10"/>
        <color theme="1"/>
        <rFont val="Calibri"/>
      </rPr>
      <t>UPS</t>
    </r>
  </si>
  <si>
    <r>
      <rPr>
        <b/>
        <sz val="10"/>
        <color theme="1"/>
        <rFont val="Calibri"/>
      </rPr>
      <t>MR</t>
    </r>
  </si>
  <si>
    <r>
      <rPr>
        <b/>
        <sz val="10"/>
        <color theme="1"/>
        <rFont val="Calibri"/>
      </rPr>
      <t>UPS FOR WORK STATIONS - 300KW</t>
    </r>
  </si>
  <si>
    <r>
      <rPr>
        <b/>
        <sz val="10"/>
        <color rgb="FF000000"/>
        <rFont val="Calibri"/>
      </rPr>
      <t xml:space="preserve">Digital   Signal   Processor   (DSP)   based   1   Nos.   x   300KW   in   400KVA/KW   frame (5x60kVA/KW or 6X50kW )Modular UPS  </t>
    </r>
    <r>
      <rPr>
        <sz val="10"/>
        <color rgb="FF000000"/>
        <rFont val="Calibri"/>
      </rPr>
      <t xml:space="preserve">, IGBT based rectifier to achieve input THDI &lt; 5% and input power factor 1.0  at 100% loading. True Online Double Conversion  (VFI as per IEC 62040-3)  UPS  using   PWM  IGBT  technology,  3  Phase  input  and  3  phase  415V  output  UPS system; and each comprising of the following:
</t>
    </r>
    <r>
      <rPr>
        <sz val="10"/>
        <color rgb="FF000000"/>
        <rFont val="Calibri"/>
      </rPr>
      <t xml:space="preserve">Each  UPS  module  with  integrated  100%  rectifier  +  inverter.Each  UPS  to  have   external paralleling  feature  for  minimum  5  units  along  with  inbuilt  phase  sequence  corrector  and Backfeed contactor
</t>
    </r>
    <r>
      <rPr>
        <sz val="10"/>
        <color rgb="FF000000"/>
        <rFont val="Calibri"/>
      </rPr>
      <t>Fully rated, unity power factor designed hot scalable &amp; hot swappable power module and hot swappable static switch.Power Module to be integrated inside a single frame to achieve 400KW rating. It should possible to add or replace power modules and static switch without switching the  load  to  bypass  source  i.e  both  power  modules  and  static  switch  needs  to  be  hot swappable(Documentary  proof  to  be  shared).   Notification  should  be  provided  on  the  UPS intergrated  display  for  add  or  removal  of  Power  module.UPS  to  have  sleep  mode  feature for energy  saving  and  module  awakening  time   to  be  less  2msec.Each  Modular  Chassis  to  have inbuilt input,output, bypass and mnaitenance bypass isolators as a mandatory requirement .</t>
    </r>
  </si>
  <si>
    <r>
      <rPr>
        <sz val="10"/>
        <color rgb="FF000000"/>
        <rFont val="Calibri"/>
      </rPr>
      <t xml:space="preserve">RS  485  BACnet  /  Modbus  protocol  with  each  UPS  System  for  BMS  Connectivity.  All  the information to be provided to the BMS vendor at one point.
</t>
    </r>
    <r>
      <rPr>
        <sz val="10"/>
        <color rgb="FF000000"/>
        <rFont val="Calibri"/>
      </rPr>
      <t xml:space="preserve">UPS Efficiency to be greater than 97.5%  @ 25%, 50% and 75% Load  and to be greater than 96.5% @ 100% Load(.Type test report of UPS to be shared along with bid in accordance with IEC62040-3-2021 standard only  from NABL accrediated body/lab)
</t>
    </r>
    <r>
      <rPr>
        <sz val="10"/>
        <color rgb="FF000000"/>
        <rFont val="Calibri"/>
      </rPr>
      <t xml:space="preserve">Interconnecting Control Cabling between UPS, Battery breaker &amp; Batteries, UPS to transformer (DC Cable  Cu.) of required length and size.
</t>
    </r>
    <r>
      <rPr>
        <sz val="10"/>
        <color rgb="FF000000"/>
        <rFont val="Calibri"/>
      </rPr>
      <t xml:space="preserve">Each  UPS  shall  have  a  SNMP  card  for  LAN/WEB  connectivity.  The  SNMP  card  shall  have  an inbuilt memory for event logging and should be inlined with UL2900 and must be VAPT tested by CERT-IN(TEST CERTIFICATE TO BE SUBMITTED)
</t>
    </r>
    <r>
      <rPr>
        <sz val="10"/>
        <color rgb="FF000000"/>
        <rFont val="Calibri"/>
      </rPr>
      <t xml:space="preserve">Suitable  MS  stand  as  per  false  floor  depth/Condition  at  site  for  each  UPS  and  Battery  duly painted for each UPS.
</t>
    </r>
    <r>
      <rPr>
        <sz val="10"/>
        <color rgb="FF000000"/>
        <rFont val="Calibri"/>
      </rPr>
      <t xml:space="preserve">Self-Synchronization  in  the  event  of  control  module  failure,  full  control  logic  at  the  power module level allows the system to self-synchronize for assured continuous operation.
</t>
    </r>
    <r>
      <rPr>
        <sz val="10"/>
        <color rgb="FF000000"/>
        <rFont val="Calibri"/>
      </rPr>
      <t>RAM Module/Relay card with each UPS and Cat 5 cable for RAM connectivity. Necessary Top Covered racks, Linksets and DC cable</t>
    </r>
  </si>
  <si>
    <r>
      <rPr>
        <b/>
        <sz val="10"/>
        <color rgb="FF000000"/>
        <rFont val="Calibri"/>
      </rPr>
      <t xml:space="preserve">Chassis Only </t>
    </r>
    <r>
      <rPr>
        <sz val="10"/>
        <color rgb="FF000000"/>
        <rFont val="Calibri"/>
      </rPr>
      <t>for Modular UPS having hot swappable static switch with all accessories</t>
    </r>
  </si>
  <si>
    <r>
      <rPr>
        <sz val="10"/>
        <color theme="1"/>
        <rFont val="Calibri"/>
      </rPr>
      <t>Set</t>
    </r>
  </si>
  <si>
    <r>
      <rPr>
        <b/>
        <sz val="10"/>
        <color rgb="FF000000"/>
        <rFont val="Calibri"/>
      </rPr>
      <t xml:space="preserve">Hot Swappable UPS Power Modules: </t>
    </r>
    <r>
      <rPr>
        <sz val="10"/>
        <color rgb="FF000000"/>
        <rFont val="Calibri"/>
      </rPr>
      <t xml:space="preserve">50KW/60KW for 300KVA/300KW in 400KW Chassis </t>
    </r>
    <r>
      <rPr>
        <b/>
        <sz val="10"/>
        <color rgb="FF000000"/>
        <rFont val="Calibri"/>
      </rPr>
      <t xml:space="preserve">Note:  </t>
    </r>
    <r>
      <rPr>
        <sz val="10"/>
        <color rgb="FF000000"/>
        <rFont val="Calibri"/>
      </rPr>
      <t>T</t>
    </r>
    <r>
      <rPr>
        <u/>
        <sz val="10"/>
        <color rgb="FF000000"/>
        <rFont val="Calibri"/>
      </rPr>
      <t>he</t>
    </r>
    <r>
      <rPr>
        <sz val="10"/>
        <color rgb="FF000000"/>
        <rFont val="Calibri"/>
      </rPr>
      <t xml:space="preserve"> </t>
    </r>
    <r>
      <rPr>
        <u/>
        <sz val="10"/>
        <color rgb="FF000000"/>
        <rFont val="Calibri"/>
      </rPr>
      <t>quantity</t>
    </r>
    <r>
      <rPr>
        <sz val="10"/>
        <color rgb="FF000000"/>
        <rFont val="Calibri"/>
      </rPr>
      <t xml:space="preserve"> </t>
    </r>
    <r>
      <rPr>
        <u/>
        <sz val="10"/>
        <color rgb="FF000000"/>
        <rFont val="Calibri"/>
      </rPr>
      <t>of</t>
    </r>
    <r>
      <rPr>
        <sz val="10"/>
        <color rgb="FF000000"/>
        <rFont val="Calibri"/>
      </rPr>
      <t xml:space="preserve"> </t>
    </r>
    <r>
      <rPr>
        <u/>
        <sz val="10"/>
        <color rgb="FF000000"/>
        <rFont val="Calibri"/>
      </rPr>
      <t>modules</t>
    </r>
    <r>
      <rPr>
        <sz val="10"/>
        <color rgb="FF000000"/>
        <rFont val="Calibri"/>
      </rPr>
      <t xml:space="preserve"> </t>
    </r>
    <r>
      <rPr>
        <u/>
        <sz val="10"/>
        <color rgb="FF000000"/>
        <rFont val="Calibri"/>
      </rPr>
      <t>required</t>
    </r>
    <r>
      <rPr>
        <sz val="10"/>
        <color rgb="FF000000"/>
        <rFont val="Calibri"/>
      </rPr>
      <t xml:space="preserve">  </t>
    </r>
    <r>
      <rPr>
        <u/>
        <sz val="10"/>
        <color rgb="FF000000"/>
        <rFont val="Calibri"/>
      </rPr>
      <t>for</t>
    </r>
    <r>
      <rPr>
        <sz val="10"/>
        <color rgb="FF000000"/>
        <rFont val="Calibri"/>
      </rPr>
      <t xml:space="preserve"> </t>
    </r>
    <r>
      <rPr>
        <u/>
        <sz val="10"/>
        <color rgb="FF000000"/>
        <rFont val="Calibri"/>
      </rPr>
      <t>the</t>
    </r>
    <r>
      <rPr>
        <sz val="10"/>
        <color rgb="FF000000"/>
        <rFont val="Calibri"/>
      </rPr>
      <t xml:space="preserve"> </t>
    </r>
    <r>
      <rPr>
        <u/>
        <sz val="10"/>
        <color rgb="FF000000"/>
        <rFont val="Calibri"/>
      </rPr>
      <t>50 kW</t>
    </r>
    <r>
      <rPr>
        <sz val="10"/>
        <color rgb="FF000000"/>
        <rFont val="Calibri"/>
      </rPr>
      <t xml:space="preserve"> </t>
    </r>
    <r>
      <rPr>
        <u/>
        <sz val="10"/>
        <color rgb="FF000000"/>
        <rFont val="Calibri"/>
      </rPr>
      <t>Power</t>
    </r>
    <r>
      <rPr>
        <sz val="10"/>
        <color rgb="FF000000"/>
        <rFont val="Calibri"/>
      </rPr>
      <t xml:space="preserve">  </t>
    </r>
    <r>
      <rPr>
        <u/>
        <sz val="10"/>
        <color rgb="FF000000"/>
        <rFont val="Calibri"/>
      </rPr>
      <t>Module</t>
    </r>
    <r>
      <rPr>
        <sz val="10"/>
        <color rgb="FF000000"/>
        <rFont val="Calibri"/>
      </rPr>
      <t xml:space="preserve"> </t>
    </r>
    <r>
      <rPr>
        <u/>
        <sz val="10"/>
        <color rgb="FF000000"/>
        <rFont val="Calibri"/>
      </rPr>
      <t>is</t>
    </r>
    <r>
      <rPr>
        <sz val="10"/>
        <color rgb="FF000000"/>
        <rFont val="Calibri"/>
      </rPr>
      <t xml:space="preserve"> </t>
    </r>
    <r>
      <rPr>
        <u/>
        <sz val="10"/>
        <color rgb="FF000000"/>
        <rFont val="Calibri"/>
      </rPr>
      <t>18</t>
    </r>
    <r>
      <rPr>
        <sz val="10"/>
        <color rgb="FF000000"/>
        <rFont val="Calibri"/>
      </rPr>
      <t xml:space="preserve"> </t>
    </r>
    <r>
      <rPr>
        <u/>
        <sz val="10"/>
        <color rgb="FF000000"/>
        <rFont val="Calibri"/>
      </rPr>
      <t>units.</t>
    </r>
    <r>
      <rPr>
        <sz val="10"/>
        <color rgb="FF000000"/>
        <rFont val="Calibri"/>
      </rPr>
      <t xml:space="preserve">  </t>
    </r>
    <r>
      <rPr>
        <u/>
        <sz val="10"/>
        <color rgb="FF000000"/>
        <rFont val="Calibri"/>
      </rPr>
      <t>Bidders</t>
    </r>
    <r>
      <rPr>
        <sz val="10"/>
        <color rgb="FF000000"/>
        <rFont val="Calibri"/>
      </rPr>
      <t xml:space="preserve"> </t>
    </r>
    <r>
      <rPr>
        <u/>
        <sz val="10"/>
        <color rgb="FF000000"/>
        <rFont val="Calibri"/>
      </rPr>
      <t>are</t>
    </r>
    <r>
      <rPr>
        <sz val="10"/>
        <color rgb="FF000000"/>
        <rFont val="Calibri"/>
      </rPr>
      <t xml:space="preserve"> </t>
    </r>
    <r>
      <rPr>
        <u/>
        <sz val="10"/>
        <color rgb="FF000000"/>
        <rFont val="Calibri"/>
      </rPr>
      <t>requested to update the quantity accordingly while submitting their bids.</t>
    </r>
  </si>
  <si>
    <r>
      <rPr>
        <sz val="10"/>
        <color theme="1"/>
        <rFont val="Calibri"/>
      </rPr>
      <t>Set</t>
    </r>
  </si>
  <si>
    <r>
      <rPr>
        <sz val="10"/>
        <color rgb="FF000000"/>
        <rFont val="Calibri"/>
      </rPr>
      <t xml:space="preserve">UL9540A  certified  Lithium  Ion  batteries  at  Cell  Level,  module  level  and  at  rack  level  (A mandatory certificate/Reports  needs  to  be shared  along with  bid for  verification  along  with ) with NMC/NMC+LMO </t>
    </r>
    <r>
      <rPr>
        <b/>
        <sz val="10"/>
        <color rgb="FF000000"/>
        <rFont val="Calibri"/>
      </rPr>
      <t xml:space="preserve">Chemistry for 300 kW load at Unity PF with 15 Mins backup time for each   UPS   shall   be   provided)   </t>
    </r>
    <r>
      <rPr>
        <sz val="10"/>
        <color rgb="FF000000"/>
        <rFont val="Calibri"/>
      </rPr>
      <t xml:space="preserve">with  interconnectors,   Cabinet   and   Accessories.   Battery monitoring  system  of  lithium  ion  batteries  to  be  connected  with  existing  BMS  system  ,Each Strings should have its own breaker and its own BMS.. Offered batetries to have mandatory UL 991 applies to controls using solid-state devices used in LIB and UL 1998 pertains to software in programmable  components  ,UL1973  applicable  for  BMS  thermal  ,  electrical  and  mechanical safety and UL1642 for safe design, construction, and performance of lithium battery cells .
</t>
    </r>
    <r>
      <rPr>
        <sz val="10"/>
        <color rgb="FF000000"/>
        <rFont val="Calibri"/>
      </rPr>
      <t>Inbuilt Rack based Battery Monitoring System: Monitor + Control along with balance charging. Individual Module Level, Rack Level &amp; System Level shall be provided with each UPS with LIB system.  The  BMS  shall  provide  SOC  (State  of  Charge),  SOH  (State  of  Health),  Voltage  and Temperature for each Cell and Module within the LIB rack. The PC based external BMS is not acceptable.All  accesories related to lithium  ion batteries  to be considered to ensure complete installation such as power supply ,MCB,cabling, JB etc.</t>
    </r>
  </si>
  <si>
    <r>
      <rPr>
        <sz val="10"/>
        <color rgb="FF000000"/>
        <rFont val="Calibri"/>
      </rPr>
      <t xml:space="preserve">Lithium-ion batteries should be supplied according to the OEM standard model, complete with a Battery Management System (BMS) and rack provided by the OEM of the lithium-ion batteries. This  ensures  the  highest  quality  and  maintains  all  applicable safety  certifications  at  the rack level. The quoted model should also be listed on the global OEM website or available on the UPS OEM website.A proper User manual of offered and product brichure Lithium ion battery can be downloaded from OEM Website -A Link to be provided along with the bid
</t>
    </r>
    <r>
      <rPr>
        <sz val="10"/>
        <color rgb="FF000000"/>
        <rFont val="Calibri"/>
      </rPr>
      <t>NOTE:  Only original certificates/reports will be accepted, and each report must clearly mention the correct model number.</t>
    </r>
  </si>
  <si>
    <r>
      <rPr>
        <sz val="10"/>
        <color theme="1"/>
        <rFont val="Calibri"/>
      </rPr>
      <t>Set</t>
    </r>
  </si>
  <si>
    <r>
      <rPr>
        <b/>
        <sz val="10"/>
        <color rgb="FF000000"/>
        <rFont val="Calibri"/>
      </rPr>
      <t xml:space="preserve">External  Galvanic  Isolation  transformer  </t>
    </r>
    <r>
      <rPr>
        <sz val="10"/>
        <color rgb="FF000000"/>
        <rFont val="Calibri"/>
      </rPr>
      <t>K-13-Copper,  at  the  input  of  each  UPS,  capacity same  as  of  Full  chassis  rating  as  per  OEM.  All  Isolation  Transformers  shall  have  same impedance should  be haing  input breaker, Auto soft starter  and Top and Bottom Cable Entry and RAL Code to be matched UPS RAL code</t>
    </r>
  </si>
  <si>
    <r>
      <rPr>
        <sz val="10"/>
        <color theme="1"/>
        <rFont val="Calibri"/>
      </rPr>
      <t>Set</t>
    </r>
  </si>
  <si>
    <r>
      <rPr>
        <b/>
        <sz val="10"/>
        <color theme="1"/>
        <rFont val="Calibri"/>
      </rPr>
      <t>MR</t>
    </r>
  </si>
  <si>
    <r>
      <rPr>
        <b/>
        <sz val="10"/>
        <color theme="1"/>
        <rFont val="Calibri"/>
      </rPr>
      <t>CRITICAL LOADS - SERVER /HUB ROOM - 240KW</t>
    </r>
  </si>
  <si>
    <r>
      <rPr>
        <b/>
        <sz val="10"/>
        <color rgb="FF000000"/>
        <rFont val="Calibri"/>
      </rPr>
      <t xml:space="preserve">Digital Signal Processor (DSP) based 1 Nos. x 240KW+ 1 Extra Module for redundancy in 300KVA/KW frame  (5x60kVA/KW  or 6X50kW )Modular UPS  </t>
    </r>
    <r>
      <rPr>
        <sz val="10"/>
        <color rgb="FF000000"/>
        <rFont val="Calibri"/>
      </rPr>
      <t xml:space="preserve">, IGBT based rectifier to achieve input THDI &lt; 5% and input power factor 1.0  at 100% loading. True Online Double Conversion  (VFI as per IEC 62040-3) UPS using  PWM IGBT technology, 3 Phase input and 3 phase 415V output UPS system; and each comprising of the following:
</t>
    </r>
    <r>
      <rPr>
        <sz val="10"/>
        <color rgb="FF000000"/>
        <rFont val="Calibri"/>
      </rPr>
      <t xml:space="preserve">Each UPS module with integrated 100% rectifier + inverter.Each UPS to have  external paralleling feature for minimum 5 units along with inbuilt phase sequence corrector and Backfeed contactor
</t>
    </r>
    <r>
      <rPr>
        <sz val="10"/>
        <color rgb="FF000000"/>
        <rFont val="Calibri"/>
      </rPr>
      <t>Fully rated, unity power factor designed hot scalable &amp; hot swappable power module and hot swappable static switch.Power Module to be integrated inside a single frame to achieve 400KW rating. It should possible to add or replace power modules and static switch without switching the load to bypass source i.e both power modules and static switch needs to be hot swappable(Documentary proof to be shared).  Notification should be provided on the UPS intergrated display for add or removal of Power module.UPS to have sleep mode feature for energy saving and module awakening time  to be less 2msec.Each Modular Chassis to have inbuilt input,output, bypass and mnaitenance bypass isolators as a mandatory requirement .</t>
    </r>
  </si>
  <si>
    <r>
      <rPr>
        <sz val="10"/>
        <color rgb="FF000000"/>
        <rFont val="Calibri"/>
      </rPr>
      <t xml:space="preserve">RS 485 BACnet / Modbus protocol with each UPS System for BMS Connectivity. All the information to be provided to the BMS vendor at one point.
</t>
    </r>
    <r>
      <rPr>
        <sz val="10"/>
        <color rgb="FF000000"/>
        <rFont val="Calibri"/>
      </rPr>
      <t xml:space="preserve">UPS Efficiency to be greater than 97.5%  @ 25%, 50% and 75% Load  and to be greater than 96.5% @ 100% Load(.Type test report of UPS to be shared along with bid in accordance with IEC62040-3-2021 standard only  from NABL accrediated body/lab)
</t>
    </r>
    <r>
      <rPr>
        <sz val="10"/>
        <color rgb="FF000000"/>
        <rFont val="Calibri"/>
      </rPr>
      <t xml:space="preserve">Interconnecting Control Cabling between UPS, Battery breaker &amp; Batteries, UPS to transformer (DC Cable  Cu.) of required length and size.
</t>
    </r>
    <r>
      <rPr>
        <sz val="10"/>
        <color rgb="FF000000"/>
        <rFont val="Calibri"/>
      </rPr>
      <t xml:space="preserve">Each UPS shall have a SNMP card for LAN/WEB connectivity. The SNMP card shall have an inbuilt memory for event logging and should be inlined with UL2900 and must be VAPT tested by CERT-IN(TEST CERTIFICATE TO BE SUBMITTED)
</t>
    </r>
    <r>
      <rPr>
        <sz val="10"/>
        <color rgb="FF000000"/>
        <rFont val="Calibri"/>
      </rPr>
      <t xml:space="preserve">Suitable MS stand as per false floor depth/Condition at site for each UPS and Battery duly painted for each UPS.
</t>
    </r>
    <r>
      <rPr>
        <sz val="10"/>
        <color rgb="FF000000"/>
        <rFont val="Calibri"/>
      </rPr>
      <t xml:space="preserve">Self-Synchronization in the event of control module failure, full control logic at the power module level allows the system to self-synchronize for assured continuous operation.
</t>
    </r>
    <r>
      <rPr>
        <sz val="10"/>
        <color rgb="FF000000"/>
        <rFont val="Calibri"/>
      </rPr>
      <t>RAM Module/Relay card with each UPS and Cat 5 cable for RAM connectivity. Necessary Top Covered racks, Linksets and DC cable .</t>
    </r>
  </si>
  <si>
    <r>
      <rPr>
        <b/>
        <sz val="10"/>
        <color rgb="FF000000"/>
        <rFont val="Calibri"/>
      </rPr>
      <t xml:space="preserve">Chassis Only </t>
    </r>
    <r>
      <rPr>
        <sz val="10"/>
        <color rgb="FF000000"/>
        <rFont val="Calibri"/>
      </rPr>
      <t>for Modular UPS having hot swappable static switch with all accessories</t>
    </r>
  </si>
  <si>
    <r>
      <rPr>
        <sz val="10"/>
        <color theme="1"/>
        <rFont val="Calibri"/>
      </rPr>
      <t>Set</t>
    </r>
  </si>
  <si>
    <r>
      <rPr>
        <b/>
        <sz val="10"/>
        <color rgb="FF000000"/>
        <rFont val="Calibri"/>
      </rPr>
      <t xml:space="preserve">Hot Swappable UPS Power Modules: </t>
    </r>
    <r>
      <rPr>
        <sz val="10"/>
        <color rgb="FF000000"/>
        <rFont val="Calibri"/>
      </rPr>
      <t xml:space="preserve">50KW/60KW for 240KW/250KW in 300KW Chassis </t>
    </r>
    <r>
      <rPr>
        <b/>
        <sz val="10"/>
        <color rgb="FF000000"/>
        <rFont val="Calibri"/>
      </rPr>
      <t>Note:</t>
    </r>
    <r>
      <rPr>
        <u/>
        <sz val="10"/>
        <color rgb="FF000000"/>
        <rFont val="Calibri"/>
      </rPr>
      <t>  The quantity of modules required for the 50 kW Power Module is 12 units. Bidders are</t>
    </r>
    <r>
      <rPr>
        <sz val="10"/>
        <color rgb="FF000000"/>
        <rFont val="Calibri"/>
      </rPr>
      <t xml:space="preserve"> </t>
    </r>
    <r>
      <rPr>
        <u/>
        <sz val="10"/>
        <color rgb="FF000000"/>
        <rFont val="Calibri"/>
      </rPr>
      <t>requested to update the quantity accordingly while submitting their bids.</t>
    </r>
  </si>
  <si>
    <r>
      <rPr>
        <sz val="10"/>
        <color theme="1"/>
        <rFont val="Calibri"/>
      </rPr>
      <t>Set</t>
    </r>
  </si>
  <si>
    <r>
      <rPr>
        <sz val="10"/>
        <color rgb="FF000000"/>
        <rFont val="Calibri"/>
      </rPr>
      <t xml:space="preserve">UL9540A certified Lithium Ion batteries at Cell Level, module level and at rack level (A mandatory certificate/Reports needs to be shared along with bid for verification along with ) with NMC/NMC+LMO Chemistry for </t>
    </r>
    <r>
      <rPr>
        <b/>
        <sz val="10"/>
        <color rgb="FF000000"/>
        <rFont val="Calibri"/>
      </rPr>
      <t>200 KVA load at unity PF with 90 Mins backup time for each UPS shall be provided</t>
    </r>
    <r>
      <rPr>
        <sz val="10"/>
        <color rgb="FF000000"/>
        <rFont val="Calibri"/>
      </rPr>
      <t xml:space="preserve">(Battery Calculation sheet to be shared considering all mentioned parameters) with interconnectors, Cabinet and Accessories. Battery monitoring system of lithium ion batteries to be connected with existing BMS system ,Each Strings should have its own breaker and its own BMS.. Offered batetries to have mandatory UL 991 applies to controls using solid-state devices used in LIB and UL 1998 pertains to software in programmable components ,UL1973 applicable for BMS thermal , electrical and mechanical safety and UL1642 for safe design, construction, and performance of lithium battery cells .
</t>
    </r>
    <r>
      <rPr>
        <sz val="10"/>
        <color rgb="FF000000"/>
        <rFont val="Calibri"/>
      </rPr>
      <t>Inbuilt Rack based Battery Monitoring System: Monitor + Control along with balance charging. Individual Module Level, Rack Level &amp; System Level shall be provided with each UPS with LIB system. The BMS shall provide SOC (State of Charge), SOH (State of Health), Voltage and Temperature for each Cell and Module within the LIB rack. The PC based external BMS is not acceptable.All accesories related to lithium ion batteries to be considered to ensure complete installation such as power supply ,MCB,cabling, JB etc.</t>
    </r>
  </si>
  <si>
    <r>
      <rPr>
        <sz val="10"/>
        <color rgb="FF000000"/>
        <rFont val="Calibri"/>
      </rPr>
      <t xml:space="preserve">Lithium-ion batteries should be supplied according to the OEM standard model, complete with a Battery Management System (BMS) and rack provided by the OEM of the lithium-ion batteries. This ensures the highest quality and maintains all applicable safety certifications at the rack level. The quoted model should also be listed on the global OEM website or available on the UPS OEM website.A proper User manual of offered and product brichure Lithium ion battery can be downloaded from OEM Website -A Link to be provided along with the bid
</t>
    </r>
    <r>
      <rPr>
        <sz val="10"/>
        <color rgb="FF000000"/>
        <rFont val="Calibri"/>
      </rPr>
      <t>NOTE :- Only original certificates/reports will be accepted, and each report must clearly mention the correct model number.</t>
    </r>
  </si>
  <si>
    <r>
      <rPr>
        <sz val="10"/>
        <color theme="1"/>
        <rFont val="Calibri"/>
      </rPr>
      <t>Set</t>
    </r>
  </si>
  <si>
    <r>
      <rPr>
        <sz val="10"/>
        <color rgb="FF000000"/>
        <rFont val="Calibri"/>
      </rPr>
      <t xml:space="preserve">External Galvanic Isolation transformer K-13-Copper, at the input of each UPS, capacity same as of Full chassis rating as per OEM. All Isolation Transformers shall have same impedance should be haing input breaker , Auto soft starter and Top and Bottom Cable Entry and RAL Code
</t>
    </r>
    <r>
      <rPr>
        <sz val="10"/>
        <color rgb="FF000000"/>
        <rFont val="Calibri"/>
      </rPr>
      <t>to be matched UPS RAL code</t>
    </r>
  </si>
  <si>
    <r>
      <rPr>
        <sz val="10"/>
        <color theme="1"/>
        <rFont val="Calibri"/>
      </rPr>
      <t>Set</t>
    </r>
  </si>
  <si>
    <r>
      <rPr>
        <sz val="10"/>
        <color rgb="FF000000"/>
        <rFont val="Calibri"/>
      </rPr>
      <t xml:space="preserve">Notes:
</t>
    </r>
    <r>
      <rPr>
        <sz val="10"/>
        <color rgb="FF000000"/>
        <rFont val="Calibri"/>
      </rPr>
      <t xml:space="preserve">Base frames for UPS and batteries up to the height of the raised floor to be considered.
</t>
    </r>
    <r>
      <rPr>
        <sz val="10"/>
        <color rgb="FF000000"/>
        <rFont val="Calibri"/>
      </rPr>
      <t xml:space="preserve">All necessary coordination with the Electrical contractor, AC contractor and BMS vendor for complete integration.
</t>
    </r>
    <r>
      <rPr>
        <sz val="10"/>
        <color rgb="FF000000"/>
        <rFont val="Calibri"/>
      </rPr>
      <t xml:space="preserve">Quoted prices to include cost of equipment including Packing,  Forwarding charges, Transport Charges, Transit insurance, loading etc.
</t>
    </r>
    <r>
      <rPr>
        <sz val="10"/>
        <color rgb="FF000000"/>
        <rFont val="Calibri"/>
      </rPr>
      <t xml:space="preserve">Quoted price to include cost of supervision of installation and commissioning of above UPS systems.
</t>
    </r>
    <r>
      <rPr>
        <sz val="10"/>
        <color rgb="FF000000"/>
        <rFont val="Calibri"/>
      </rPr>
      <t xml:space="preserve">All UPS Systems shall have 3 year Warranty. All 12 V Batteries shall have 2 years Warranty. All Complete LIB  shall have 10 years Warranty
</t>
    </r>
    <r>
      <rPr>
        <sz val="10"/>
        <color rgb="FF000000"/>
        <rFont val="Calibri"/>
      </rPr>
      <t xml:space="preserve">Full load test at factory-Factory Acceptance Test to be Conducted and report to be shared for each UPS.
</t>
    </r>
    <r>
      <rPr>
        <sz val="10"/>
        <color rgb="FF000000"/>
        <rFont val="Calibri"/>
      </rPr>
      <t xml:space="preserve">Cost to include visit to  OEM factory before delivery of materials at site for a FAT, process and quality inspection of the proposed materials in the tender under this head for 3 persons from user / project manager / designer firm.
</t>
    </r>
    <r>
      <rPr>
        <sz val="10"/>
        <color rgb="FF000000"/>
        <rFont val="Calibri"/>
      </rPr>
      <t>Note: Cost shall inculde Elastomer mat 1000 mm. wide, 2mm thick, for upto 3.3kV grade as per Latest BIS Codes (IS: 15652/2006). (Vendor to check the thickness of the mat as per latest IS code &amp; Quoe accordingly and also mention the thickness provided) for UPS, Batteries &amp;  Isolation Transformers. Vendor to include the same required quantity.</t>
    </r>
  </si>
  <si>
    <r>
      <rPr>
        <b/>
        <sz val="10"/>
        <color theme="1"/>
        <rFont val="Calibri"/>
      </rPr>
      <t>TOTAL CARRIED OVER TO SUMMARY</t>
    </r>
  </si>
  <si>
    <r>
      <rPr>
        <b/>
        <sz val="10"/>
        <color theme="1"/>
        <rFont val="Calibri"/>
      </rPr>
      <t>SUB HEAD K1</t>
    </r>
  </si>
  <si>
    <r>
      <rPr>
        <b/>
        <sz val="10"/>
        <color theme="1"/>
        <rFont val="Calibri"/>
      </rPr>
      <t>FIRE DETECTION AND ALARM SYSTEM</t>
    </r>
  </si>
  <si>
    <r>
      <rPr>
        <b/>
        <sz val="10"/>
        <color theme="1"/>
        <rFont val="Calibri"/>
      </rPr>
      <t>Design, Supply, installation, testing &amp; commissioning of UL Listed &amp; FM Approved Fire Detection &amp; Alarm system as per local fire norms &amp; NBC / NFPA Codes:</t>
    </r>
  </si>
  <si>
    <r>
      <rPr>
        <sz val="10"/>
        <color theme="1"/>
        <rFont val="Calibri"/>
      </rPr>
      <t>MR</t>
    </r>
  </si>
  <si>
    <r>
      <rPr>
        <b/>
        <sz val="10"/>
        <color theme="1"/>
        <rFont val="Calibri"/>
      </rPr>
      <t>Fire Panel &amp; Annunciators</t>
    </r>
  </si>
  <si>
    <r>
      <rPr>
        <sz val="10"/>
        <color theme="1"/>
        <rFont val="Calibri"/>
      </rPr>
      <t>MR</t>
    </r>
  </si>
  <si>
    <r>
      <rPr>
        <sz val="10"/>
        <color theme="1"/>
        <rFont val="Calibri"/>
      </rPr>
      <t>10-loop - With Digital Voice Command Center</t>
    </r>
  </si>
  <si>
    <r>
      <rPr>
        <sz val="10"/>
        <color theme="1"/>
        <rFont val="Calibri"/>
      </rPr>
      <t>Nos.</t>
    </r>
  </si>
  <si>
    <r>
      <rPr>
        <sz val="10"/>
        <color theme="1"/>
        <rFont val="Calibri"/>
      </rPr>
      <t>MR</t>
    </r>
  </si>
  <si>
    <r>
      <rPr>
        <sz val="10"/>
        <color theme="1"/>
        <rFont val="Calibri"/>
      </rPr>
      <t>8-loop - Without Digital Voice Command Center</t>
    </r>
  </si>
  <si>
    <r>
      <rPr>
        <sz val="10"/>
        <color theme="1"/>
        <rFont val="Calibri"/>
      </rPr>
      <t>Nos.</t>
    </r>
  </si>
  <si>
    <r>
      <rPr>
        <sz val="10"/>
        <color rgb="FF000000"/>
        <rFont val="Calibri"/>
      </rPr>
      <t xml:space="preserve">Supplying, installing, testing and commissioning approved make Microprocessor based Multi- loop, Networkable Addressable </t>
    </r>
    <r>
      <rPr>
        <b/>
        <sz val="10"/>
        <color rgb="FF000000"/>
        <rFont val="Calibri"/>
      </rPr>
      <t xml:space="preserve">Fire Alarm Control Panel </t>
    </r>
    <r>
      <rPr>
        <sz val="10"/>
        <color rgb="FF000000"/>
        <rFont val="Calibri"/>
      </rPr>
      <t xml:space="preserve">with minimum </t>
    </r>
    <r>
      <rPr>
        <b/>
        <sz val="10"/>
        <color rgb="FF000000"/>
        <rFont val="Calibri"/>
      </rPr>
      <t xml:space="preserve">10 inch 1024x600 resolution LCD with touch capability, including audible and visible feedback, backlit by a long life, solid-state LCD. It shall also include a full QWERTY-style keypad on the color, touchscreen display. The display shall have the ability to scroll events by type (i.e. Fire Alarm, Supervisory Alarm, Trouble, etc) using the touchscreen with customizable buttons, 10000 history  events  &amp; autolearn feature  for programming.
</t>
    </r>
    <r>
      <rPr>
        <b/>
        <sz val="10"/>
        <color rgb="FF000000"/>
        <rFont val="Calibri"/>
      </rPr>
      <t>The system can be supported upto 2000 generation zone &amp; 2000 logic zone &amp; 50 releasing zone. The panels in network having true peer to peer provision. The panel shall have provision to support up to 50 releasing zones to protect against 50 independent hazards.</t>
    </r>
  </si>
  <si>
    <r>
      <rPr>
        <sz val="10"/>
        <color rgb="FF000000"/>
        <rFont val="Calibri"/>
      </rPr>
      <t xml:space="preserve">The panel should be equipped with sufficient numbers of loops considering 20% spare capacity in each loop and shall be extendable upto 10 Loops. Each loop shall have a capacity of minimum 125 detectors &amp; 125 other devices excluding 20% spare. The panel shall work in degrade mode in case of CPU failure, Products not having this feature may offer Redundant CPU. Four access levels, flash EPROM, 240 volts AC power supply, automatic battery charger, 24 volts sealed lead acid batteries sufficient for 24 hours normal working and 30 mins in alarm condition with </t>
    </r>
    <r>
      <rPr>
        <b/>
        <sz val="10"/>
        <color rgb="FF000000"/>
        <rFont val="Calibri"/>
      </rPr>
      <t xml:space="preserve">the charging capacity of 210AH.  </t>
    </r>
    <r>
      <rPr>
        <sz val="10"/>
        <color rgb="FF000000"/>
        <rFont val="Calibri"/>
      </rPr>
      <t>The panel shall be capable of auto-learn programing feature without any dependency on dongle or programming software.</t>
    </r>
    <r>
      <rPr>
        <b/>
        <sz val="10"/>
        <color rgb="FF000000"/>
        <rFont val="Calibri"/>
      </rPr>
      <t xml:space="preserve">. </t>
    </r>
    <r>
      <rPr>
        <sz val="10"/>
        <color rgb="FF000000"/>
        <rFont val="Calibri"/>
      </rPr>
      <t xml:space="preserve">Quoted rate shall include supply of necessary software &amp; hardware for programming the panel with all necessary license. Panel shall have </t>
    </r>
    <r>
      <rPr>
        <b/>
        <sz val="10"/>
        <color rgb="FF000000"/>
        <rFont val="Calibri"/>
      </rPr>
      <t xml:space="preserve">Modbus/ Bacnet over IP protocol </t>
    </r>
    <r>
      <rPr>
        <sz val="10"/>
        <color rgb="FF000000"/>
        <rFont val="Calibri"/>
      </rPr>
      <t xml:space="preserve">for future integration with BMS. However, for present arrangement FA system will be standalone with 24x7 monitoring. </t>
    </r>
    <r>
      <rPr>
        <b/>
        <sz val="10"/>
        <color rgb="FF000000"/>
        <rFont val="Calibri"/>
      </rPr>
      <t xml:space="preserve">The panel shall have the provision for cloud connectivity for remote off site monitoring &amp; control through a mobile app and shall be Cyber Security Compliant.
</t>
    </r>
    <r>
      <rPr>
        <b/>
        <sz val="10"/>
        <color rgb="FF000000"/>
        <rFont val="Calibri"/>
      </rPr>
      <t>Panel shall be UL Listed (864 10th edition) &amp; FM Approved for both Fire &amp; Gas detection (FM6320) and Evacuation.</t>
    </r>
  </si>
  <si>
    <r>
      <rPr>
        <sz val="10"/>
        <color theme="1"/>
        <rFont val="Calibri"/>
      </rPr>
      <t>The Fire Fighters Telephone System shall be capable of having minimum 30 Telephones in conference in multiple FFT Risers. The panel shall be capable of self programing without any dependancy on dongle or programming software. Quoted rate shall include supply of necessary software &amp; hardware for progamming the panel with all necessary licence. Panel shall have Modbus/ Bacnet over IP protocol for future integration with BMS. However, for present arrangement FA system will be standalone with 24x7 monitoring.</t>
    </r>
  </si>
  <si>
    <r>
      <rPr>
        <sz val="10"/>
        <color theme="1"/>
        <rFont val="Calibri"/>
      </rPr>
      <t>All Product will be latest technology/version only. Designed to meet UL864, 10th Edition &amp; FM Approved.</t>
    </r>
  </si>
  <si>
    <r>
      <rPr>
        <b/>
        <sz val="10"/>
        <color theme="1"/>
        <rFont val="Calibri"/>
      </rPr>
      <t>DSR-2025 28.2.3</t>
    </r>
  </si>
  <si>
    <r>
      <rPr>
        <b/>
        <sz val="10"/>
        <color theme="1"/>
        <rFont val="Calibri"/>
      </rPr>
      <t>Network Repeater Panel</t>
    </r>
  </si>
  <si>
    <r>
      <rPr>
        <sz val="10"/>
        <color theme="1"/>
        <rFont val="Calibri"/>
      </rPr>
      <t>Set</t>
    </r>
  </si>
  <si>
    <r>
      <rPr>
        <sz val="10"/>
        <color theme="1"/>
        <rFont val="Calibri"/>
      </rPr>
      <t>Supplying, installing, testing and commissioning of Network Repeater Panel with minimum 10" Color Touch Screen display or 640 Character Display with QWERTY Keypad, mapping minimum 2,00,000 points on network. The NRP shall act as an independent node communicating on the peer to peer network and shall not be dependant on the Fire Panel CPU for operation. Failure of Fire Panel CPU shall not result in failure of NRP operation. UL &amp; FM Approved</t>
    </r>
  </si>
  <si>
    <r>
      <rPr>
        <b/>
        <sz val="10"/>
        <color theme="1"/>
        <rFont val="Calibri"/>
      </rPr>
      <t>Software &amp; Gateways</t>
    </r>
  </si>
  <si>
    <r>
      <rPr>
        <b/>
        <sz val="10"/>
        <color theme="1"/>
        <rFont val="Calibri"/>
      </rPr>
      <t>DSR-2025 28.2.2</t>
    </r>
  </si>
  <si>
    <r>
      <rPr>
        <b/>
        <sz val="10"/>
        <color theme="1"/>
        <rFont val="Calibri"/>
      </rPr>
      <t>Graphics User Interface for Monitoring &amp; Control</t>
    </r>
  </si>
  <si>
    <r>
      <rPr>
        <sz val="10"/>
        <color theme="1"/>
        <rFont val="Calibri"/>
      </rPr>
      <t>Sets</t>
    </r>
  </si>
  <si>
    <r>
      <rPr>
        <sz val="10"/>
        <color theme="1"/>
        <rFont val="Calibri"/>
      </rPr>
      <t>Supplying, installing, testing and commissioning of Graphics User Interface for Monitoring &amp; Control of complete Fire, Voice Evacuation &amp; Telephone Talkback System. The GUI based main network software shall network with other panels on True Peer-to-Peer network. It shall be capable of graphically representing each facility being monitored with floor plans and icons depicting the actual locations of the various systems, and / or sensors’ locations. It shall have the facility to change the sensitivity of any detector. The software shall be capable of monitoring 200 Nodes with 100 Mbps Transmission rate on Fibre Optics Network and 12 Mbps Transmission on cable and 2,50,000 network points. The software shall be capable to Monitor &amp; Control all the Digital Voice Evactuation as well as 2 way communication from main control room using voice signals over Fire Network along with the Fire detection signal.</t>
    </r>
  </si>
  <si>
    <r>
      <rPr>
        <sz val="10"/>
        <color rgb="FF000000"/>
        <rFont val="Calibri"/>
      </rPr>
      <t xml:space="preserve">The Graphic workstation shall act as an independent node communicating on the peer to peer network and shall not be dependant on the Fire Panel CPU for operation. Failure of Fire Panel CPU shall not result in failure of GUI.
</t>
    </r>
    <r>
      <rPr>
        <sz val="10"/>
        <color rgb="FF000000"/>
        <rFont val="Calibri"/>
      </rPr>
      <t xml:space="preserve">Important to Note:
</t>
    </r>
    <r>
      <rPr>
        <sz val="10"/>
        <color rgb="FF000000"/>
        <rFont val="Calibri"/>
      </rPr>
      <t>GUI should be able to display all Fire Damper Status on single screen.</t>
    </r>
  </si>
  <si>
    <r>
      <rPr>
        <b/>
        <sz val="10"/>
        <color theme="1"/>
        <rFont val="Calibri"/>
      </rPr>
      <t>MR</t>
    </r>
  </si>
  <si>
    <r>
      <rPr>
        <b/>
        <sz val="10"/>
        <color theme="1"/>
        <rFont val="Calibri"/>
      </rPr>
      <t>PC - 4th Generation Intel Core i5 processor</t>
    </r>
  </si>
  <si>
    <r>
      <rPr>
        <sz val="10"/>
        <color theme="1"/>
        <rFont val="Calibri"/>
      </rPr>
      <t>Sets</t>
    </r>
  </si>
  <si>
    <r>
      <rPr>
        <sz val="10"/>
        <color rgb="FF000000"/>
        <rFont val="Calibri"/>
      </rPr>
      <t xml:space="preserve">Supply, installing, testing and commissioning of </t>
    </r>
    <r>
      <rPr>
        <b/>
        <sz val="10"/>
        <color rgb="FF000000"/>
        <rFont val="Calibri"/>
      </rPr>
      <t xml:space="preserve">4th Generation Intel Core i5 processor, </t>
    </r>
    <r>
      <rPr>
        <sz val="10"/>
        <color rgb="FF000000"/>
        <rFont val="Calibri"/>
      </rPr>
      <t xml:space="preserve">1 TB HDD, 4 GB DDR3 RAM, DVD Drive (Reads and Writes DVD), 1 GB Graphic Card, Network: 100/1000 Mb Ethernet network card,  PC with 18" TFT monitor, key board &amp; mouse for loading all the  CAD fire detection drawings of the buildings / floors </t>
    </r>
    <r>
      <rPr>
        <b/>
        <sz val="10"/>
        <color rgb="FF000000"/>
        <rFont val="Calibri"/>
      </rPr>
      <t xml:space="preserve">WITH Fire Graphics Software  &amp; Network card </t>
    </r>
    <r>
      <rPr>
        <sz val="10"/>
        <color rgb="FF000000"/>
        <rFont val="Calibri"/>
      </rPr>
      <t>for loading on to "Fire PC" through a dongle.</t>
    </r>
  </si>
  <si>
    <r>
      <rPr>
        <b/>
        <sz val="10"/>
        <color theme="1"/>
        <rFont val="Calibri"/>
      </rPr>
      <t>DSR-2025 28.2.18</t>
    </r>
  </si>
  <si>
    <r>
      <rPr>
        <b/>
        <sz val="10"/>
        <color theme="1"/>
        <rFont val="Calibri"/>
      </rPr>
      <t>MODbus Interface Gateway for communication with BMS / Other Utilities</t>
    </r>
  </si>
  <si>
    <r>
      <rPr>
        <sz val="10"/>
        <color theme="1"/>
        <rFont val="Calibri"/>
      </rPr>
      <t>No.</t>
    </r>
  </si>
  <si>
    <r>
      <rPr>
        <b/>
        <sz val="10"/>
        <color rgb="FF000000"/>
        <rFont val="Calibri"/>
      </rPr>
      <t xml:space="preserve">Supplying, installing, testing and commissioning of MODbus Interface Gateway </t>
    </r>
    <r>
      <rPr>
        <sz val="10"/>
        <color rgb="FF000000"/>
        <rFont val="Calibri"/>
      </rPr>
      <t>for communication with BMS / Other Utilities. MODbus shall support minimum 14000 data points. MODbus Gateway shall act as an independent node communicating on the peer to peer network and shall not be dependant on the Fire Panel CPU for operation. Failure of Fire Panel CPU shall not result in failure of MODbus Gateway. UL &amp; FM Approved</t>
    </r>
  </si>
  <si>
    <r>
      <rPr>
        <b/>
        <sz val="10"/>
        <color theme="1"/>
        <rFont val="Calibri"/>
      </rPr>
      <t>Detectors</t>
    </r>
  </si>
  <si>
    <r>
      <rPr>
        <b/>
        <sz val="10"/>
        <color theme="1"/>
        <rFont val="Calibri"/>
      </rPr>
      <t>MR</t>
    </r>
  </si>
  <si>
    <r>
      <rPr>
        <b/>
        <sz val="10"/>
        <color theme="1"/>
        <rFont val="Calibri"/>
      </rPr>
      <t>MULTI-CRITERIA with Inbuilt Isolators (PHOTO-THERMAL) DETECTOR</t>
    </r>
  </si>
  <si>
    <r>
      <rPr>
        <sz val="10"/>
        <color theme="1"/>
        <rFont val="Calibri"/>
      </rPr>
      <t>Nos.</t>
    </r>
  </si>
  <si>
    <r>
      <rPr>
        <sz val="10"/>
        <color rgb="FF000000"/>
        <rFont val="Calibri"/>
      </rPr>
      <t xml:space="preserve">Supply, installing, testing and commissioning of UL 268 listed 7th Edition addressable intelligent Multi-Criteria (Photo-Thermal) detector  with sensitivity range of 0.5 to 4.0% obs/ft with mounting base,  dual LED, complete with base as required with inbuilt isolators. The intelligent multi criteria detection device shall include the ability to combine the signal of the thermal sensor with the signal of the photoelectric signal in an effort to react hastily in the event of a  fire situation. It shall also include the inherent ability to distinguish between a fire condition and a false alarm condition by examining the characteristics of the thermal and smoke sensing chambers and comparing them to a database of actual fire and deceptive phenomena.
</t>
    </r>
    <r>
      <rPr>
        <sz val="10"/>
        <color rgb="FF000000"/>
        <rFont val="Calibri"/>
      </rPr>
      <t xml:space="preserve">Addressing shall be with user friendly rotary /decade switches.
</t>
    </r>
    <r>
      <rPr>
        <sz val="10"/>
        <color rgb="FF000000"/>
        <rFont val="Calibri"/>
      </rPr>
      <t>The supplied product shall be fully compliant with the European Union's Restriction of Hazardous Substances (RoHS) Directive (2011/65/EU, including amendment 2015/863/EU) and shall be supported by a signed Declaration of Conformity (DoC).</t>
    </r>
  </si>
  <si>
    <r>
      <rPr>
        <b/>
        <sz val="10"/>
        <color theme="1"/>
        <rFont val="Calibri"/>
      </rPr>
      <t>MR</t>
    </r>
  </si>
  <si>
    <r>
      <rPr>
        <b/>
        <sz val="10"/>
        <color theme="1"/>
        <rFont val="Calibri"/>
      </rPr>
      <t>MULTI-CRITERIA with Inbuilt Isolators (PHOTO-THERMAL) DETECTOR</t>
    </r>
  </si>
  <si>
    <r>
      <rPr>
        <sz val="10"/>
        <color theme="1"/>
        <rFont val="Calibri"/>
      </rPr>
      <t>Nos.</t>
    </r>
  </si>
  <si>
    <r>
      <rPr>
        <sz val="10"/>
        <color rgb="FF000000"/>
        <rFont val="Calibri"/>
      </rPr>
      <t xml:space="preserve">Supply, installing, testing and commissioning of UL 268 listed 7th Edition addressable intelligent Multi-Criteria (Photo-Thermal) detector  with sensitivity range of 0.5 to 4.0% obs/ft with mounting base,  dual LED, complete with base as required with inbuilt isolators. The intelligent multi criteria detection device shall include the ability to combine the signal of the thermal sensor with the signal of the photoelectric signal in an effort to react hastily in the event of a  fire situation. It shall also include the inherent ability to distinguish between a fire condition and a false alarm condition by examining the characteristics of the thermal and smoke sensing chambers and comparing them to a database of actual fire and deceptive phenomena.
</t>
    </r>
    <r>
      <rPr>
        <sz val="10"/>
        <color rgb="FF000000"/>
        <rFont val="Calibri"/>
      </rPr>
      <t xml:space="preserve">Addressing shall be with user friendly rotary /decade switches.
</t>
    </r>
    <r>
      <rPr>
        <sz val="10"/>
        <color rgb="FF000000"/>
        <rFont val="Calibri"/>
      </rPr>
      <t>The supplied product shall be fully compliant with the European Union's Restriction of Hazardous Substances (RoHS) Directive (2011/65/EU, including amendment 2015/863/EU) and shall be supported by a signed Declaration of Conformity (DoC).</t>
    </r>
  </si>
  <si>
    <r>
      <rPr>
        <b/>
        <sz val="10"/>
        <color theme="1"/>
        <rFont val="Calibri"/>
      </rPr>
      <t>MR</t>
    </r>
  </si>
  <si>
    <r>
      <rPr>
        <b/>
        <sz val="10"/>
        <color theme="1"/>
        <rFont val="Calibri"/>
      </rPr>
      <t>HEAT DETECTOR with Inbuilt Isolators</t>
    </r>
  </si>
  <si>
    <r>
      <rPr>
        <sz val="10"/>
        <color theme="1"/>
        <rFont val="Calibri"/>
      </rPr>
      <t>Nos.</t>
    </r>
  </si>
  <si>
    <r>
      <rPr>
        <sz val="10"/>
        <color theme="1"/>
        <rFont val="Calibri"/>
      </rPr>
      <t>Supply, installing, testing and commissioning of UL 521 listed addressable intelligent Rate of Rise Heat Detector rated at 8.3°C/min with Inbuilt Isolators with mounting base, dual LED, complete with base as required. Addressing shall be with user friendly rotary /decade switches. The supplied product shall be fully compliant with the European Union's Restriction of Hazardous Substances (RoHS) Directive (2011/65/EU, including amendment 2015/863/EU) and shall be supported by a signed Declaration of Conformity (DoC).</t>
    </r>
  </si>
  <si>
    <r>
      <rPr>
        <b/>
        <sz val="10"/>
        <color theme="1"/>
        <rFont val="Calibri"/>
      </rPr>
      <t>DSR-2025 28.2.5</t>
    </r>
  </si>
  <si>
    <r>
      <rPr>
        <b/>
        <sz val="10"/>
        <color theme="1"/>
        <rFont val="Calibri"/>
      </rPr>
      <t>Response indicator</t>
    </r>
  </si>
  <si>
    <r>
      <rPr>
        <sz val="10"/>
        <color theme="1"/>
        <rFont val="Calibri"/>
      </rPr>
      <t>Nos.</t>
    </r>
  </si>
  <si>
    <r>
      <rPr>
        <sz val="10"/>
        <color rgb="FF000000"/>
        <rFont val="Calibri"/>
      </rPr>
      <t xml:space="preserve">Supplying, installing, testing and commissioning of  </t>
    </r>
    <r>
      <rPr>
        <b/>
        <sz val="10"/>
        <color rgb="FF000000"/>
        <rFont val="Calibri"/>
      </rPr>
      <t xml:space="preserve">Response indicator </t>
    </r>
    <r>
      <rPr>
        <sz val="10"/>
        <color rgb="FF000000"/>
        <rFont val="Calibri"/>
      </rPr>
      <t>for all detectors located above false ceiling</t>
    </r>
  </si>
  <si>
    <r>
      <rPr>
        <b/>
        <sz val="10"/>
        <color theme="1"/>
        <rFont val="Calibri"/>
      </rPr>
      <t>MR</t>
    </r>
  </si>
  <si>
    <r>
      <rPr>
        <b/>
        <sz val="10"/>
        <color theme="1"/>
        <rFont val="Calibri"/>
      </rPr>
      <t>Multisensor (Smoke + Heat + CO + IR) Detector (UPS, Battery and Server Room)</t>
    </r>
  </si>
  <si>
    <r>
      <rPr>
        <sz val="10"/>
        <color theme="1"/>
        <rFont val="Calibri"/>
      </rPr>
      <t>Nos.</t>
    </r>
  </si>
  <si>
    <r>
      <rPr>
        <sz val="10"/>
        <color rgb="FF000000"/>
        <rFont val="Calibri"/>
      </rPr>
      <t xml:space="preserve">Supplying, installing, testing and commissioning of Addressable </t>
    </r>
    <r>
      <rPr>
        <b/>
        <sz val="10"/>
        <color rgb="FF000000"/>
        <rFont val="Calibri"/>
      </rPr>
      <t xml:space="preserve">Multisensor (Smoke + Heat
</t>
    </r>
    <r>
      <rPr>
        <b/>
        <sz val="10"/>
        <color rgb="FF000000"/>
        <rFont val="Calibri"/>
      </rPr>
      <t xml:space="preserve">+ CO + IR) Detector. </t>
    </r>
    <r>
      <rPr>
        <sz val="10"/>
        <color rgb="FF000000"/>
        <rFont val="Calibri"/>
      </rPr>
      <t xml:space="preserve">The detector shall have four sensing elements viz. Photo electric smoke, Heat, Carbon Monoxide &amp; Infra Red Flame detection combined in a single detector. The detector shall have twin bi-colour LED for 360 deg viewing. Addressing shall be with user friendly rotary decimal switches. The internal CO Sensor should be replaceable upon EOL. It should be possible to generate 2 distinctive tones if the CO concentration reaches 2 definite user defined levels. </t>
    </r>
    <r>
      <rPr>
        <b/>
        <sz val="10"/>
        <color rgb="FF000000"/>
        <rFont val="Calibri"/>
      </rPr>
      <t>UL Approved</t>
    </r>
  </si>
  <si>
    <r>
      <rPr>
        <b/>
        <sz val="10"/>
        <color theme="1"/>
        <rFont val="Calibri"/>
      </rPr>
      <t>MR</t>
    </r>
  </si>
  <si>
    <r>
      <rPr>
        <b/>
        <sz val="10"/>
        <color theme="1"/>
        <rFont val="Calibri"/>
      </rPr>
      <t>LPG/PNG SENSOR</t>
    </r>
  </si>
  <si>
    <r>
      <rPr>
        <sz val="10"/>
        <color theme="1"/>
        <rFont val="Calibri"/>
      </rPr>
      <t>Nos.</t>
    </r>
  </si>
  <si>
    <r>
      <rPr>
        <sz val="10"/>
        <color rgb="FF000000"/>
        <rFont val="Calibri"/>
      </rPr>
      <t xml:space="preserve">Supplying, installing, testing and commissioning of </t>
    </r>
    <r>
      <rPr>
        <b/>
        <sz val="10"/>
        <color rgb="FF000000"/>
        <rFont val="Calibri"/>
      </rPr>
      <t>Supply, installing, testing and commissioning of UL listed LPG Leakage detector with mounting base as required.</t>
    </r>
    <r>
      <rPr>
        <sz val="10"/>
        <color rgb="FF000000"/>
        <rFont val="Calibri"/>
      </rPr>
      <t>. UL &amp; FM Approved</t>
    </r>
  </si>
  <si>
    <r>
      <rPr>
        <b/>
        <sz val="10"/>
        <color theme="1"/>
        <rFont val="Calibri"/>
      </rPr>
      <t>MR</t>
    </r>
  </si>
  <si>
    <r>
      <rPr>
        <b/>
        <sz val="10"/>
        <color theme="1"/>
        <rFont val="Calibri"/>
      </rPr>
      <t>Modules</t>
    </r>
  </si>
  <si>
    <r>
      <rPr>
        <b/>
        <sz val="10"/>
        <color theme="1"/>
        <rFont val="Calibri"/>
      </rPr>
      <t>Addressable Double Action  Manual Pull Station (Manual Call Point)</t>
    </r>
  </si>
  <si>
    <r>
      <rPr>
        <sz val="10"/>
        <color theme="1"/>
        <rFont val="Calibri"/>
      </rPr>
      <t>Nos.</t>
    </r>
  </si>
  <si>
    <r>
      <rPr>
        <sz val="10"/>
        <color rgb="FF000000"/>
        <rFont val="Calibri"/>
      </rPr>
      <t xml:space="preserve">Supplying, installing, testing and commissioning of </t>
    </r>
    <r>
      <rPr>
        <b/>
        <sz val="10"/>
        <color rgb="FF000000"/>
        <rFont val="Calibri"/>
      </rPr>
      <t xml:space="preserve">Addressable Double Action  Manual Pull Station (Manual Call Point). </t>
    </r>
    <r>
      <rPr>
        <sz val="10"/>
        <color rgb="FF000000"/>
        <rFont val="Calibri"/>
      </rPr>
      <t>The device shall have an LED which shall blink in normal state &amp; get steady on activation to monitor the heath status of the device. UL &amp; FM Approved</t>
    </r>
  </si>
  <si>
    <r>
      <rPr>
        <b/>
        <sz val="10"/>
        <color theme="1"/>
        <rFont val="Calibri"/>
      </rPr>
      <t>DSR-2025 28.2.10</t>
    </r>
  </si>
  <si>
    <r>
      <rPr>
        <b/>
        <sz val="10"/>
        <color theme="1"/>
        <rFont val="Calibri"/>
      </rPr>
      <t>Addressable Control Module</t>
    </r>
  </si>
  <si>
    <r>
      <rPr>
        <sz val="10"/>
        <color rgb="FF000000"/>
        <rFont val="Calibri"/>
      </rPr>
      <t xml:space="preserve">Supplying, installing, testing and commissioning of </t>
    </r>
    <r>
      <rPr>
        <b/>
        <sz val="10"/>
        <color rgb="FF000000"/>
        <rFont val="Calibri"/>
      </rPr>
      <t xml:space="preserve">Addressable Control Module </t>
    </r>
    <r>
      <rPr>
        <sz val="10"/>
        <color rgb="FF000000"/>
        <rFont val="Calibri"/>
      </rPr>
      <t xml:space="preserve">for Sounders
</t>
    </r>
    <r>
      <rPr>
        <sz val="10"/>
        <color rgb="FF000000"/>
        <rFont val="Calibri"/>
      </rPr>
      <t>/ Strobes / Sounder cum Strobes. The control module shall provide supervised NAC output rated at 24v DC, 2A. The device shall have an LED which shall blink in normal state &amp; get steady on activation to monitor the heath status of the device. Addressing shall be with user friendly  rotary decimal switches. Module shall be supplied with mounting plate from OEM for ease of installation &amp; maintenance. UL &amp; FM Approved</t>
    </r>
  </si>
  <si>
    <r>
      <rPr>
        <sz val="10"/>
        <color theme="1"/>
        <rFont val="Calibri"/>
      </rPr>
      <t>a.</t>
    </r>
  </si>
  <si>
    <r>
      <rPr>
        <b/>
        <sz val="10"/>
        <color theme="1"/>
        <rFont val="Calibri"/>
      </rPr>
      <t>DSR-2025 28.2.10</t>
    </r>
  </si>
  <si>
    <r>
      <rPr>
        <sz val="10"/>
        <color theme="1"/>
        <rFont val="Calibri"/>
      </rPr>
      <t>Addressable Control Module - Fireman's Telephone jack  circuits (Fireman's module)</t>
    </r>
  </si>
  <si>
    <r>
      <rPr>
        <sz val="10"/>
        <color theme="1"/>
        <rFont val="Calibri"/>
      </rPr>
      <t>Nos.</t>
    </r>
  </si>
  <si>
    <r>
      <rPr>
        <sz val="10"/>
        <color theme="1"/>
        <rFont val="Calibri"/>
      </rPr>
      <t>b.</t>
    </r>
  </si>
  <si>
    <r>
      <rPr>
        <b/>
        <sz val="10"/>
        <color theme="1"/>
        <rFont val="Calibri"/>
      </rPr>
      <t>DSR-2025 28.2.10</t>
    </r>
  </si>
  <si>
    <r>
      <rPr>
        <sz val="10"/>
        <color theme="1"/>
        <rFont val="Calibri"/>
      </rPr>
      <t>Addressable Control Module - Speakers Circuit</t>
    </r>
  </si>
  <si>
    <r>
      <rPr>
        <sz val="10"/>
        <color theme="1"/>
        <rFont val="Calibri"/>
      </rPr>
      <t>Nos.</t>
    </r>
  </si>
  <si>
    <r>
      <rPr>
        <sz val="10"/>
        <color theme="1"/>
        <rFont val="Calibri"/>
      </rPr>
      <t>c.</t>
    </r>
  </si>
  <si>
    <r>
      <rPr>
        <b/>
        <sz val="10"/>
        <color theme="1"/>
        <rFont val="Calibri"/>
      </rPr>
      <t>DSR-2025 28.2.10</t>
    </r>
  </si>
  <si>
    <r>
      <rPr>
        <sz val="10"/>
        <color theme="1"/>
        <rFont val="Calibri"/>
      </rPr>
      <t>Addressable Control Module - Hooters for Pull cord Alarm Circuit</t>
    </r>
  </si>
  <si>
    <r>
      <rPr>
        <sz val="10"/>
        <color theme="1"/>
        <rFont val="Calibri"/>
      </rPr>
      <t>Nos.</t>
    </r>
  </si>
  <si>
    <r>
      <rPr>
        <b/>
        <sz val="10"/>
        <color theme="1"/>
        <rFont val="Calibri"/>
      </rPr>
      <t>MR</t>
    </r>
  </si>
  <si>
    <r>
      <rPr>
        <b/>
        <sz val="10"/>
        <color theme="1"/>
        <rFont val="Calibri"/>
      </rPr>
      <t>Addressable Relay Module</t>
    </r>
  </si>
  <si>
    <r>
      <rPr>
        <sz val="10"/>
        <color rgb="FF000000"/>
        <rFont val="Calibri"/>
      </rPr>
      <t xml:space="preserve">Supplying, installing, testing and commissioning of </t>
    </r>
    <r>
      <rPr>
        <b/>
        <sz val="10"/>
        <color rgb="FF000000"/>
        <rFont val="Calibri"/>
      </rPr>
      <t xml:space="preserve">Addressable Relay Module </t>
    </r>
    <r>
      <rPr>
        <sz val="10"/>
        <color rgb="FF000000"/>
        <rFont val="Calibri"/>
      </rPr>
      <t>for AHU, Access Control, Lifts, Staircase Pressurization, Fire Suppression &amp; other Third Party Outputs. The relay module shall provide contact rated at 24v DC, 2A. The device shall have an LED which shall blink in normal state &amp; get steady on activation to monitor the heath status of the device. Addressing shall be with user friendly rotary decimal switches. Module shall be supplied with mounting plate from OEM for ease of installation &amp; maintenance. UL &amp; FM Approved</t>
    </r>
  </si>
  <si>
    <r>
      <rPr>
        <sz val="10"/>
        <color theme="1"/>
        <rFont val="Calibri"/>
      </rPr>
      <t>a.</t>
    </r>
  </si>
  <si>
    <r>
      <rPr>
        <sz val="10"/>
        <color theme="1"/>
        <rFont val="Calibri"/>
      </rPr>
      <t>Addressable Relay Module - Sending tripping signal to AHU's, Fire &amp; Smoke Dampers (One for each AHU room)</t>
    </r>
  </si>
  <si>
    <r>
      <rPr>
        <sz val="10"/>
        <color theme="1"/>
        <rFont val="Calibri"/>
      </rPr>
      <t>Nos.</t>
    </r>
  </si>
  <si>
    <r>
      <rPr>
        <sz val="10"/>
        <color theme="1"/>
        <rFont val="Calibri"/>
      </rPr>
      <t>d.</t>
    </r>
  </si>
  <si>
    <r>
      <rPr>
        <sz val="10"/>
        <color theme="1"/>
        <rFont val="Calibri"/>
      </rPr>
      <t>Addressable Relay Module - Sending fire signal to Existing Base Builder Panel.</t>
    </r>
  </si>
  <si>
    <r>
      <rPr>
        <sz val="10"/>
        <color theme="1"/>
        <rFont val="Calibri"/>
      </rPr>
      <t>Nos.</t>
    </r>
  </si>
  <si>
    <r>
      <rPr>
        <sz val="10"/>
        <color theme="1"/>
        <rFont val="Calibri"/>
      </rPr>
      <t>e.</t>
    </r>
  </si>
  <si>
    <r>
      <rPr>
        <sz val="10"/>
        <color theme="1"/>
        <rFont val="Calibri"/>
      </rPr>
      <t>Addressable Relay Module - Sending signal to Access control system to de-energise locks</t>
    </r>
  </si>
  <si>
    <r>
      <rPr>
        <sz val="10"/>
        <color theme="1"/>
        <rFont val="Calibri"/>
      </rPr>
      <t>Nos.</t>
    </r>
  </si>
  <si>
    <r>
      <rPr>
        <sz val="10"/>
        <color theme="1"/>
        <rFont val="Calibri"/>
      </rPr>
      <t>f.</t>
    </r>
  </si>
  <si>
    <r>
      <rPr>
        <sz val="10"/>
        <color theme="1"/>
        <rFont val="Calibri"/>
      </rPr>
      <t>Addressable Relay Module - Sending tripping signal to each Pr. AC's unit &amp; Ceiling suspended AHU's  (One for each unit) of server room/Hub Room</t>
    </r>
  </si>
  <si>
    <r>
      <rPr>
        <sz val="10"/>
        <color theme="1"/>
        <rFont val="Calibri"/>
      </rPr>
      <t>Nos.</t>
    </r>
  </si>
  <si>
    <r>
      <rPr>
        <b/>
        <sz val="10"/>
        <color theme="1"/>
        <rFont val="Calibri"/>
      </rPr>
      <t>Addressable Monitor Module</t>
    </r>
  </si>
  <si>
    <r>
      <rPr>
        <sz val="10"/>
        <color rgb="FF000000"/>
        <rFont val="Calibri"/>
      </rPr>
      <t xml:space="preserve">Supplying, installing, testing and commissioning of </t>
    </r>
    <r>
      <rPr>
        <b/>
        <sz val="10"/>
        <color rgb="FF000000"/>
        <rFont val="Calibri"/>
      </rPr>
      <t xml:space="preserve">Addressable Monitor Module </t>
    </r>
    <r>
      <rPr>
        <sz val="10"/>
        <color rgb="FF000000"/>
        <rFont val="Calibri"/>
      </rPr>
      <t>for Sprinklers, Panic Bars &amp; other Third Party Inputs. The monitor module shall monitor potential free contacts. The device shall have an LED which shall blink in normal state &amp; get steady on activation to monitor the heath status of the device. Addressing shall be with user friendly rotary decimal switches. Module shall be supplied with mounting plate from OEM for ease of installation &amp; maintenance. UL &amp; FM Approved</t>
    </r>
  </si>
  <si>
    <r>
      <rPr>
        <sz val="10"/>
        <color theme="1"/>
        <rFont val="Calibri"/>
      </rPr>
      <t>a.</t>
    </r>
  </si>
  <si>
    <r>
      <rPr>
        <sz val="10"/>
        <color theme="1"/>
        <rFont val="Calibri"/>
      </rPr>
      <t>Addressable Monitor Module - Receiving signal from Water leak detection &amp; WLD panel</t>
    </r>
  </si>
  <si>
    <r>
      <rPr>
        <sz val="10"/>
        <color theme="1"/>
        <rFont val="Calibri"/>
      </rPr>
      <t>Nos.</t>
    </r>
  </si>
  <si>
    <r>
      <rPr>
        <sz val="10"/>
        <color theme="1"/>
        <rFont val="Calibri"/>
      </rPr>
      <t>c.</t>
    </r>
  </si>
  <si>
    <r>
      <rPr>
        <sz val="10"/>
        <color theme="1"/>
        <rFont val="Calibri"/>
      </rPr>
      <t>Addressable Monitor Module - To get Fire Damper Status New and existing base builder.</t>
    </r>
  </si>
  <si>
    <r>
      <rPr>
        <sz val="10"/>
        <color theme="1"/>
        <rFont val="Calibri"/>
      </rPr>
      <t>Nos.</t>
    </r>
  </si>
  <si>
    <r>
      <rPr>
        <sz val="10"/>
        <color theme="1"/>
        <rFont val="Calibri"/>
      </rPr>
      <t>d.</t>
    </r>
  </si>
  <si>
    <r>
      <rPr>
        <sz val="10"/>
        <color theme="1"/>
        <rFont val="Calibri"/>
      </rPr>
      <t>Addressable Monitor Module - Receiving signal from Existing Panel from Base Buillder.</t>
    </r>
  </si>
  <si>
    <r>
      <rPr>
        <sz val="10"/>
        <color theme="1"/>
        <rFont val="Calibri"/>
      </rPr>
      <t>Nos.</t>
    </r>
  </si>
  <si>
    <r>
      <rPr>
        <b/>
        <sz val="10"/>
        <color theme="1"/>
        <rFont val="Calibri"/>
      </rPr>
      <t>DSR-2025 28.2.7</t>
    </r>
  </si>
  <si>
    <r>
      <rPr>
        <b/>
        <sz val="10"/>
        <color theme="1"/>
        <rFont val="Calibri"/>
      </rPr>
      <t>Isolator Module</t>
    </r>
  </si>
  <si>
    <r>
      <rPr>
        <sz val="10"/>
        <color theme="1"/>
        <rFont val="Calibri"/>
      </rPr>
      <t>Nos.</t>
    </r>
  </si>
  <si>
    <r>
      <rPr>
        <sz val="10"/>
        <color rgb="FF000000"/>
        <rFont val="Calibri"/>
      </rPr>
      <t xml:space="preserve">Supplying, installing, testing and commissioning of </t>
    </r>
    <r>
      <rPr>
        <b/>
        <sz val="10"/>
        <color rgb="FF000000"/>
        <rFont val="Calibri"/>
      </rPr>
      <t xml:space="preserve">Isolator Module </t>
    </r>
    <r>
      <rPr>
        <sz val="10"/>
        <color rgb="FF000000"/>
        <rFont val="Calibri"/>
      </rPr>
      <t>for Isolating short / dewired / loose circuits with automatic resetting arrangement. Isolator Base can also be proposed, however in that case needs to be considered with each detector &amp; module. The device shall have an LED which shall blink in normal state &amp; get steady on activation to monitor the heath status of the device. Module shall be supplied with mounting plate from OEM for ease of installation &amp; maintenance.</t>
    </r>
  </si>
  <si>
    <r>
      <rPr>
        <b/>
        <sz val="10"/>
        <color theme="1"/>
        <rFont val="Calibri"/>
      </rPr>
      <t>Notification Devices</t>
    </r>
  </si>
  <si>
    <r>
      <rPr>
        <b/>
        <sz val="10"/>
        <color theme="1"/>
        <rFont val="Calibri"/>
      </rPr>
      <t>DSR-2025 28.2.15</t>
    </r>
  </si>
  <si>
    <r>
      <rPr>
        <b/>
        <sz val="10"/>
        <color theme="1"/>
        <rFont val="Calibri"/>
      </rPr>
      <t>Sounder cum Strobe</t>
    </r>
  </si>
  <si>
    <r>
      <rPr>
        <sz val="10"/>
        <color theme="1"/>
        <rFont val="Calibri"/>
      </rPr>
      <t>Nos.</t>
    </r>
  </si>
  <si>
    <r>
      <rPr>
        <sz val="10"/>
        <color rgb="FF000000"/>
        <rFont val="Calibri"/>
      </rPr>
      <t xml:space="preserve">Supplying, installing, testing and commissioning of </t>
    </r>
    <r>
      <rPr>
        <b/>
        <sz val="10"/>
        <color rgb="FF000000"/>
        <rFont val="Calibri"/>
      </rPr>
      <t xml:space="preserve">Sounder cum Strobe </t>
    </r>
    <r>
      <rPr>
        <sz val="10"/>
        <color rgb="FF000000"/>
        <rFont val="Calibri"/>
      </rPr>
      <t>rated at 80 dBA @ 3m for Audible annunciation and 115cd flashintg at 1 Hz for visual indication. UL Listed</t>
    </r>
  </si>
  <si>
    <r>
      <rPr>
        <b/>
        <sz val="10"/>
        <color theme="1"/>
        <rFont val="Calibri"/>
      </rPr>
      <t>MR</t>
    </r>
  </si>
  <si>
    <r>
      <rPr>
        <b/>
        <sz val="10"/>
        <color theme="1"/>
        <rFont val="Calibri"/>
      </rPr>
      <t>Addressable Power Supply Unit</t>
    </r>
  </si>
  <si>
    <r>
      <rPr>
        <sz val="10"/>
        <color theme="1"/>
        <rFont val="Calibri"/>
      </rPr>
      <t>Nos.</t>
    </r>
  </si>
  <si>
    <r>
      <rPr>
        <sz val="10"/>
        <color rgb="FF000000"/>
        <rFont val="Calibri"/>
      </rPr>
      <t xml:space="preserve">Supplying, installing, testing and commissioning of </t>
    </r>
    <r>
      <rPr>
        <b/>
        <sz val="10"/>
        <color rgb="FF000000"/>
        <rFont val="Calibri"/>
      </rPr>
      <t>Addressable Power Supply Unit</t>
    </r>
    <r>
      <rPr>
        <sz val="10"/>
        <color rgb="FF000000"/>
        <rFont val="Calibri"/>
      </rPr>
      <t>: 24V DC for Notification Appliances.</t>
    </r>
  </si>
  <si>
    <r>
      <rPr>
        <b/>
        <sz val="10"/>
        <color theme="1"/>
        <rFont val="Calibri"/>
      </rPr>
      <t>Telephone Talkback</t>
    </r>
  </si>
  <si>
    <r>
      <rPr>
        <b/>
        <sz val="10"/>
        <color theme="1"/>
        <rFont val="Calibri"/>
      </rPr>
      <t>DSR-2025 28.2.17</t>
    </r>
  </si>
  <si>
    <r>
      <rPr>
        <b/>
        <sz val="10"/>
        <color theme="1"/>
        <rFont val="Calibri"/>
      </rPr>
      <t>Addressable Fire Fighter's Telephone Jack</t>
    </r>
  </si>
  <si>
    <r>
      <rPr>
        <sz val="10"/>
        <color theme="1"/>
        <rFont val="Calibri"/>
      </rPr>
      <t>Nos.</t>
    </r>
  </si>
  <si>
    <r>
      <rPr>
        <sz val="10"/>
        <color rgb="FF000000"/>
        <rFont val="Calibri"/>
      </rPr>
      <t xml:space="preserve">Supplying, installing, testing and commissioning of </t>
    </r>
    <r>
      <rPr>
        <b/>
        <sz val="10"/>
        <color rgb="FF000000"/>
        <rFont val="Calibri"/>
      </rPr>
      <t xml:space="preserve">Addressable Fire Fighter's Telephone Jack </t>
    </r>
    <r>
      <rPr>
        <sz val="10"/>
        <color rgb="FF000000"/>
        <rFont val="Calibri"/>
      </rPr>
      <t>with suitable supervised module for two way communication between Remote Fire Fighter &amp; Fire Command Center. UL Listed</t>
    </r>
  </si>
  <si>
    <r>
      <rPr>
        <b/>
        <sz val="10"/>
        <color theme="1"/>
        <rFont val="Calibri"/>
      </rPr>
      <t>DSR-2025 28.2.19</t>
    </r>
  </si>
  <si>
    <r>
      <rPr>
        <b/>
        <sz val="10"/>
        <color theme="1"/>
        <rFont val="Calibri"/>
      </rPr>
      <t>Portable type Fire Telephone Handset</t>
    </r>
  </si>
  <si>
    <r>
      <rPr>
        <sz val="10"/>
        <color theme="1"/>
        <rFont val="Calibri"/>
      </rPr>
      <t>Nos.</t>
    </r>
  </si>
  <si>
    <r>
      <rPr>
        <sz val="10"/>
        <color rgb="FF000000"/>
        <rFont val="Calibri"/>
      </rPr>
      <t xml:space="preserve">Supplying, installing, testing and commissioning of  </t>
    </r>
    <r>
      <rPr>
        <b/>
        <sz val="10"/>
        <color rgb="FF000000"/>
        <rFont val="Calibri"/>
      </rPr>
      <t xml:space="preserve">Portable type Fire Telephone Handset
</t>
    </r>
    <r>
      <rPr>
        <sz val="10"/>
        <color rgb="FF000000"/>
        <rFont val="Calibri"/>
      </rPr>
      <t>for two way communication between Remote Fire Fighter &amp; Fire Command Center. UL Listed</t>
    </r>
  </si>
  <si>
    <r>
      <rPr>
        <b/>
        <sz val="10"/>
        <color theme="1"/>
        <rFont val="Calibri"/>
      </rPr>
      <t>Pull cord Alarm system suitable for Handicap Toilets</t>
    </r>
  </si>
  <si>
    <r>
      <rPr>
        <sz val="10"/>
        <color theme="1"/>
        <rFont val="Calibri"/>
      </rPr>
      <t>Nos.</t>
    </r>
  </si>
  <si>
    <r>
      <rPr>
        <sz val="10"/>
        <color rgb="FF000000"/>
        <rFont val="Calibri"/>
      </rPr>
      <t xml:space="preserve">Supplying, installing, testing and commissioning of  </t>
    </r>
    <r>
      <rPr>
        <b/>
        <sz val="10"/>
        <color rgb="FF000000"/>
        <rFont val="Calibri"/>
      </rPr>
      <t xml:space="preserve">Pull cord Alarm system </t>
    </r>
    <r>
      <rPr>
        <sz val="10"/>
        <color rgb="FF000000"/>
        <rFont val="Calibri"/>
      </rPr>
      <t>suitable for Handicap Toilets for Initiating  Emergancy Alarm.</t>
    </r>
  </si>
  <si>
    <r>
      <rPr>
        <b/>
        <sz val="10"/>
        <color theme="1"/>
        <rFont val="Calibri"/>
      </rPr>
      <t>Public address and Voice alarm systems</t>
    </r>
  </si>
  <si>
    <r>
      <rPr>
        <b/>
        <sz val="10"/>
        <color theme="1"/>
        <rFont val="Calibri"/>
      </rPr>
      <t>DSR-2025 28.3.2</t>
    </r>
  </si>
  <si>
    <r>
      <rPr>
        <b/>
        <sz val="10"/>
        <color theme="1"/>
        <rFont val="Calibri"/>
      </rPr>
      <t>1.5/3/6W Ceiling Mount Speakers</t>
    </r>
  </si>
  <si>
    <r>
      <rPr>
        <sz val="10"/>
        <color theme="1"/>
        <rFont val="Calibri"/>
      </rPr>
      <t>Nos.</t>
    </r>
  </si>
  <si>
    <r>
      <rPr>
        <sz val="10"/>
        <color rgb="FF000000"/>
        <rFont val="Calibri"/>
      </rPr>
      <t xml:space="preserve">Supplying, installing, testing and commissioning of 6W  Ceiling Mount Speakers with
</t>
    </r>
    <r>
      <rPr>
        <sz val="10"/>
        <color rgb="FF000000"/>
        <rFont val="Calibri"/>
      </rPr>
      <t>1.5W/3W/6W tapping's and required accessories. They shall be compatible with supplied Amplifiers and shall work on 100V.</t>
    </r>
  </si>
  <si>
    <r>
      <rPr>
        <b/>
        <sz val="10"/>
        <color theme="1"/>
        <rFont val="Calibri"/>
      </rPr>
      <t>DSR-2025 28.3.4</t>
    </r>
  </si>
  <si>
    <r>
      <rPr>
        <b/>
        <sz val="10"/>
        <color theme="1"/>
        <rFont val="Calibri"/>
      </rPr>
      <t>1.5/3/6W Wall Mount Speakers</t>
    </r>
  </si>
  <si>
    <r>
      <rPr>
        <sz val="10"/>
        <color theme="1"/>
        <rFont val="Calibri"/>
      </rPr>
      <t>Nos.</t>
    </r>
  </si>
  <si>
    <r>
      <rPr>
        <sz val="10"/>
        <color theme="1"/>
        <rFont val="Calibri"/>
      </rPr>
      <t>Supplying, installing, testing and commissioning of 6W  metal box ceiling/wall mount speakers with 1.5W/3W/6W tapping's and required accessories. They shall be compatible with supplied Amplifiers and shall work on 100V.</t>
    </r>
  </si>
  <si>
    <r>
      <rPr>
        <b/>
        <sz val="10"/>
        <color theme="1"/>
        <rFont val="Calibri"/>
      </rPr>
      <t>MR</t>
    </r>
  </si>
  <si>
    <r>
      <rPr>
        <b/>
        <sz val="10"/>
        <color theme="1"/>
        <rFont val="Calibri"/>
      </rPr>
      <t>7.5/15W Horn Speakers</t>
    </r>
  </si>
  <si>
    <r>
      <rPr>
        <sz val="10"/>
        <color theme="1"/>
        <rFont val="Calibri"/>
      </rPr>
      <t>Nos.</t>
    </r>
  </si>
  <si>
    <r>
      <rPr>
        <sz val="10"/>
        <color theme="1"/>
        <rFont val="Calibri"/>
      </rPr>
      <t>Supplying, installing, testing and commissioning of 15W horn speakers with 7.5W/15W tapping's and required accessories. They shall be compatible with supplied Amplifiers and shall work on 100V.</t>
    </r>
  </si>
  <si>
    <r>
      <rPr>
        <b/>
        <sz val="10"/>
        <color theme="1"/>
        <rFont val="Calibri"/>
      </rPr>
      <t>MR</t>
    </r>
  </si>
  <si>
    <r>
      <rPr>
        <b/>
        <sz val="10"/>
        <color theme="1"/>
        <rFont val="Calibri"/>
      </rPr>
      <t>EN-54-16 certified IP based digital voice alarm network controller</t>
    </r>
  </si>
  <si>
    <r>
      <rPr>
        <sz val="10"/>
        <color theme="1"/>
        <rFont val="Calibri"/>
      </rPr>
      <t>Nos.</t>
    </r>
  </si>
  <si>
    <r>
      <rPr>
        <sz val="10"/>
        <color rgb="FF000000"/>
        <rFont val="Calibri"/>
      </rPr>
      <t xml:space="preserve">Supply, installation, testing &amp; commissioning of Master EN-54-16 certified 16 Zone IP based digital voice alarm network controller with built in SIP Intercom, redundant IP connection, redundant power supply unit built with following features: Voice alarm controller should be able to connect directly over Ethernet &amp; LCD display for displaying troubles, events. It should have functions like audio playing, zone control, fault monitoring, log recording, volume control and amplifier switchover. Network controller shall also have following functions.
</t>
    </r>
    <r>
      <rPr>
        <sz val="10"/>
        <color rgb="FF000000"/>
        <rFont val="Calibri"/>
      </rPr>
      <t xml:space="preserve">- Able to handle 16 simultaneous audio channels in the controller and upto 96 loudspeakers lines
</t>
    </r>
    <r>
      <rPr>
        <sz val="10"/>
        <color rgb="FF000000"/>
        <rFont val="Calibri"/>
      </rPr>
      <t xml:space="preserve">- Built in DSP with 10 band parametric EQ for each output
</t>
    </r>
    <r>
      <rPr>
        <sz val="10"/>
        <color rgb="FF000000"/>
        <rFont val="Calibri"/>
      </rPr>
      <t xml:space="preserve">- In-built digital message storage with minimum 16GB capacity
</t>
    </r>
    <r>
      <rPr>
        <sz val="10"/>
        <color rgb="FF000000"/>
        <rFont val="Calibri"/>
      </rPr>
      <t xml:space="preserve">- in Built 16 relay contact input and 6 relay contact output
</t>
    </r>
    <r>
      <rPr>
        <sz val="10"/>
        <color rgb="FF000000"/>
        <rFont val="Calibri"/>
      </rPr>
      <t xml:space="preserve">-Automatic fault diagnostic &amp; reporting at central location from call station till amplifiers, loudspeaker circuits.
</t>
    </r>
    <r>
      <rPr>
        <sz val="10"/>
        <color rgb="FF000000"/>
        <rFont val="Calibri"/>
      </rPr>
      <t xml:space="preserve">-Matrix controller shall have analog audio input lines for music Sources, Fire Alarm Signals
</t>
    </r>
    <r>
      <rPr>
        <sz val="10"/>
        <color rgb="FF000000"/>
        <rFont val="Calibri"/>
      </rPr>
      <t xml:space="preserve">- Integration with External systems, like PIDS or Scada, can get full control of the PA by opening a TCP socket to the mainframe. More than one client is allowed. - Connection with external equipment by VOIP,XML Commands, DLL
</t>
    </r>
    <r>
      <rPr>
        <sz val="10"/>
        <color rgb="FF000000"/>
        <rFont val="Calibri"/>
      </rPr>
      <t>-Graphic display integrated controller. Automatic backlight with LED - Automatic fault diagnostic &amp; reporting at central location from call station till amplifiers, loudspeaker circuits.</t>
    </r>
  </si>
  <si>
    <r>
      <rPr>
        <b/>
        <sz val="10"/>
        <color theme="1"/>
        <rFont val="Calibri"/>
      </rPr>
      <t>MR</t>
    </r>
  </si>
  <si>
    <r>
      <rPr>
        <b/>
        <sz val="10"/>
        <color theme="1"/>
        <rFont val="Calibri"/>
      </rPr>
      <t>Class-D digital Power amplifiers</t>
    </r>
  </si>
  <si>
    <r>
      <rPr>
        <sz val="10"/>
        <color theme="1"/>
        <rFont val="Calibri"/>
      </rPr>
      <t>Nos.</t>
    </r>
  </si>
  <si>
    <r>
      <rPr>
        <sz val="10"/>
        <color rgb="FF000000"/>
        <rFont val="Calibri"/>
      </rPr>
      <t xml:space="preserve">Supply, installation, testing &amp; commissioning of 1000W Class-D digital amplifiers. Unit shall have following features &amp; shall comply to technical specifications.
</t>
    </r>
    <r>
      <rPr>
        <sz val="10"/>
        <color rgb="FF000000"/>
        <rFont val="Calibri"/>
      </rPr>
      <t xml:space="preserve">1. Amplifier should have dual power supply
</t>
    </r>
    <r>
      <rPr>
        <sz val="10"/>
        <color rgb="FF000000"/>
        <rFont val="Calibri"/>
      </rPr>
      <t xml:space="preserve">2. Protected against overload, short circuits and over-heating
</t>
    </r>
    <r>
      <rPr>
        <sz val="10"/>
        <color rgb="FF000000"/>
        <rFont val="Calibri"/>
      </rPr>
      <t>3. Built-in fan with temperature-controlled rotation speed control, with airflow from front to back of device.</t>
    </r>
  </si>
  <si>
    <r>
      <rPr>
        <b/>
        <sz val="10"/>
        <color theme="1"/>
        <rFont val="Calibri"/>
      </rPr>
      <t>MR</t>
    </r>
  </si>
  <si>
    <r>
      <rPr>
        <b/>
        <sz val="10"/>
        <color theme="1"/>
        <rFont val="Calibri"/>
      </rPr>
      <t>IP TOUCH SCREEN CALL STATION</t>
    </r>
  </si>
  <si>
    <r>
      <rPr>
        <sz val="10"/>
        <color theme="1"/>
        <rFont val="Calibri"/>
      </rPr>
      <t>Nos.</t>
    </r>
  </si>
  <si>
    <r>
      <rPr>
        <sz val="10"/>
        <color rgb="FF000000"/>
        <rFont val="Calibri"/>
      </rPr>
      <t xml:space="preserve">Supply, installation, testing &amp; commssioning of 7INCH TOUCH SCREEN CALL STATION OVER IP with graphic display Allows broadcasting announcements through an IP network in streaming as well as unit control and configuration parameters with followings:
</t>
    </r>
    <r>
      <rPr>
        <sz val="10"/>
        <color rgb="FF000000"/>
        <rFont val="Calibri"/>
      </rPr>
      <t xml:space="preserve">- Ethernet connection -Minimum 46 Zone capacity
</t>
    </r>
    <r>
      <rPr>
        <sz val="10"/>
        <color rgb="FF000000"/>
        <rFont val="Calibri"/>
      </rPr>
      <t xml:space="preserve">-  Runs the PA Manager control software and Graphic display with configurable position of buttons and background images to facilitate the user operation.
</t>
    </r>
    <r>
      <rPr>
        <sz val="10"/>
        <color rgb="FF000000"/>
        <rFont val="Calibri"/>
      </rPr>
      <t xml:space="preserve">- IP control of all the situations in the installation:
</t>
    </r>
    <r>
      <rPr>
        <sz val="10"/>
        <color rgb="FF000000"/>
        <rFont val="Calibri"/>
      </rPr>
      <t xml:space="preserve">- Zones and groups buttons for selection.
</t>
    </r>
    <r>
      <rPr>
        <sz val="10"/>
        <color rgb="FF000000"/>
        <rFont val="Calibri"/>
      </rPr>
      <t xml:space="preserve">- Live or pre-recorded messages activation.
</t>
    </r>
    <r>
      <rPr>
        <sz val="10"/>
        <color rgb="FF000000"/>
        <rFont val="Calibri"/>
      </rPr>
      <t xml:space="preserve">- PA system surveillance.
</t>
    </r>
    <r>
      <rPr>
        <sz val="10"/>
        <color rgb="FF000000"/>
        <rFont val="Calibri"/>
      </rPr>
      <t xml:space="preserve">- Modification of zones volume or equalization.
</t>
    </r>
    <r>
      <rPr>
        <sz val="10"/>
        <color rgb="FF000000"/>
        <rFont val="Calibri"/>
      </rPr>
      <t xml:space="preserve">- Zone status indication.
</t>
    </r>
    <r>
      <rPr>
        <sz val="10"/>
        <color rgb="FF000000"/>
        <rFont val="Calibri"/>
      </rPr>
      <t xml:space="preserve">- Announcements with or without a pre-announcement tone (Gong).
</t>
    </r>
    <r>
      <rPr>
        <sz val="10"/>
        <color rgb="FF000000"/>
        <rFont val="Calibri"/>
      </rPr>
      <t>- Gong that can be personalised.</t>
    </r>
  </si>
  <si>
    <r>
      <rPr>
        <b/>
        <sz val="10"/>
        <color theme="1"/>
        <rFont val="Calibri"/>
      </rPr>
      <t>MR</t>
    </r>
  </si>
  <si>
    <r>
      <rPr>
        <b/>
        <sz val="10"/>
        <color theme="1"/>
        <rFont val="Calibri"/>
      </rPr>
      <t>Supply, installation, testing &amp; commssioning of 6W volume controller with override relay and required accessories</t>
    </r>
  </si>
  <si>
    <r>
      <rPr>
        <sz val="10"/>
        <color theme="1"/>
        <rFont val="Calibri"/>
      </rPr>
      <t>Nos.</t>
    </r>
  </si>
  <si>
    <r>
      <rPr>
        <b/>
        <sz val="10"/>
        <color theme="1"/>
        <rFont val="Calibri"/>
      </rPr>
      <t>MR</t>
    </r>
  </si>
  <si>
    <r>
      <rPr>
        <b/>
        <sz val="10"/>
        <color theme="1"/>
        <rFont val="Calibri"/>
      </rPr>
      <t>Rack for PA System</t>
    </r>
  </si>
  <si>
    <r>
      <rPr>
        <sz val="10"/>
        <color theme="1"/>
        <rFont val="Calibri"/>
      </rPr>
      <t>Nos.</t>
    </r>
  </si>
  <si>
    <r>
      <rPr>
        <sz val="10"/>
        <color theme="1"/>
        <rFont val="Calibri"/>
      </rPr>
      <t>Supply, Installation, Testing &amp; commissioning of 42U floor standing Rack with all required accessories as per the Tender specification and as directed by engineer in charge</t>
    </r>
  </si>
  <si>
    <r>
      <rPr>
        <sz val="10"/>
        <color theme="1"/>
        <rFont val="Calibri"/>
      </rPr>
      <t>DSR-2025- 28.5.1</t>
    </r>
  </si>
  <si>
    <r>
      <rPr>
        <sz val="10"/>
        <color theme="1"/>
        <rFont val="Calibri"/>
      </rPr>
      <t>Supplying &amp; laying of 2x1.5 sqmm fire survival armoured cable, 600/1000V rated with annealed copper conductor having glass mica fire barrier tape covered by an extruded layer of Cross Linkable Ethylene Propylene Rubber (EPR) insulation and LSZH inner bedding, steel wire armouring &amp; LSZH outer sheath complete as required</t>
    </r>
  </si>
  <si>
    <r>
      <rPr>
        <sz val="10"/>
        <color theme="1"/>
        <rFont val="Calibri"/>
      </rPr>
      <t>For FDA</t>
    </r>
  </si>
  <si>
    <r>
      <rPr>
        <sz val="10"/>
        <color theme="1"/>
        <rFont val="Calibri"/>
      </rPr>
      <t>RM</t>
    </r>
  </si>
  <si>
    <r>
      <rPr>
        <sz val="10"/>
        <color theme="1"/>
        <rFont val="Calibri"/>
      </rPr>
      <t>For Speakers</t>
    </r>
  </si>
  <si>
    <r>
      <rPr>
        <sz val="10"/>
        <color theme="1"/>
        <rFont val="Calibri"/>
      </rPr>
      <t>RM</t>
    </r>
  </si>
  <si>
    <r>
      <rPr>
        <b/>
        <sz val="10"/>
        <color theme="1"/>
        <rFont val="Calibri"/>
      </rPr>
      <t>Notes:</t>
    </r>
  </si>
  <si>
    <r>
      <rPr>
        <b/>
        <sz val="10"/>
        <color theme="1"/>
        <rFont val="Calibri"/>
      </rPr>
      <t>a. All hooters / strobes shall also be power wired directly from the fire control panel will 2x1.5 sq.mm in separate conduits in a loop.</t>
    </r>
  </si>
  <si>
    <r>
      <rPr>
        <b/>
        <sz val="10"/>
        <color theme="1"/>
        <rFont val="Calibri"/>
      </rPr>
      <t>b. Necessary interlocking, relays, power supplies and wiring etc. that may be required to automatically start smoke exhaust fans  and staricase / lift well pressurization fans and to  stop automatically air-conditioning plant and indoor air supply units and fire dampers on the detection of a fire signal through the fire alarm panel to be included in the scope of work and costs quoted above. It should also ensure automatic opening of all access controlled doors on fire signal.</t>
    </r>
  </si>
  <si>
    <r>
      <rPr>
        <b/>
        <sz val="10"/>
        <color theme="1"/>
        <rFont val="Calibri"/>
      </rPr>
      <t>c. It will be an absolute responsibility of the contractor to ensure design of fire safety system / sequence as per NFPA / NBC / Indian standards.</t>
    </r>
  </si>
  <si>
    <r>
      <rPr>
        <b/>
        <sz val="10"/>
        <color rgb="FF000000"/>
        <rFont val="Calibri"/>
      </rPr>
      <t xml:space="preserve">d. Contractor shall submit the fire life safety sequence of operation of various exhaust
</t>
    </r>
    <r>
      <rPr>
        <b/>
        <sz val="10"/>
        <color rgb="FF000000"/>
        <rFont val="Calibri"/>
      </rPr>
      <t>and pressurization fans and AC plants for approval to client / architect / consultant before implementation.</t>
    </r>
  </si>
  <si>
    <r>
      <rPr>
        <b/>
        <sz val="10"/>
        <color theme="1"/>
        <rFont val="Calibri"/>
      </rPr>
      <t>e. Contractor to submit fire detection schematic.</t>
    </r>
  </si>
  <si>
    <r>
      <rPr>
        <b/>
        <sz val="10"/>
        <color theme="1"/>
        <rFont val="Calibri"/>
      </rPr>
      <t>f.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</si>
  <si>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</si>
  <si>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SUB HEAD K2</t>
    </r>
  </si>
  <si>
    <r>
      <rPr>
        <b/>
        <sz val="10"/>
        <color theme="1"/>
        <rFont val="Calibri"/>
      </rPr>
      <t>VESDA (ASPIRATION) SYSTEM (FOR SERVER, UPS &amp; BATTERY ROOMS)</t>
    </r>
  </si>
  <si>
    <r>
      <rPr>
        <b/>
        <sz val="10"/>
        <color theme="1"/>
        <rFont val="Calibri"/>
      </rPr>
      <t>For Server  Room Battery &amp;  UPS  Rooms</t>
    </r>
  </si>
  <si>
    <r>
      <rPr>
        <b/>
        <sz val="10"/>
        <color theme="1"/>
        <rFont val="Calibri"/>
      </rPr>
      <t>MR</t>
    </r>
  </si>
  <si>
    <r>
      <rPr>
        <b/>
        <sz val="10"/>
        <color theme="1"/>
        <rFont val="Calibri"/>
      </rPr>
      <t>Loop based addressable type Short wavelength, laser based ultra high sensitive aspiration smoke detector</t>
    </r>
  </si>
  <si>
    <r>
      <rPr>
        <sz val="10"/>
        <color theme="1"/>
        <rFont val="Calibri"/>
      </rPr>
      <t>Nos.</t>
    </r>
  </si>
  <si>
    <r>
      <rPr>
        <sz val="10"/>
        <color rgb="FF000000"/>
        <rFont val="Calibri"/>
      </rPr>
      <t xml:space="preserve">SITC of Loop based addressable type Short wavelength, laser based ultra high sensitive aspiration smoke  detector with sensitivity range of 0.005 % OBS / m TO 20 % OBS / M, having 1 pipe inlets, shall support minimum 100 meters pipe length per pipe, inlet Area Coverage 700 Sq.M to 1,000 Sq.M by one pipe single detector, 4 alarm levels, auto cleaning mechanism for detection chamber, on-board dual stage filter with memory, built-in event memory of 20000 events, pipe wise 4 stage flow monitoring, LED indications for alarm and  fault conditions .
</t>
    </r>
    <r>
      <rPr>
        <sz val="10"/>
        <color rgb="FF000000"/>
        <rFont val="Calibri"/>
      </rPr>
      <t xml:space="preserve">Detector shall have an IP66 rated enclosure and shall be suitable for Harsh environment applications, also detector shall support installation of additional displays &amp; relay cards at remote location over 2 core wire for remote monitoring / alarm. It Should be of Same Make of FAS.
</t>
    </r>
    <r>
      <rPr>
        <sz val="10"/>
        <color rgb="FF000000"/>
        <rFont val="Calibri"/>
      </rPr>
      <t>Proposed aspiration detector shall be UL, FM, EN, LPCB &amp; VDS approved.</t>
    </r>
  </si>
  <si>
    <r>
      <rPr>
        <b/>
        <sz val="10"/>
        <color theme="1"/>
        <rFont val="Calibri"/>
      </rPr>
      <t>MR</t>
    </r>
  </si>
  <si>
    <r>
      <rPr>
        <b/>
        <sz val="10"/>
        <color theme="1"/>
        <rFont val="Calibri"/>
      </rPr>
      <t>Power Supply Unit for above Detector</t>
    </r>
  </si>
  <si>
    <r>
      <rPr>
        <sz val="10"/>
        <color theme="1"/>
        <rFont val="Calibri"/>
      </rPr>
      <t>Nos.</t>
    </r>
  </si>
  <si>
    <r>
      <rPr>
        <sz val="10"/>
        <color theme="1"/>
        <rFont val="Calibri"/>
      </rPr>
      <t>Supply, Installation, Testing and commissioning of Power Supply Unit for above Detector 220VAC to 24VDC 2 Amp Power Supply,FM approved with 24 hour battery back up</t>
    </r>
  </si>
  <si>
    <r>
      <rPr>
        <b/>
        <sz val="10"/>
        <color theme="1"/>
        <rFont val="Calibri"/>
      </rPr>
      <t>MR</t>
    </r>
  </si>
  <si>
    <r>
      <rPr>
        <b/>
        <sz val="10"/>
        <color theme="1"/>
        <rFont val="Calibri"/>
      </rPr>
      <t>Caplliary Tube - For below False ceiling Area</t>
    </r>
  </si>
  <si>
    <r>
      <rPr>
        <sz val="10"/>
        <color theme="1"/>
        <rFont val="Calibri"/>
      </rPr>
      <t>Nos.</t>
    </r>
  </si>
  <si>
    <r>
      <rPr>
        <sz val="10"/>
        <color theme="1"/>
        <rFont val="Calibri"/>
      </rPr>
      <t>Supply, Installation, Testing and commissioning of Caplliary Tube  as per required. (For below False ceiling Area  )</t>
    </r>
  </si>
  <si>
    <r>
      <rPr>
        <b/>
        <sz val="10"/>
        <color theme="1"/>
        <rFont val="Calibri"/>
      </rPr>
      <t>MR</t>
    </r>
  </si>
  <si>
    <r>
      <rPr>
        <b/>
        <sz val="10"/>
        <color theme="1"/>
        <rFont val="Calibri"/>
      </rPr>
      <t>End cap or Nozle Termination</t>
    </r>
  </si>
  <si>
    <r>
      <rPr>
        <sz val="10"/>
        <color theme="1"/>
        <rFont val="Calibri"/>
      </rPr>
      <t>Nos.</t>
    </r>
  </si>
  <si>
    <r>
      <rPr>
        <sz val="10"/>
        <color theme="1"/>
        <rFont val="Calibri"/>
      </rPr>
      <t>Supply, Installation, Testing and commissioning of End cap or Nozle Termination as per required.</t>
    </r>
  </si>
  <si>
    <r>
      <rPr>
        <b/>
        <sz val="10"/>
        <color theme="1"/>
        <rFont val="Calibri"/>
      </rPr>
      <t>MR</t>
    </r>
  </si>
  <si>
    <r>
      <rPr>
        <b/>
        <sz val="10"/>
        <color theme="1"/>
        <rFont val="Calibri"/>
      </rPr>
      <t>CPVC PIPE 21 mm internal dia</t>
    </r>
  </si>
  <si>
    <r>
      <rPr>
        <sz val="10"/>
        <color theme="1"/>
        <rFont val="Calibri"/>
      </rPr>
      <t>Nos.</t>
    </r>
  </si>
  <si>
    <r>
      <rPr>
        <sz val="10"/>
        <color theme="1"/>
        <rFont val="Calibri"/>
      </rPr>
      <t>Supply, Installation, Testing and commissioning of CPVC PIPE 21 mm internal dia complete in all respect as required.</t>
    </r>
  </si>
  <si>
    <r>
      <rPr>
        <b/>
        <sz val="10"/>
        <color theme="1"/>
        <rFont val="Calibri"/>
      </rPr>
      <t>MR</t>
    </r>
  </si>
  <si>
    <r>
      <rPr>
        <b/>
        <sz val="10"/>
        <color theme="1"/>
        <rFont val="Calibri"/>
      </rPr>
      <t>Dual tone hooters with 93 db</t>
    </r>
  </si>
  <si>
    <r>
      <rPr>
        <sz val="10"/>
        <color theme="1"/>
        <rFont val="Calibri"/>
      </rPr>
      <t>Nos.</t>
    </r>
  </si>
  <si>
    <r>
      <rPr>
        <sz val="10"/>
        <color theme="1"/>
        <rFont val="Calibri"/>
      </rPr>
      <t>Supply, installation, testing and commissioning of Dual tone hooters with 93 db complete as required.</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</si>
  <si>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</si>
  <si>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</si>
  <si>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SUB HEAD L</t>
    </r>
  </si>
  <si>
    <r>
      <rPr>
        <b/>
        <sz val="10"/>
        <color theme="1"/>
        <rFont val="Calibri"/>
      </rPr>
      <t>ACCESS CONTROL SYSTEM</t>
    </r>
  </si>
  <si>
    <r>
      <rPr>
        <b/>
        <sz val="10"/>
        <color theme="1"/>
        <rFont val="Calibri"/>
      </rPr>
      <t>Design, Supply, installation, testing &amp; commissioning of following Access Control System:</t>
    </r>
  </si>
  <si>
    <r>
      <rPr>
        <b/>
        <sz val="10"/>
        <color theme="1"/>
        <rFont val="Calibri"/>
      </rPr>
      <t>Access Control Software</t>
    </r>
  </si>
  <si>
    <r>
      <rPr>
        <sz val="10"/>
        <color theme="1"/>
        <rFont val="Calibri"/>
      </rPr>
      <t>DSR-2025- 41.5</t>
    </r>
  </si>
  <si>
    <r>
      <rPr>
        <sz val="10"/>
        <color theme="1"/>
        <rFont val="Calibri"/>
      </rPr>
      <t>Software for Web based Access Control System Supplying, Installation, Testing and Commissioning of Web based Access Control Enrolment and Device Configuration Software, Should be independent of OS (Windows), Unified Management of Biometric, Card, and Controllers, Import Functionality for bulk user details, Biometric Template Retrieval for Data Recovery, User Management, Logs and Terminal Management, Support for IP-based and USB Biometric Devices, User-specific Access Policies, Different User Policies on the Same Terminal, Assignment of Specific Access Schedules, Pushing Users to Terminals or Groups, Admin Authority Management to define rights of each user to perform, Blacklist User Management, Access Schedule Creation, Real-Time Log Retrieval, Real- Time User Identification, Secure Storage of Biometric/Users Data,Capable to integrate with 3rd party applications over Web API's, MQTT protocol support.</t>
    </r>
  </si>
  <si>
    <r>
      <rPr>
        <sz val="10"/>
        <color theme="1"/>
        <rFont val="Calibri"/>
      </rPr>
      <t>Each</t>
    </r>
  </si>
  <si>
    <r>
      <rPr>
        <sz val="10"/>
        <color theme="1"/>
        <rFont val="Calibri"/>
      </rPr>
      <t>MR</t>
    </r>
  </si>
  <si>
    <r>
      <rPr>
        <b/>
        <sz val="10"/>
        <color theme="1"/>
        <rFont val="Calibri"/>
      </rPr>
      <t>VMS</t>
    </r>
  </si>
  <si>
    <r>
      <rPr>
        <sz val="10"/>
        <color theme="1"/>
        <rFont val="Calibri"/>
      </rPr>
      <t>Visitor Management Software (including all necessary HW and sofware(cloud hosting etc for atleast 1 year)</t>
    </r>
  </si>
  <si>
    <r>
      <rPr>
        <sz val="10"/>
        <color theme="1"/>
        <rFont val="Calibri"/>
      </rPr>
      <t>Nos.</t>
    </r>
  </si>
  <si>
    <r>
      <rPr>
        <b/>
        <sz val="10"/>
        <color theme="1"/>
        <rFont val="Calibri"/>
      </rPr>
      <t>Access Control System with Face recognition</t>
    </r>
  </si>
  <si>
    <r>
      <rPr>
        <sz val="10"/>
        <color theme="1"/>
        <rFont val="Calibri"/>
      </rPr>
      <t>DSR-2025- 41.1</t>
    </r>
  </si>
  <si>
    <r>
      <rPr>
        <sz val="10"/>
        <color theme="1"/>
        <rFont val="Calibri"/>
      </rPr>
      <t>Supplying, Installation, Testing and Commissioning of Access Control System comprising of  Face and fingerprint Recognition, Smart Card, QR Code, NFC &amp; PIN Code based Reader,  following sizes of 5” IPS TFT Touch Screens, 1GB RAM, 8 GB ROM, Live Face Detection with anti- spoofing against 2D photograph, mobile selfie &amp; video, Fake Fingerprint and face Detection Technology, 30,000 Face storage (1:N) /, 3,000 fingerprint (1:N), QR code 30,000, 30,000 card storage (1:N), 2 lakh transaction storage, 20,000 image logs, onboard dual camera (colour &amp;  IR) Primary camera min 2MP, Support Face authentication &amp; verification from up to 1 meters, Communication protocols WiFi, TCP/IP, Wiegand Out, Wiegand IN, USB, MQTT protocol,  Blacklist Employee Management, User wise authentication modes; Built in Lock Control, Mask Detection &amp; Alert (configurable), 40 to 30,000 lux illumination, IP65 for Ingress Protection, Certification: CE, FCC, BIS, ROHS, etc. Metal Enclosure with battery backup, suitable for mounting on metal surface/metal frames/ wooden frames/wall/flap barriers including all mounting bracket &amp; accessories complete etc. as required</t>
    </r>
  </si>
  <si>
    <r>
      <rPr>
        <sz val="10"/>
        <color theme="1"/>
        <rFont val="Calibri"/>
      </rPr>
      <t>DSR-2025- 41.1.1</t>
    </r>
  </si>
  <si>
    <r>
      <rPr>
        <sz val="10"/>
        <color theme="1"/>
        <rFont val="Calibri"/>
      </rPr>
      <t>5" IPS TFT Touch Screen</t>
    </r>
  </si>
  <si>
    <r>
      <rPr>
        <sz val="10"/>
        <color theme="1"/>
        <rFont val="Calibri"/>
      </rPr>
      <t>Each</t>
    </r>
  </si>
  <si>
    <r>
      <rPr>
        <sz val="10"/>
        <color theme="1"/>
        <rFont val="Calibri"/>
      </rPr>
      <t>MR</t>
    </r>
  </si>
  <si>
    <r>
      <rPr>
        <b/>
        <sz val="10"/>
        <color theme="1"/>
        <rFont val="Calibri"/>
      </rPr>
      <t>Multi Lane Flap Barrier</t>
    </r>
  </si>
  <si>
    <r>
      <rPr>
        <sz val="10"/>
        <color rgb="FF000000"/>
        <rFont val="Calibri"/>
      </rPr>
      <t xml:space="preserve">Supply Installation Testing Commissioning of 8 Lane (7 Normal + 1 Wide Lane) retractable Flap Barrier, Supply Installation Testing Commissioning of 8 Lane (7 Normal + 1 Wide Lane) retractable Flap Barrier Electrical shape design, SS304 Material, 1.5 mm thickness, BLDC Motor with direct drive mechanism for minimum 10 Mil MCBF , L: 1400 mm, W: 300 mm, H: 1000  mm, Bi-Directional, Pass Width 550-600 mm for Normal lane and 900mm for Wide Lane using telescopic flap, 20 Pairs of IR Sensors with separate logic control and main PCB Board to be integrate with any 3rd Party Access Control System. Certified: CE, ISO 13849-1:2023, EN60204- 1:2006/A1:2010, EN 61000‒6‒2:2005, EN 61000-6-4:2007/ A1:2011, EN ISO 12100:2010, ISO
</t>
    </r>
    <r>
      <rPr>
        <sz val="10"/>
        <color rgb="FF000000"/>
        <rFont val="Calibri"/>
      </rPr>
      <t>9001 : 2015, ISO 45001 : 2018, ISO 14001 : 2015 complete as per tender specifications. Dimensions shall be as required at site. Vendor to visit site before quoting the same.</t>
    </r>
  </si>
  <si>
    <r>
      <rPr>
        <sz val="10"/>
        <color theme="1"/>
        <rFont val="Calibri"/>
      </rPr>
      <t>Nos.</t>
    </r>
  </si>
  <si>
    <r>
      <rPr>
        <sz val="10"/>
        <color theme="1"/>
        <rFont val="Calibri"/>
      </rPr>
      <t>MR</t>
    </r>
  </si>
  <si>
    <r>
      <rPr>
        <b/>
        <sz val="10"/>
        <color theme="1"/>
        <rFont val="Calibri"/>
      </rPr>
      <t>Dual Lane Flap Barrier</t>
    </r>
  </si>
  <si>
    <r>
      <rPr>
        <sz val="10"/>
        <color rgb="FF000000"/>
        <rFont val="Calibri"/>
      </rPr>
      <t xml:space="preserve">Supply Installation Testing Commissioning of 2 Lane Flap Barrier, SS304 Material, 1.5 mm thickness, BLDC Motor for 8 Mil Cycles, Bi-Directional, Pass Width 600 mm LED Lights on Flaps, 5-6 Pairs of IR Sensors with separate logic control and main PCB Board to be integrate with any 3rd Party Access Control System. Certified: CE, ISO 13849-1:2023, EN60204-1:2006/A1:2010, EN 61000‒6‒2:2005, EN 61000-6-4:2007/ A1:2011, EN ISO 12100:2010, ISO 9001 : 2015, ISO
</t>
    </r>
    <r>
      <rPr>
        <sz val="10"/>
        <color rgb="FF000000"/>
        <rFont val="Calibri"/>
      </rPr>
      <t>45001 : 2018, ISO 14001 : 2015 complete as per tender specifications. Dimensions shall be as required at site. Vendor to visit site before quoting the same.</t>
    </r>
  </si>
  <si>
    <r>
      <rPr>
        <sz val="10"/>
        <color theme="1"/>
        <rFont val="Calibri"/>
      </rPr>
      <t>Nos.</t>
    </r>
  </si>
  <si>
    <r>
      <rPr>
        <sz val="10"/>
        <color theme="1"/>
        <rFont val="Calibri"/>
      </rPr>
      <t>MR</t>
    </r>
  </si>
  <si>
    <r>
      <rPr>
        <b/>
        <sz val="10"/>
        <color theme="1"/>
        <rFont val="Calibri"/>
      </rPr>
      <t>Smart card  Reader</t>
    </r>
  </si>
  <si>
    <r>
      <rPr>
        <sz val="10"/>
        <color theme="1"/>
        <rFont val="Calibri"/>
      </rPr>
      <t>Supply of card readers with Typical Read Range miCLASS Seos: upto 5 cm iCLASS: upto 9 cm MIFARE Classic: upto 5 cm MIFARE DESFire EV1/EV2: upto 5 cm, Ideally suited for mullionmounted door installations or any flat surface, • Intelligent Power Management (IPM) – Reduces reader power consumption. Certifications CE (EU) , Cryto Processor Hardware Common Criteria Rating EAL5+</t>
    </r>
  </si>
  <si>
    <r>
      <rPr>
        <sz val="10"/>
        <color theme="1"/>
        <rFont val="Calibri"/>
      </rPr>
      <t>Nos.</t>
    </r>
  </si>
  <si>
    <r>
      <rPr>
        <sz val="10"/>
        <color theme="1"/>
        <rFont val="Calibri"/>
      </rPr>
      <t>MR</t>
    </r>
  </si>
  <si>
    <r>
      <rPr>
        <b/>
        <sz val="10"/>
        <color theme="1"/>
        <rFont val="Calibri"/>
      </rPr>
      <t>Master Controller</t>
    </r>
  </si>
  <si>
    <r>
      <rPr>
        <sz val="10"/>
        <color rgb="FF000000"/>
        <rFont val="Calibri"/>
      </rPr>
      <t xml:space="preserve">Supply, Installation, Testing, Commissioning of  2 reader inputs with 4 inputs and 3 controllable relays.  These readers can be used for relaxed and full anti-pass (APB) access on a single door, or single entry on two doors.  All inputs are also secure with end of line sensing (EOL).  Legacy Wiegand readers are also supported.Support for the RF transmitter and receivers has been maintained.
</t>
    </r>
    <r>
      <rPr>
        <sz val="10"/>
        <color rgb="FF000000"/>
        <rFont val="Calibri"/>
      </rPr>
      <t>The two independent 10A single-pole, double throw (SPDT) relays allow for interfacing to door strikes, magnetic locks, and other 3rd party device such as alarm panels or lighting.  An Auxiliary 3rd relay has been added for additional control and is currently reserved for future use on Access Portal software.operating temperature -25° to +60°C or -13° to +140°F.</t>
    </r>
  </si>
  <si>
    <r>
      <rPr>
        <sz val="10"/>
        <color theme="1"/>
        <rFont val="Calibri"/>
      </rPr>
      <t>Nos.</t>
    </r>
  </si>
  <si>
    <r>
      <rPr>
        <sz val="10"/>
        <color theme="1"/>
        <rFont val="Calibri"/>
      </rPr>
      <t>MR</t>
    </r>
  </si>
  <si>
    <r>
      <rPr>
        <b/>
        <sz val="10"/>
        <color theme="1"/>
        <rFont val="Calibri"/>
      </rPr>
      <t>Slave Controller</t>
    </r>
  </si>
  <si>
    <r>
      <rPr>
        <sz val="10"/>
        <color rgb="FF000000"/>
        <rFont val="Calibri"/>
      </rPr>
      <t xml:space="preserve">Supply, Installation, Testing &amp; Commissioing of Controller having  2 reader inputs with 4 inputs and 3 controllable relays.  These readers can be used for relaxed and full anti-pass (APB)  access on a single door, or single entry on two doors.  All inputs are also secure with end of line sensing (EOL).  Legacy Wiegand readers are also supported.Support for the RF transmitter and receivers has been maintained.
</t>
    </r>
    <r>
      <rPr>
        <sz val="10"/>
        <color rgb="FF000000"/>
        <rFont val="Calibri"/>
      </rPr>
      <t>The two independent 10A single-pole, double throw (SPDT) relays allow for interfacing to door strikes, magnetic locks, and other 3rd party device such as alarm panels or lighting.  An Auxiliary 3rd relay has been added for additional control and is currently reserved for future use on Access Portal software.operating temperature -25° to +60°C or -13° to +140°F</t>
    </r>
  </si>
  <si>
    <r>
      <rPr>
        <sz val="10"/>
        <color theme="1"/>
        <rFont val="Calibri"/>
      </rPr>
      <t>Nos.</t>
    </r>
  </si>
  <si>
    <r>
      <rPr>
        <sz val="10"/>
        <color theme="1"/>
        <rFont val="Calibri"/>
      </rPr>
      <t>MR</t>
    </r>
  </si>
  <si>
    <r>
      <rPr>
        <b/>
        <sz val="10"/>
        <color theme="1"/>
        <rFont val="Calibri"/>
      </rPr>
      <t>EM lock</t>
    </r>
  </si>
  <si>
    <r>
      <rPr>
        <sz val="10"/>
        <color rgb="FF000000"/>
        <rFont val="Calibri"/>
      </rPr>
      <t xml:space="preserve">Holding Force: Minimum 600 lbs (280 kg)
</t>
    </r>
    <r>
      <rPr>
        <sz val="10"/>
        <color rgb="FF000000"/>
        <rFont val="Calibri"/>
      </rPr>
      <t xml:space="preserve">Voltage: 12V DC / 24V DC (selectable), UL Listed with magnatic contact &amp; Door position sensor
</t>
    </r>
    <r>
      <rPr>
        <sz val="10"/>
        <color rgb="FF000000"/>
        <rFont val="Calibri"/>
      </rPr>
      <t>Current Draw: ≤ 500 mA at 12V DC, ≤ 250 mA at 24V DC</t>
    </r>
  </si>
  <si>
    <r>
      <rPr>
        <sz val="10"/>
        <color theme="1"/>
        <rFont val="Calibri"/>
      </rPr>
      <t>Nos.</t>
    </r>
  </si>
  <si>
    <r>
      <rPr>
        <sz val="10"/>
        <color theme="1"/>
        <rFont val="Calibri"/>
      </rPr>
      <t>DSR-2025- 41.6</t>
    </r>
  </si>
  <si>
    <r>
      <rPr>
        <b/>
        <sz val="10"/>
        <color theme="1"/>
        <rFont val="Calibri"/>
      </rPr>
      <t>Electromagnetic locks</t>
    </r>
  </si>
  <si>
    <r>
      <rPr>
        <sz val="10"/>
        <color theme="1"/>
        <rFont val="Calibri"/>
      </rPr>
      <t>Supplying, Installation, Testing and Commissioning of Electromagnetic locks (fail safe type) for following type of Doors suitable for operation on 12 V DC having holding force 600 lbs for Single Leaf Door and 1200lbs for Double leaf door with suitable feedback i/c connection complete etc. as required.</t>
    </r>
  </si>
  <si>
    <r>
      <rPr>
        <sz val="10"/>
        <color theme="1"/>
        <rFont val="Calibri"/>
      </rPr>
      <t>DSR-2025- 41.6.2</t>
    </r>
  </si>
  <si>
    <r>
      <rPr>
        <sz val="10"/>
        <color theme="1"/>
        <rFont val="Calibri"/>
      </rPr>
      <t>Double leaf door (Each leaf 600lbs &amp; Total 1200 lbs)</t>
    </r>
  </si>
  <si>
    <r>
      <rPr>
        <sz val="10"/>
        <color theme="1"/>
        <rFont val="Calibri"/>
      </rPr>
      <t>Each</t>
    </r>
  </si>
  <si>
    <r>
      <rPr>
        <sz val="10"/>
        <color theme="1"/>
        <rFont val="Calibri"/>
      </rPr>
      <t>DSR-2025- 41.7</t>
    </r>
  </si>
  <si>
    <r>
      <rPr>
        <sz val="10"/>
        <color rgb="FF000000"/>
        <rFont val="Calibri"/>
      </rPr>
      <t xml:space="preserve">Exit Push Button
</t>
    </r>
    <r>
      <rPr>
        <sz val="10"/>
        <color rgb="FF000000"/>
        <rFont val="Calibri"/>
      </rPr>
      <t>Supplying, Installation, Testing and Commissioning of Heavy Duty SS Finish Exit Push Button for releasing access doors with all necessary installation accessories i/c connection complete etc. as required</t>
    </r>
  </si>
  <si>
    <r>
      <rPr>
        <sz val="10"/>
        <color theme="1"/>
        <rFont val="Calibri"/>
      </rPr>
      <t>Nos.</t>
    </r>
  </si>
  <si>
    <r>
      <rPr>
        <sz val="10"/>
        <color theme="1"/>
        <rFont val="Calibri"/>
      </rPr>
      <t>MR</t>
    </r>
  </si>
  <si>
    <r>
      <rPr>
        <b/>
        <sz val="10"/>
        <color theme="1"/>
        <rFont val="Calibri"/>
      </rPr>
      <t>Power Supply</t>
    </r>
  </si>
  <si>
    <r>
      <rPr>
        <sz val="10"/>
        <color theme="1"/>
        <rFont val="Calibri"/>
      </rPr>
      <t>12 V 5 AMP Power Supply</t>
    </r>
  </si>
  <si>
    <r>
      <rPr>
        <sz val="10"/>
        <color theme="1"/>
        <rFont val="Calibri"/>
      </rPr>
      <t>Nos.</t>
    </r>
  </si>
  <si>
    <r>
      <rPr>
        <sz val="10"/>
        <color theme="1"/>
        <rFont val="Calibri"/>
      </rPr>
      <t>MR</t>
    </r>
  </si>
  <si>
    <r>
      <rPr>
        <b/>
        <sz val="10"/>
        <color theme="1"/>
        <rFont val="Calibri"/>
      </rPr>
      <t>Network Switch</t>
    </r>
  </si>
  <si>
    <r>
      <rPr>
        <sz val="10"/>
        <color theme="1"/>
        <rFont val="Calibri"/>
      </rPr>
      <t>8  Port POE Network Switch with 2 NOS Giga Port</t>
    </r>
  </si>
  <si>
    <r>
      <rPr>
        <sz val="10"/>
        <color theme="1"/>
        <rFont val="Calibri"/>
      </rPr>
      <t>Nos.</t>
    </r>
  </si>
  <si>
    <r>
      <rPr>
        <sz val="10"/>
        <color theme="1"/>
        <rFont val="Calibri"/>
      </rPr>
      <t>MR</t>
    </r>
  </si>
  <si>
    <r>
      <rPr>
        <b/>
        <sz val="10"/>
        <color theme="1"/>
        <rFont val="Calibri"/>
      </rPr>
      <t>Access Control Cards</t>
    </r>
  </si>
  <si>
    <r>
      <rPr>
        <sz val="10"/>
        <color theme="1"/>
        <rFont val="Calibri"/>
      </rPr>
      <t>HID Smart Card</t>
    </r>
  </si>
  <si>
    <r>
      <rPr>
        <sz val="10"/>
        <color theme="1"/>
        <rFont val="Calibri"/>
      </rPr>
      <t>Nos.</t>
    </r>
  </si>
  <si>
    <r>
      <rPr>
        <sz val="10"/>
        <color theme="1"/>
        <rFont val="Calibri"/>
      </rPr>
      <t>DSR-2025- 39.23</t>
    </r>
  </si>
  <si>
    <r>
      <rPr>
        <sz val="10"/>
        <color rgb="FF000000"/>
        <rFont val="Calibri"/>
      </rPr>
      <t xml:space="preserve">Supplying and fixing of following size Wall Mount Rack having Fixed Structure with 0.8mm CRCA Sheet, completely knocked-down condition (CKD) Shape, Vertical Mounting Rail 1.6 mm with 'U'Marking, Minimum 2 cable entry/exit provision at Top and bottom with rubber
</t>
    </r>
    <r>
      <rPr>
        <sz val="10"/>
        <color rgb="FF000000"/>
        <rFont val="Calibri"/>
      </rPr>
      <t>protection, Front 5mm Toughened Glass with lock, wall mounting kit, Powder coated Color- RAL- 7035, complied with UL &amp; RoHS, 2 x 6 sockets 16A power distribution units, 3 numbers closed cable organizer, Hardware mounting screws packet of 20 x 1 number, etc. complete as required</t>
    </r>
  </si>
  <si>
    <r>
      <rPr>
        <sz val="10"/>
        <color theme="1"/>
        <rFont val="Calibri"/>
      </rPr>
      <t>DSR-2025- 39.23.2</t>
    </r>
  </si>
  <si>
    <r>
      <rPr>
        <sz val="10"/>
        <color theme="1"/>
        <rFont val="Calibri"/>
      </rPr>
      <t>9U Rack</t>
    </r>
  </si>
  <si>
    <r>
      <rPr>
        <sz val="10"/>
        <color theme="1"/>
        <rFont val="Calibri"/>
      </rPr>
      <t>Nos.</t>
    </r>
  </si>
  <si>
    <r>
      <rPr>
        <b/>
        <sz val="10"/>
        <color theme="1"/>
        <rFont val="Calibri"/>
      </rPr>
      <t>RJ45 Connectors</t>
    </r>
  </si>
  <si>
    <r>
      <rPr>
        <sz val="10"/>
        <color theme="1"/>
        <rFont val="Calibri"/>
      </rPr>
      <t>DSR-2025- 39.16</t>
    </r>
  </si>
  <si>
    <r>
      <rPr>
        <sz val="10"/>
        <color theme="1"/>
        <rFont val="Calibri"/>
      </rPr>
      <t>Supplying, Installation, Testing and commissioning of RJ45 Connector for CAT 6A Cables. RJ45 modular plug  supports  4  twisted  pairs,  8  positions,  8 connectors. Housing: PC, UL94V-2, transparent color, Use for 24- 26 AWG stranded wires etc. complete as required.</t>
    </r>
  </si>
  <si>
    <r>
      <rPr>
        <sz val="10"/>
        <color theme="1"/>
        <rFont val="Calibri"/>
      </rPr>
      <t>Nos.</t>
    </r>
  </si>
  <si>
    <r>
      <rPr>
        <b/>
        <sz val="10"/>
        <color theme="1"/>
        <rFont val="Calibri"/>
      </rPr>
      <t>Magnetic door Sensor</t>
    </r>
  </si>
  <si>
    <r>
      <rPr>
        <sz val="10"/>
        <color theme="1"/>
        <rFont val="Calibri"/>
      </rPr>
      <t>DSR-2025- 41.8</t>
    </r>
  </si>
  <si>
    <r>
      <rPr>
        <sz val="10"/>
        <color theme="1"/>
        <rFont val="Calibri"/>
      </rPr>
      <t>Supplying, Installation Insta, Testing and Commissioning of Door Position Sensor i/e connection complete etc. as required</t>
    </r>
  </si>
  <si>
    <r>
      <rPr>
        <sz val="10"/>
        <color theme="1"/>
        <rFont val="Calibri"/>
      </rPr>
      <t>Nos.</t>
    </r>
  </si>
  <si>
    <r>
      <rPr>
        <sz val="10"/>
        <color theme="1"/>
        <rFont val="Calibri"/>
      </rPr>
      <t>MR</t>
    </r>
  </si>
  <si>
    <r>
      <rPr>
        <b/>
        <sz val="10"/>
        <color theme="1"/>
        <rFont val="Calibri"/>
      </rPr>
      <t>Server for Access control System</t>
    </r>
  </si>
  <si>
    <r>
      <rPr>
        <sz val="10"/>
        <color rgb="FF000000"/>
        <rFont val="Calibri"/>
      </rPr>
      <t xml:space="preserve">Processor: Intel Xeon Silver/Gold (8-core+, 2.4 GHz+) RAM: 32 GB DDR4 ECC (expandable to 64 GB) Storage:
</t>
    </r>
    <r>
      <rPr>
        <sz val="10"/>
        <color rgb="FF000000"/>
        <rFont val="Calibri"/>
      </rPr>
      <t xml:space="preserve">1 × 512 GB NVMe SSD (OS + BioStar application)
</t>
    </r>
    <r>
      <rPr>
        <sz val="10"/>
        <color rgb="FF000000"/>
        <rFont val="Calibri"/>
      </rPr>
      <t xml:space="preserve">2 × 2 TB HDD (Database &amp; logs – RAID 1 or RAID 5)
</t>
    </r>
    <r>
      <rPr>
        <sz val="10"/>
        <color rgb="FF000000"/>
        <rFont val="Calibri"/>
      </rPr>
      <t xml:space="preserve">OS: Windows Server 2022 Standard Database: MS SQL Standard / Enterprise
</t>
    </r>
    <r>
      <rPr>
        <sz val="10"/>
        <color rgb="FF000000"/>
        <rFont val="Calibri"/>
      </rPr>
      <t xml:space="preserve">Network: Dual 1 Gbps NICs or 10 Gbps (for large systems) Other:
</t>
    </r>
    <r>
      <rPr>
        <sz val="10"/>
        <color rgb="FF000000"/>
        <rFont val="Calibri"/>
      </rPr>
      <t xml:space="preserve">Redundant PSU
</t>
    </r>
    <r>
      <rPr>
        <sz val="10"/>
        <color rgb="FF000000"/>
        <rFont val="Calibri"/>
      </rPr>
      <t>Hardware RAID controller With 32" Display</t>
    </r>
  </si>
  <si>
    <r>
      <rPr>
        <sz val="10"/>
        <color theme="1"/>
        <rFont val="Calibri"/>
      </rPr>
      <t>Nos.</t>
    </r>
  </si>
  <si>
    <r>
      <rPr>
        <sz val="10"/>
        <color theme="1"/>
        <rFont val="Calibri"/>
      </rPr>
      <t>MR</t>
    </r>
  </si>
  <si>
    <r>
      <rPr>
        <b/>
        <sz val="10"/>
        <color theme="1"/>
        <rFont val="Calibri"/>
      </rPr>
      <t>Client Workstation for Visitor Management</t>
    </r>
  </si>
  <si>
    <r>
      <rPr>
        <sz val="10"/>
        <color rgb="FF000000"/>
        <rFont val="Calibri"/>
      </rPr>
      <t xml:space="preserve">Processor: Intel® Core™ i7 13th Gen
</t>
    </r>
    <r>
      <rPr>
        <sz val="10"/>
        <color rgb="FF000000"/>
        <rFont val="Calibri"/>
      </rPr>
      <t xml:space="preserve">Operating System: Windows 11 Pro 64-bit (licensed) RAM: 16 GB DDR4 (expandable to 32 GB)
</t>
    </r>
    <r>
      <rPr>
        <sz val="10"/>
        <color rgb="FF000000"/>
        <rFont val="Calibri"/>
      </rPr>
      <t xml:space="preserve">Storage: 512 GB NVMe SSD (primary) + 6 TB HDD (secondary) Graphics: 2 GB Graphic Card
</t>
    </r>
    <r>
      <rPr>
        <sz val="10"/>
        <color rgb="FF000000"/>
        <rFont val="Calibri"/>
      </rPr>
      <t>Monitor: 23.8” LED, Full HD (1920×1080)</t>
    </r>
  </si>
  <si>
    <r>
      <rPr>
        <sz val="10"/>
        <color theme="1"/>
        <rFont val="Calibri"/>
      </rPr>
      <t>Nos.</t>
    </r>
  </si>
  <si>
    <r>
      <rPr>
        <sz val="10"/>
        <color theme="1"/>
        <rFont val="Calibri"/>
      </rPr>
      <t>MR</t>
    </r>
  </si>
  <si>
    <r>
      <rPr>
        <sz val="10"/>
        <color theme="1"/>
        <rFont val="Calibri"/>
      </rPr>
      <t>Tablet with stand for Registration of visitors</t>
    </r>
  </si>
  <si>
    <r>
      <rPr>
        <sz val="10"/>
        <color theme="1"/>
        <rFont val="Calibri"/>
      </rPr>
      <t>Nos.</t>
    </r>
  </si>
  <si>
    <r>
      <rPr>
        <sz val="10"/>
        <color theme="1"/>
        <rFont val="Calibri"/>
      </rPr>
      <t>MR</t>
    </r>
  </si>
  <si>
    <r>
      <rPr>
        <sz val="10"/>
        <color theme="1"/>
        <rFont val="Calibri"/>
      </rPr>
      <t>Integration of Access Control with Visitor Management Software</t>
    </r>
  </si>
  <si>
    <r>
      <rPr>
        <sz val="10"/>
        <color theme="1"/>
        <rFont val="Calibri"/>
      </rPr>
      <t>Nos.</t>
    </r>
  </si>
  <si>
    <r>
      <rPr>
        <sz val="10"/>
        <color theme="1"/>
        <rFont val="Calibri"/>
      </rPr>
      <t>DSR-2025- 42.4</t>
    </r>
  </si>
  <si>
    <r>
      <rPr>
        <sz val="10"/>
        <color rgb="FF000000"/>
        <rFont val="Calibri"/>
      </rPr>
      <t xml:space="preserve">LED Display
</t>
    </r>
    <r>
      <rPr>
        <sz val="10"/>
        <color rgb="FF000000"/>
        <rFont val="Calibri"/>
      </rPr>
      <t>Supplying, Installation, Testing and Commissioning of following size LED display (LED monitor) industrial grade with 3840x2160 resolution or better, USB playback, bluetooth and miracast connectivity, 4X HDMI 2.0, DP 1.2, HDR 10/10+, brightness: 500-nits or better, Video wall mode should be available, contrast ratio: 1200:1, OPS slot, viewing angle (H/V): 170°/ 170°, response time less than 12ms, Display control shall be on monitor screen and programmable with remote (remote shall be supplied with system), Key Board, Optical Mouse, etc. as required.</t>
    </r>
  </si>
  <si>
    <r>
      <rPr>
        <sz val="10"/>
        <color theme="1"/>
        <rFont val="Calibri"/>
      </rPr>
      <t>DSR-2025- 42.4.2</t>
    </r>
  </si>
  <si>
    <r>
      <rPr>
        <sz val="10"/>
        <color theme="1"/>
        <rFont val="Calibri"/>
      </rPr>
      <t>42 inch or larger</t>
    </r>
  </si>
  <si>
    <r>
      <rPr>
        <sz val="10"/>
        <color theme="1"/>
        <rFont val="Calibri"/>
      </rPr>
      <t>Nos.</t>
    </r>
  </si>
  <si>
    <r>
      <rPr>
        <sz val="10"/>
        <color theme="1"/>
        <rFont val="Calibri"/>
      </rPr>
      <t>DSR-2025- 39.18</t>
    </r>
  </si>
  <si>
    <r>
      <rPr>
        <sz val="10"/>
        <color theme="1"/>
        <rFont val="Calibri"/>
      </rPr>
      <t>Supplying, drawing, Testing and commissioning of Cat6A UTP 4 pair, 23 AWG solid copper cable in existing conduit/ on surface, U/FTP, LSZH, Non- Plenum, Horizontal (solid) Cable suitable for high speed data networking application supporting upto 10Gbps over a 100 meter channel. The 4 Unshielded Twisted Pairs (UTP) cable with color coded insulation for easy indentification should have FLAME PROPERTIES i.e. Flammability Test - IEC 60332-1, Smoke Density - IEC 61034, LSZH standards compliance: ANSI/TIA-568 C.2, ISO/IEC 11801, IEEE 802.3an, RoHS. Delay Skew should be &lt; 45NS. The outer Cable Diameter should be 7.5 + 2 mm. Cable should have been tested and verified by UL/ ETL etc. complete as required</t>
    </r>
  </si>
  <si>
    <r>
      <rPr>
        <sz val="10"/>
        <color theme="1"/>
        <rFont val="Calibri"/>
      </rPr>
      <t>DSR-2025- 39.18.1</t>
    </r>
  </si>
  <si>
    <r>
      <rPr>
        <sz val="10"/>
        <color theme="1"/>
        <rFont val="Calibri"/>
      </rPr>
      <t>1 RUM of Cable</t>
    </r>
  </si>
  <si>
    <r>
      <rPr>
        <sz val="10"/>
        <color theme="1"/>
        <rFont val="Calibri"/>
      </rPr>
      <t>Meter</t>
    </r>
  </si>
  <si>
    <r>
      <rPr>
        <b/>
        <sz val="10"/>
        <color theme="1"/>
        <rFont val="Calibri"/>
      </rPr>
      <t>Fiber Optic Cable</t>
    </r>
  </si>
  <si>
    <r>
      <rPr>
        <sz val="10"/>
        <color theme="1"/>
        <rFont val="Calibri"/>
      </rPr>
      <t>DSR-2025- 39.19</t>
    </r>
  </si>
  <si>
    <r>
      <rPr>
        <sz val="10"/>
        <color rgb="FF000000"/>
        <rFont val="Calibri"/>
      </rPr>
      <t xml:space="preserve">Supplying and drawing following core Fiber Optic Cable having corrugated steel armoring. The Fiber should be SM Fiber Central -loose tube filled with Thixotropic jelly, duly following Standards: ISO 11801, IEC 60793-1/60794-1-2, ITU-T-REC G.652D and Telecordia GR-20-core, High quality Electro Chromium Coated Corrugated Steel tape (ECCS ) and HDPE- Sheath, Operating ambient Temperature should be – 5 0C to +50 0C and Storage Temperature shall be – 5 0C to +50 0C, Max Attenuation ± 0.36 (db / km) at Operational Wavelength 1310 nm and ±
</t>
    </r>
    <r>
      <rPr>
        <sz val="10"/>
        <color rgb="FF000000"/>
        <rFont val="Calibri"/>
      </rPr>
      <t xml:space="preserve">0.22 db / km at Operational Wavelength 1550 nm. type of fiber should be 9/125 / G.652D &amp; Refractive Index should be 1.4670/1.4675. The value for Mode-filed, Cladding Diameter 9.2 ±
</t>
    </r>
    <r>
      <rPr>
        <sz val="10"/>
        <color rgb="FF000000"/>
        <rFont val="Calibri"/>
      </rPr>
      <t>0.4 μm and 125 ± 0.7 μm correspondingly. The Dispersion value &lt; 3.5 &lt; 18 ps/nm-km and PMD value &lt; 0.2 ps/km and Cable Cutoff wavelength &lt; 1260 nm i/c splicing &amp; marking etc. complete as required</t>
    </r>
  </si>
  <si>
    <r>
      <rPr>
        <sz val="10"/>
        <color theme="1"/>
        <rFont val="Calibri"/>
      </rPr>
      <t>DSR-2025- 39.19.1</t>
    </r>
  </si>
  <si>
    <r>
      <rPr>
        <sz val="10"/>
        <color theme="1"/>
        <rFont val="Calibri"/>
      </rPr>
      <t>Single Mode 6 Core Optical fiber cable</t>
    </r>
  </si>
  <si>
    <r>
      <rPr>
        <sz val="10"/>
        <color theme="1"/>
        <rFont val="Calibri"/>
      </rPr>
      <t>Meter</t>
    </r>
  </si>
  <si>
    <r>
      <rPr>
        <sz val="10"/>
        <color theme="1"/>
        <rFont val="Calibri"/>
      </rPr>
      <t>DSR-2025- 1.17</t>
    </r>
  </si>
  <si>
    <r>
      <rPr>
        <sz val="10"/>
        <color theme="1"/>
        <rFont val="Calibri"/>
      </rPr>
      <t>Supplying and drawing following sizes of FRLS/HFFR PVC insulated copper conductor, single core cable in the existing surface/ recessed steel/ PVC conduit as required.</t>
    </r>
  </si>
  <si>
    <r>
      <rPr>
        <sz val="10"/>
        <color theme="1"/>
        <rFont val="Calibri"/>
      </rPr>
      <t>DSR-2025- 1.17.3</t>
    </r>
  </si>
  <si>
    <r>
      <rPr>
        <sz val="10"/>
        <color theme="1"/>
        <rFont val="Calibri"/>
      </rPr>
      <t>3C x 1.5 sq. mm</t>
    </r>
  </si>
  <si>
    <r>
      <rPr>
        <sz val="10"/>
        <color theme="1"/>
        <rFont val="Calibri"/>
      </rPr>
      <t>Meter</t>
    </r>
  </si>
  <si>
    <r>
      <rPr>
        <sz val="10"/>
        <color theme="1"/>
        <rFont val="Calibri"/>
      </rPr>
      <t>DSR-2025- 15.15</t>
    </r>
  </si>
  <si>
    <r>
      <rPr>
        <sz val="10"/>
        <color theme="1"/>
        <rFont val="Calibri"/>
      </rPr>
      <t>Supplying and laying of following size DWC HDPE pipe ISI marked along with all accessories like socket, bend, couplers etc. conforming to IS 14930, Part II complete with fitting and cutting, jointing etc. in the existing trench, complete as required.</t>
    </r>
  </si>
  <si>
    <r>
      <rPr>
        <sz val="10"/>
        <color theme="1"/>
        <rFont val="Calibri"/>
      </rPr>
      <t>DSR-2025- 15.15.1</t>
    </r>
  </si>
  <si>
    <r>
      <rPr>
        <sz val="10"/>
        <color theme="1"/>
        <rFont val="Calibri"/>
      </rPr>
      <t>63 mm dia (OD-63 mm &amp; ID-51 mm nominal)</t>
    </r>
  </si>
  <si>
    <r>
      <rPr>
        <sz val="10"/>
        <color theme="1"/>
        <rFont val="Calibri"/>
      </rPr>
      <t>Meter</t>
    </r>
  </si>
  <si>
    <r>
      <rPr>
        <sz val="10"/>
        <color theme="1"/>
        <rFont val="Calibri"/>
      </rPr>
      <t>DSR-2025- 1.2</t>
    </r>
  </si>
  <si>
    <r>
      <rPr>
        <sz val="10"/>
        <color theme="1"/>
        <rFont val="Calibri"/>
      </rPr>
      <t>Supplying and fixing of following sizes of steel conduit along with accessories in surface/recess including painting in case of surface conduit, or cutting the wall and making good the same in case of recessed conduit as required.</t>
    </r>
  </si>
  <si>
    <r>
      <rPr>
        <sz val="10"/>
        <color theme="1"/>
        <rFont val="Calibri"/>
      </rPr>
      <t>DSR-2025- 1.20.2</t>
    </r>
  </si>
  <si>
    <r>
      <rPr>
        <sz val="10"/>
        <color theme="1"/>
        <rFont val="Calibri"/>
      </rPr>
      <t>25mm</t>
    </r>
  </si>
  <si>
    <r>
      <rPr>
        <sz val="10"/>
        <color theme="1"/>
        <rFont val="Calibri"/>
      </rPr>
      <t>Meter</t>
    </r>
  </si>
  <si>
    <r>
      <rPr>
        <sz val="10"/>
        <color theme="1"/>
        <rFont val="Calibri"/>
      </rPr>
      <t>Control Cables</t>
    </r>
  </si>
  <si>
    <r>
      <rPr>
        <sz val="10"/>
        <color theme="1"/>
        <rFont val="Calibri"/>
      </rPr>
      <t>MR</t>
    </r>
  </si>
  <si>
    <r>
      <rPr>
        <sz val="10"/>
        <color theme="1"/>
        <rFont val="Calibri"/>
      </rPr>
      <t>Supplying, drawing, Installation, Testing and commissioning of 8 Core 1 sq. mm cable</t>
    </r>
  </si>
  <si>
    <r>
      <rPr>
        <sz val="10"/>
        <color theme="1"/>
        <rFont val="Calibri"/>
      </rPr>
      <t>Meter</t>
    </r>
  </si>
  <si>
    <r>
      <rPr>
        <sz val="10"/>
        <color theme="1"/>
        <rFont val="Calibri"/>
      </rPr>
      <t>MR</t>
    </r>
  </si>
  <si>
    <r>
      <rPr>
        <sz val="10"/>
        <color theme="1"/>
        <rFont val="Calibri"/>
      </rPr>
      <t>Supplying, drawing, Installation, Testing and commissioning of 4 Core 1 sq. Mm cable</t>
    </r>
  </si>
  <si>
    <r>
      <rPr>
        <sz val="10"/>
        <color theme="1"/>
        <rFont val="Calibri"/>
      </rPr>
      <t>Meter</t>
    </r>
  </si>
  <si>
    <r>
      <rPr>
        <sz val="10"/>
        <color theme="1"/>
        <rFont val="Calibri"/>
      </rPr>
      <t>MR</t>
    </r>
  </si>
  <si>
    <r>
      <rPr>
        <sz val="10"/>
        <color theme="1"/>
        <rFont val="Calibri"/>
      </rPr>
      <t>Supplying, drawing, Installation, Testing and commissioning of 2 Core 1 sq. mm cable</t>
    </r>
  </si>
  <si>
    <r>
      <rPr>
        <sz val="10"/>
        <color theme="1"/>
        <rFont val="Calibri"/>
      </rPr>
      <t>Meter</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</si>
  <si>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</si>
  <si>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</si>
  <si>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SUB HEAD M</t>
    </r>
  </si>
  <si>
    <r>
      <rPr>
        <b/>
        <sz val="10"/>
        <color theme="1"/>
        <rFont val="Calibri"/>
      </rPr>
      <t>CCTV SYSTEM</t>
    </r>
  </si>
  <si>
    <r>
      <rPr>
        <b/>
        <sz val="10"/>
        <color theme="1"/>
        <rFont val="Calibri"/>
      </rPr>
      <t>Design, Supply, installation, testing &amp; commissioning of following CCTV System (STQC and BIS certified):</t>
    </r>
  </si>
  <si>
    <r>
      <rPr>
        <b/>
        <sz val="10"/>
        <color theme="1"/>
        <rFont val="Calibri"/>
      </rPr>
      <t>2 MP IP IR Dome Camera</t>
    </r>
  </si>
  <si>
    <r>
      <rPr>
        <sz val="10"/>
        <color theme="1"/>
        <rFont val="Calibri"/>
      </rPr>
      <t>DSR-2025- 40.1</t>
    </r>
  </si>
  <si>
    <r>
      <rPr>
        <sz val="10"/>
        <color rgb="FF000000"/>
        <rFont val="Calibri"/>
      </rPr>
      <t xml:space="preserve">Supplying Installation Testing and Commissioning of 2 MP IP IR Dome Camera having following specifications, type of lens and features etc :-
</t>
    </r>
    <r>
      <rPr>
        <sz val="10"/>
        <color rgb="FF000000"/>
        <rFont val="Calibri"/>
      </rPr>
      <t xml:space="preserve">1) Signal System: PAL/NTSC, Signal to Noise Ratio: &gt;50 dB, Camera should display Camera title, Date &amp; Time in live &amp; recorded video
</t>
    </r>
    <r>
      <rPr>
        <sz val="10"/>
        <color rgb="FF000000"/>
        <rFont val="Calibri"/>
      </rPr>
      <t xml:space="preserve">2)Image Sensor: 1/2.8" or better progressive Scan CMOS to get color image even at night condition(Minimum Illumination: 0.006 Lux@ F1.4, AGC ON, 0 lux with IR or better) True Day &amp; Night High Performance Mechanical IR cut filter with auto switch, Integrated IR Source (Auto, Manual)- Inbuilt IR LED's with effective distance upto 50 meter or better and 30 meter for colour view in night, Imaging: 1/3s to 1/30000s electronic shutter support, Auto Gain Control , White Balance- Auto, Back Light Compensation, Multi zone Privacy Masking, HLC, Digital Watermarking.
</t>
    </r>
    <r>
      <rPr>
        <sz val="10"/>
        <color rgb="FF000000"/>
        <rFont val="Calibri"/>
      </rPr>
      <t xml:space="preserve">3) Compression (Minimum):-Video:- H.265 or better, H.264H, H.264, Audio:- G.711U/A, G.711Mu, G.726, AAC, G.723
</t>
    </r>
    <r>
      <rPr>
        <sz val="10"/>
        <color rgb="FF000000"/>
        <rFont val="Calibri"/>
      </rPr>
      <t xml:space="preserve">4) Wide Dynamic Range:- WDR (120db or more)
</t>
    </r>
    <r>
      <rPr>
        <sz val="10"/>
        <color rgb="FF000000"/>
        <rFont val="Calibri"/>
      </rPr>
      <t xml:space="preserve">5) Digital Noise Reduction:- DNR (3D) On/Off
</t>
    </r>
    <r>
      <rPr>
        <sz val="10"/>
        <color rgb="FF000000"/>
        <rFont val="Calibri"/>
      </rPr>
      <t xml:space="preserve">6) Video Streaming &amp; Frame Rates :- Triple streaming , configurable (Main stream: 2MP (1920
</t>
    </r>
    <r>
      <rPr>
        <sz val="10"/>
        <color rgb="FF000000"/>
        <rFont val="Calibri"/>
      </rPr>
      <t xml:space="preserve">×1080)@25/30 fps,Sub streams minimum: 720P@25/30 fps).
</t>
    </r>
    <r>
      <rPr>
        <sz val="10"/>
        <color rgb="FF000000"/>
        <rFont val="Calibri"/>
      </rPr>
      <t xml:space="preserve">7) Image Setting: Rotate Mode, saturation, brightness, contrast, sharpness adjustable through client software
</t>
    </r>
    <r>
      <rPr>
        <sz val="10"/>
        <color rgb="FF000000"/>
        <rFont val="Calibri"/>
      </rPr>
      <t xml:space="preserve">or web browser, Edge Analytics: Tripwire, Intrusion, Motion Detection
</t>
    </r>
    <r>
      <rPr>
        <sz val="10"/>
        <color rgb="FF000000"/>
        <rFont val="Calibri"/>
      </rPr>
      <t>8) Cyber Security: AES 256-bit Encryption, Configuration encryption, trusted execution, Digest, security logs, account lockout, syslog, video encryption, IP/MAC filtering, HTTPS, trusted</t>
    </r>
  </si>
  <si>
    <r>
      <rPr>
        <sz val="10"/>
        <color theme="1"/>
        <rFont val="Calibri"/>
      </rPr>
      <t>DSR-2025- 40.1.1</t>
    </r>
  </si>
  <si>
    <r>
      <rPr>
        <sz val="10"/>
        <color theme="1"/>
        <rFont val="Calibri"/>
      </rPr>
      <t>2MP (@ 25/30fps@1080P (1920×1080)) IP IR Dome Camera with 2.8/ 3.6mm fixed lens</t>
    </r>
  </si>
  <si>
    <r>
      <rPr>
        <sz val="10"/>
        <color theme="1"/>
        <rFont val="Calibri"/>
      </rPr>
      <t>Each</t>
    </r>
  </si>
  <si>
    <r>
      <rPr>
        <b/>
        <sz val="10"/>
        <color theme="1"/>
        <rFont val="Calibri"/>
      </rPr>
      <t>2 MP IP IR Outdoor Bullet Camera</t>
    </r>
  </si>
  <si>
    <r>
      <rPr>
        <sz val="10"/>
        <color theme="1"/>
        <rFont val="Calibri"/>
      </rPr>
      <t>DSR-2025- 40.2</t>
    </r>
  </si>
  <si>
    <r>
      <rPr>
        <sz val="10"/>
        <color rgb="FF000000"/>
        <rFont val="Calibri"/>
      </rPr>
      <t xml:space="preserve">Supplying Installation Testing and Commissioning of 2MP Fixed Lens IP IR Outdoor Bullet Camera having following specifications and features etc :-
</t>
    </r>
    <r>
      <rPr>
        <sz val="10"/>
        <color rgb="FF000000"/>
        <rFont val="Calibri"/>
      </rPr>
      <t xml:space="preserve">1) Signal System: PAL/NTSC, Signal to Noise Ratio: &gt;50 dB,Camera should display Camera title, Date &amp; Time in live &amp; recorded video
</t>
    </r>
    <r>
      <rPr>
        <sz val="10"/>
        <color rgb="FF000000"/>
        <rFont val="Calibri"/>
      </rPr>
      <t xml:space="preserve">2)Image Sensor: 1/2.8" or better progressive Scan CMOS to get color image even at night condition(Minimum Illumination: 0.006 Lux@ F1.4, AGC ON, 0 lux with IR or better) True Day &amp; Night High Performance Mechanical IR cut filter with auto switch, Integrated IR Source (Auto, Manual)- Inbuilt Smart IR LED's with effective distance upto 50 meter or better and 30 meter for colour view in night, Imaging: 1/3s to 1/30000s electronic shutter support, Auto Gain Control , White Balance- Auto, Back Light Compensation, Multi zone Privacy Masking, HLC, Digital Watermarking.
</t>
    </r>
    <r>
      <rPr>
        <sz val="10"/>
        <color rgb="FF000000"/>
        <rFont val="Calibri"/>
      </rPr>
      <t xml:space="preserve">3) Compression (Minimum):-Video:- H.265 or better, H.264H, H.264, Audio:- G.711U/A, G.711Mu, G.726, AAC, G.723
</t>
    </r>
    <r>
      <rPr>
        <sz val="10"/>
        <color rgb="FF000000"/>
        <rFont val="Calibri"/>
      </rPr>
      <t xml:space="preserve">4) Wide Dynamic Range:- WDR (120db or more)
</t>
    </r>
    <r>
      <rPr>
        <sz val="10"/>
        <color rgb="FF000000"/>
        <rFont val="Calibri"/>
      </rPr>
      <t xml:space="preserve">5) Digital Noise Reduction:- DNR (3D) On/Off
</t>
    </r>
    <r>
      <rPr>
        <sz val="10"/>
        <color rgb="FF000000"/>
        <rFont val="Calibri"/>
      </rPr>
      <t xml:space="preserve">6) Video Streaming &amp; Frame Rates :- Triple streaming , configurable(Main stream: 2MP (1920 × 1080)@25/30 fps Sub streams minimum: 720P@25/30 fps).
</t>
    </r>
    <r>
      <rPr>
        <sz val="10"/>
        <color rgb="FF000000"/>
        <rFont val="Calibri"/>
      </rPr>
      <t xml:space="preserve">7) Image Setting: Rotate Mode, saturation, brightness, contrast, sharpness adjustable through client software or web browser, Edge Analytics: Tripwire, Intrusion, Motion Detection
</t>
    </r>
    <r>
      <rPr>
        <sz val="10"/>
        <color rgb="FF000000"/>
        <rFont val="Calibri"/>
      </rPr>
      <t xml:space="preserve">8) Cyber Security: AES 256-bit Encryption, Configuration encryption, trusted execution, Digest, security logs, account lockout, syslog, video encryption, IP/MAC filtering, HTTPS, trusted
</t>
    </r>
    <r>
      <rPr>
        <sz val="10"/>
        <color rgb="FF000000"/>
        <rFont val="Calibri"/>
      </rPr>
      <t>upgrade, trusted boot.</t>
    </r>
  </si>
  <si>
    <r>
      <rPr>
        <sz val="10"/>
        <color theme="1"/>
        <rFont val="Calibri"/>
      </rPr>
      <t>DSR-2025- 40.2.1</t>
    </r>
  </si>
  <si>
    <r>
      <rPr>
        <sz val="10"/>
        <color theme="1"/>
        <rFont val="Calibri"/>
      </rPr>
      <t>2MP @ 25/30fps@1080P (1920×1080) Outdoor Bullet Camera with 2.8/ 3.6mm fixed lens</t>
    </r>
  </si>
  <si>
    <r>
      <rPr>
        <sz val="10"/>
        <color theme="1"/>
        <rFont val="Calibri"/>
      </rPr>
      <t>Each</t>
    </r>
  </si>
  <si>
    <r>
      <rPr>
        <b/>
        <sz val="10"/>
        <color theme="1"/>
        <rFont val="Calibri"/>
      </rPr>
      <t>24 Port POE Switch</t>
    </r>
  </si>
  <si>
    <r>
      <rPr>
        <sz val="10"/>
        <color rgb="FF000000"/>
        <rFont val="Calibri"/>
      </rPr>
      <t>24 Port POE Switch 24 × 10/100/1000 Mbps RJ45 (PoE / PoE+) All ports Gigabit, auto</t>
    </r>
    <r>
      <rPr>
        <sz val="10"/>
        <color rgb="FF000000"/>
        <rFont val="Calibri"/>
      </rPr>
      <t>■</t>
    </r>
    <r>
      <rPr>
        <sz val="10"/>
        <color rgb="FF000000"/>
        <rFont val="Calibri"/>
      </rPr>
      <t xml:space="preserve">negotiation, auto MDIX Uplink / SFP Ports 2 × RJ45 Gigabit uplinks
</t>
    </r>
    <r>
      <rPr>
        <sz val="10"/>
        <color rgb="FF000000"/>
        <rFont val="Calibri"/>
      </rPr>
      <t>+ 2 × SFP (mini</t>
    </r>
    <r>
      <rPr>
        <sz val="10"/>
        <color rgb="FF000000"/>
        <rFont val="Calibri"/>
      </rPr>
      <t>■</t>
    </r>
    <r>
      <rPr>
        <sz val="10"/>
        <color rgb="FF000000"/>
        <rFont val="Calibri"/>
      </rPr>
      <t xml:space="preserve">GBIC) Vendor to confirm interface types PoE Support / Standard IEEE 802.3af
</t>
    </r>
    <r>
      <rPr>
        <sz val="10"/>
        <color rgb="FF000000"/>
        <rFont val="Calibri"/>
      </rPr>
      <t xml:space="preserve">/ IEEE 802.3at (PoE+) Vendor to state exact standards supported Total PoE Power Budget 400 W Confirm actual usable budget Per Port Max PoE Output~30 W per port (PoE+)
</t>
    </r>
    <r>
      <rPr>
        <sz val="10"/>
        <color rgb="FF000000"/>
        <rFont val="Calibri"/>
      </rPr>
      <t>For high</t>
    </r>
    <r>
      <rPr>
        <sz val="10"/>
        <color rgb="FF000000"/>
        <rFont val="Calibri"/>
      </rPr>
      <t>■</t>
    </r>
    <r>
      <rPr>
        <sz val="10"/>
        <color rgb="FF000000"/>
        <rFont val="Calibri"/>
      </rPr>
      <t>power cameras, check if supported Switching / Backplane Capacity ≥ 56 Gbps non</t>
    </r>
    <r>
      <rPr>
        <sz val="10"/>
        <color rgb="FF000000"/>
        <rFont val="Calibri"/>
      </rPr>
      <t>■</t>
    </r>
    <r>
      <rPr>
        <sz val="10"/>
        <color rgb="FF000000"/>
        <rFont val="Calibri"/>
      </rPr>
      <t xml:space="preserve">blocking Vendor to confirm Forwarding Rate ~41.7 Mpps Vendor to confirm MAC Address Table Size≥ 16,000 entries Vendor to specify Jumbo Frame Support Up to 9,000 bytes Useful  for video traffic VLAN / Layer 2 Features802.1Q VLANs, trunking, Q-in-Q, private VLAN Vendor to confirm Link Aggregation / Redundancy LACP (802.3ad), STP/RSTP/MSTP For link redundancy QoS / Traffic Prioritization8 queues, 802.1p, DSCP, rate limiting Ensure
</t>
    </r>
    <r>
      <rPr>
        <sz val="10"/>
        <color rgb="FF000000"/>
        <rFont val="Calibri"/>
      </rPr>
      <t xml:space="preserve">video traffic priority Multicast / IGMP FeaturesIGMP snooping, querier support Important for multicast cameras Security / Access ControlACLs, 802.1X, port security, DHCP snooping Vendor to confirm Management &amp; MonitoringWeb GUI, CLI, SNMP v1/v2c/v3, syslog,
</t>
    </r>
    <r>
      <rPr>
        <sz val="10"/>
        <color rgb="FF000000"/>
        <rFont val="Calibri"/>
      </rPr>
      <t>RMON Firmware upgrade &amp; backup supported Redundancy / Reliability Dual firmware, optional RPS For mission</t>
    </r>
    <r>
      <rPr>
        <sz val="10"/>
        <color rgb="FF000000"/>
        <rFont val="Calibri"/>
      </rPr>
      <t>■</t>
    </r>
    <r>
      <rPr>
        <sz val="10"/>
        <color rgb="FF000000"/>
        <rFont val="Calibri"/>
      </rPr>
      <t>critical deployment Power Supply Internal AC 100</t>
    </r>
    <r>
      <rPr>
        <sz val="10"/>
        <color rgb="FF000000"/>
        <rFont val="Calibri"/>
      </rPr>
      <t>■</t>
    </r>
    <r>
      <rPr>
        <sz val="10"/>
        <color rgb="FF000000"/>
        <rFont val="Calibri"/>
      </rPr>
      <t>240 V, 50/60 Hz Vendor to confirm input range Operating Temperature 0 to 40</t>
    </r>
    <r>
      <rPr>
        <sz val="10"/>
        <color rgb="FF000000"/>
        <rFont val="Calibri"/>
      </rPr>
      <t>■</t>
    </r>
    <r>
      <rPr>
        <sz val="10"/>
        <color rgb="FF000000"/>
        <rFont val="Calibri"/>
      </rPr>
      <t>°C (typical), humidity non</t>
    </r>
    <r>
      <rPr>
        <sz val="10"/>
        <color rgb="FF000000"/>
        <rFont val="Calibri"/>
      </rPr>
      <t>■</t>
    </r>
    <r>
      <rPr>
        <sz val="10"/>
        <color rgb="FF000000"/>
        <rFont val="Calibri"/>
      </rPr>
      <t>condensing Vendor to specify exact range Physical / Mechanical 1U rackmount, fans/ventilation, LED indicators Vendor to confirm Certifications &amp; StandardsCE, FCC, RoHS, EMC, safety Vendor to confirm compliance Warranty &amp; Support 3 years or more Vendor to clarify SLA Optional / Extra Modules SFP modules</t>
    </r>
  </si>
  <si>
    <r>
      <rPr>
        <sz val="10"/>
        <color theme="1"/>
        <rFont val="Calibri"/>
      </rPr>
      <t>Nos.</t>
    </r>
  </si>
  <si>
    <r>
      <rPr>
        <b/>
        <sz val="10"/>
        <color theme="1"/>
        <rFont val="Calibri"/>
      </rPr>
      <t>24-Port L3 PoE Managed Switch</t>
    </r>
  </si>
  <si>
    <r>
      <rPr>
        <sz val="10"/>
        <color theme="1"/>
        <rFont val="Calibri"/>
      </rPr>
      <t>DSR-2025- 39.3</t>
    </r>
  </si>
  <si>
    <r>
      <rPr>
        <sz val="10"/>
        <color rgb="FF000000"/>
        <rFont val="Calibri"/>
      </rPr>
      <t>Supplying, installation, Testing and commissioning of following capacity 24 port Layer 2 indoor Network Switch having features and specifications etc. as mentioned here under: At least 24 X RJ-45 Gigabit Ethernet Ports and additional 2 X 10G Base -T with 4 X SFP Ports with non- blocking architecture by having Switching capacity of min. 168Gbps and packet forwarding rate of 125Mpps or higher, 16K MAC table. Console Port, USB port, Stacking support of min. 8 units per stack. Internal dual AC Power supply, STP, RSTP, MSTP, BPDU Filter, BPDU Restriction, Min. 9K Jumbo Frame, LBD, IGMP Snooping V1/V2/V3, MLD Snopping V1/V2. IGMP /MLD Groups 1K or more, IPv4/IPv6 Loopback Interface, 16 L3 IP Interface, Ipv6 ND, VRRPv3, UDP Helper, ECMP. VLAN: 802.1</t>
    </r>
    <r>
      <rPr>
        <sz val="10"/>
        <color rgb="FF000000"/>
        <rFont val="Calibri"/>
      </rPr>
      <t>Ǫ</t>
    </r>
    <r>
      <rPr>
        <sz val="10"/>
        <color rgb="FF000000"/>
        <rFont val="Calibri"/>
      </rPr>
      <t xml:space="preserve">, Port based, </t>
    </r>
    <r>
      <rPr>
        <sz val="10"/>
        <color rgb="FF000000"/>
        <rFont val="Calibri"/>
      </rPr>
      <t>Ǫ</t>
    </r>
    <r>
      <rPr>
        <sz val="10"/>
        <color rgb="FF000000"/>
        <rFont val="Calibri"/>
      </rPr>
      <t>-in-</t>
    </r>
    <r>
      <rPr>
        <sz val="10"/>
        <color rgb="FF000000"/>
        <rFont val="Calibri"/>
      </rPr>
      <t>Ǫ</t>
    </r>
    <r>
      <rPr>
        <sz val="10"/>
        <color rgb="FF000000"/>
        <rFont val="Calibri"/>
      </rPr>
      <t xml:space="preserve">, Multicast VLAN, Protocol VLAN, VLAN Trunking, DHCP Snopping, Server, server Screening. RADIUS , TACACS+ Authentication, </t>
    </r>
    <r>
      <rPr>
        <sz val="10"/>
        <color rgb="FF000000"/>
        <rFont val="Calibri"/>
      </rPr>
      <t>Ǫ</t>
    </r>
    <r>
      <rPr>
        <sz val="10"/>
        <color rgb="FF000000"/>
        <rFont val="Calibri"/>
      </rPr>
      <t xml:space="preserve">oS: 802.1P, 8 queues per port, </t>
    </r>
    <r>
      <rPr>
        <sz val="10"/>
        <color rgb="FF000000"/>
        <rFont val="Calibri"/>
      </rPr>
      <t>Ǫ</t>
    </r>
    <r>
      <rPr>
        <sz val="10"/>
        <color rgb="FF000000"/>
        <rFont val="Calibri"/>
      </rPr>
      <t>oS : WRR, Strict+WRR, WRED, 802.1p. ACL: MAC based, IPv4C IPv6, TCP/UDP Port number, time based ACL, TFTP Client, SNMP V1, v2c, v3, SNMP traps, RMON, DHCP server, relay, client, LLDP, LLDP-MED, OAM, Dying Gasp, 802.3ah, sflow, RIP, OSPF v2/v3, policy based route, SSL, SSH. 6 kV surge protection on all Gigabit Ethernet ports and on all GE RJ-45 access ports. Certifications: UL, CE, FCC, RoHS, MTCTE, OEM/Product must be on Trusted Telecom Portal of Department of Telecommunication, Government of India etc. complete as required.</t>
    </r>
  </si>
  <si>
    <r>
      <rPr>
        <sz val="10"/>
        <color theme="1"/>
        <rFont val="Calibri"/>
      </rPr>
      <t>DSR-2025- 39.3.1</t>
    </r>
  </si>
  <si>
    <r>
      <rPr>
        <sz val="10"/>
        <color theme="1"/>
        <rFont val="Calibri"/>
      </rPr>
      <t>24 port PoE Layer 2 Network Switch with PoE Support of 370W or higher with each copper port supporting 802.3at PoE+ min.</t>
    </r>
  </si>
  <si>
    <r>
      <rPr>
        <sz val="10"/>
        <color theme="1"/>
        <rFont val="Calibri"/>
      </rPr>
      <t>Each</t>
    </r>
  </si>
  <si>
    <r>
      <rPr>
        <sz val="10"/>
        <color theme="1"/>
        <rFont val="Calibri"/>
      </rPr>
      <t>MR</t>
    </r>
  </si>
  <si>
    <r>
      <rPr>
        <sz val="10"/>
        <color theme="1"/>
        <rFont val="Calibri"/>
      </rPr>
      <t>24 Port Patch Panel</t>
    </r>
  </si>
  <si>
    <r>
      <rPr>
        <sz val="10"/>
        <color theme="1"/>
        <rFont val="Calibri"/>
      </rPr>
      <t>Nos.</t>
    </r>
  </si>
  <si>
    <r>
      <rPr>
        <sz val="10"/>
        <color theme="1"/>
        <rFont val="Calibri"/>
      </rPr>
      <t>DSR-2025- 42.4</t>
    </r>
  </si>
  <si>
    <r>
      <rPr>
        <sz val="10"/>
        <color rgb="FF000000"/>
        <rFont val="Calibri"/>
      </rPr>
      <t xml:space="preserve">LED Display
</t>
    </r>
    <r>
      <rPr>
        <sz val="10"/>
        <color rgb="FF000000"/>
        <rFont val="Calibri"/>
      </rPr>
      <t xml:space="preserve">Supplying, Installation, Testing and Commissioning of following size LED display (LED monitor) industrial grade with 3840x2160 resolution or better, USB playback, bluetooth and miracast connectivity, 4X HDMI 2.0, DP 1.2, HDR 10/10+, brightness: 500-nits or better, Video wall mode should be available, contrast ratio: 1200:1, OPS slot, viewing angle (H/V): 170°/ 170°, response time less than 12ms, Display control shall be on monitor screen and programmable with remote (remote shall be supplied with system), Key Board, Optical Mouse, etc. as
</t>
    </r>
    <r>
      <rPr>
        <sz val="10"/>
        <color rgb="FF000000"/>
        <rFont val="Calibri"/>
      </rPr>
      <t>required.</t>
    </r>
  </si>
  <si>
    <r>
      <rPr>
        <sz val="10"/>
        <color theme="1"/>
        <rFont val="Calibri"/>
      </rPr>
      <t>DSR-2025- 42.4.3</t>
    </r>
  </si>
  <si>
    <r>
      <rPr>
        <sz val="10"/>
        <color theme="1"/>
        <rFont val="Calibri"/>
      </rPr>
      <t>55 inch or larger</t>
    </r>
  </si>
  <si>
    <r>
      <rPr>
        <sz val="10"/>
        <color theme="1"/>
        <rFont val="Calibri"/>
      </rPr>
      <t>Each</t>
    </r>
  </si>
  <si>
    <r>
      <rPr>
        <b/>
        <sz val="10"/>
        <color theme="1"/>
        <rFont val="Calibri"/>
      </rPr>
      <t>64 Channel NVR (STQC and BIS certified):</t>
    </r>
  </si>
  <si>
    <r>
      <rPr>
        <sz val="10"/>
        <color rgb="FF000000"/>
        <rFont val="Calibri"/>
      </rPr>
      <t xml:space="preserve">SITC of </t>
    </r>
    <r>
      <rPr>
        <b/>
        <sz val="10"/>
        <color rgb="FF000000"/>
        <rFont val="Calibri"/>
      </rPr>
      <t>64 channels Network Video Recorde</t>
    </r>
    <r>
      <rPr>
        <sz val="10"/>
        <color rgb="FF000000"/>
        <rFont val="Calibri"/>
      </rPr>
      <t xml:space="preserve">r with 80 TB HD. Should support 8 SATA hard disk slot and each should support 10TB HDD. This shall be support RAID 0, 1, 5, 6, 10. Image and Video specification, H.265, H.264 compression. Video Input – 32 IP camera minimum.
</t>
    </r>
    <r>
      <rPr>
        <sz val="10"/>
        <color rgb="FF000000"/>
        <rFont val="Calibri"/>
      </rPr>
      <t>Video Resolution support Up to 8 MP (4K) IP CameraF. Adjustable Image Quality. VBR and CBR support. Each channel should support multi-level motion detection. Matrix Display: 1/4/9/16/32/64. Physical Ports. Video Output: HDMI 1 (4K Max), HDMI 2 (1080P), VGA x1 (1080P). Audio Interface: 1ch In &amp; 1ch Out. Serial Interfaces: 1# RS232, 2# RS485. Network: 2 RJ45, 10M/100M/1000M LAN port. Alarm Interface: 16ch In &amp; 6ch Out. USB Port: Front x 2, USB 2.0, Back x 1, USB 3.0 ports. Recording and playback. Should support schedule, motion and alarm-based recording. Incoming /Outgoing Bandwidth should be 400 Mbps. Synchronous Playback. Time/Date based search mode. Alarm based search. VCA detection alarm should be supported. Should Supports data transfer via USB, e-SATA &amp; Network for easy and fast backup of data. Support megapixel HD network video preview, storage and playback. Digital Zoom support on any user specified area in live screen. Should support digital zoom in both Live and Playback. Should support Playback and backup based on event search. Should support Crome / Edge / Safari or later. Multiple Language GUI. Compatable for smart phone. Humidity: 10% to 90% (non-condensing) Certifications - UL, CE, FCC, BIS.</t>
    </r>
  </si>
  <si>
    <r>
      <rPr>
        <sz val="10"/>
        <color theme="1"/>
        <rFont val="Calibri"/>
      </rPr>
      <t>Nos.</t>
    </r>
  </si>
  <si>
    <r>
      <rPr>
        <sz val="10"/>
        <color theme="1"/>
        <rFont val="Calibri"/>
      </rPr>
      <t>DSR-2025- 40.12</t>
    </r>
  </si>
  <si>
    <r>
      <rPr>
        <sz val="10"/>
        <color rgb="FF000000"/>
        <rFont val="Calibri"/>
      </rPr>
      <t xml:space="preserve">Supplying, Installation, Testing and Commissioning following capacity Serveillance grade Hard Disk with upto 256MB/s Transfer Rate, 256 MB Cache, 7200 RPM Disk Speed, 3.5 inch form factor, SATA Interface, BSMI, ICES-003/NNB-003, CE, FCC, KC, Maghreb, RCM, UKCA, VCCI, CB-
</t>
    </r>
    <r>
      <rPr>
        <sz val="10"/>
        <color rgb="FF000000"/>
        <rFont val="Calibri"/>
      </rPr>
      <t>Scheme, TUV, UL Certifications.</t>
    </r>
  </si>
  <si>
    <r>
      <rPr>
        <sz val="10"/>
        <color theme="1"/>
        <rFont val="Calibri"/>
      </rPr>
      <t>DSR-2025- 40.12.4</t>
    </r>
  </si>
  <si>
    <r>
      <rPr>
        <sz val="10"/>
        <color theme="1"/>
        <rFont val="Calibri"/>
      </rPr>
      <t>10TB (Terabytes)</t>
    </r>
  </si>
  <si>
    <r>
      <rPr>
        <sz val="10"/>
        <color theme="1"/>
        <rFont val="Calibri"/>
      </rPr>
      <t>Each</t>
    </r>
  </si>
  <si>
    <r>
      <rPr>
        <b/>
        <sz val="10"/>
        <color theme="1"/>
        <rFont val="Calibri"/>
      </rPr>
      <t>Rack Type□Wall-mounted /  19” standard</t>
    </r>
  </si>
  <si>
    <r>
      <rPr>
        <sz val="10"/>
        <color theme="1"/>
        <rFont val="Calibri"/>
      </rPr>
      <t>DSR-2025- 39.26</t>
    </r>
  </si>
  <si>
    <r>
      <rPr>
        <sz val="10"/>
        <color theme="1"/>
        <rFont val="Calibri"/>
      </rPr>
      <t>Supplying and fixing Outdoor Pole/ Wall mount 6U Rack, IP55, Front Door with Filter, Louver &amp; Unique key Lock. 3 Socket PDU 5Amp - 1 No. Self adhesive thermal foam from inside. Hood For Air Inlet at front side.1U Cantilever Tray 250mmDepth, Gasket. etc complete as required</t>
    </r>
  </si>
  <si>
    <r>
      <rPr>
        <sz val="10"/>
        <color theme="1"/>
        <rFont val="Calibri"/>
      </rPr>
      <t>Each</t>
    </r>
  </si>
  <si>
    <r>
      <rPr>
        <b/>
        <sz val="10"/>
        <color theme="1"/>
        <rFont val="Calibri"/>
      </rPr>
      <t>42U Rack-19” standard</t>
    </r>
  </si>
  <si>
    <r>
      <rPr>
        <sz val="10"/>
        <color theme="1"/>
        <rFont val="Calibri"/>
      </rPr>
      <t>DSR-2025- 39.25</t>
    </r>
  </si>
  <si>
    <r>
      <rPr>
        <sz val="10"/>
        <color theme="1"/>
        <rFont val="Calibri"/>
      </rPr>
      <t>Supplying and fixing 42U Rack with 6 inch Castor wheels and front brake Floor Standing Rack with Main Frame Pillar of 1.6mm CRCA Sheet with removable side panels, L- Shape adjustable Vertical Mounting Rail of 2mm with 'U'Marking completely knocked-down condition (CKD) Shape, fitted with 4 number cooling fans, minimum 8nos two line cable entry/exit provision at top and bottom with rubber protection, Front door 5mm Toughened Glass with MS frame or MS perforated with lock, Rear MS vented or perforated door, Powder coated Color- RAL- 7035 or black, complied with UL &amp; RoHS, 2 x 6 sockets 16A power distribution units, 3 numbers closed cable organizer, Hardware mounting screws packet of 20 x 1 number, etc. complete as required.</t>
    </r>
  </si>
  <si>
    <r>
      <rPr>
        <sz val="10"/>
        <color theme="1"/>
        <rFont val="Calibri"/>
      </rPr>
      <t>Each</t>
    </r>
  </si>
  <si>
    <r>
      <rPr>
        <sz val="10"/>
        <color theme="1"/>
        <rFont val="Calibri"/>
      </rPr>
      <t>DSR-2025- 39.19</t>
    </r>
  </si>
  <si>
    <r>
      <rPr>
        <sz val="10"/>
        <color rgb="FF000000"/>
        <rFont val="Calibri"/>
      </rPr>
      <t xml:space="preserve">Supplying and drawing following core Fiber Optic Cable having corrugated steel armoring. The Fiber should be SM Fiber Central -loose tube filled with Thixotropic jelly, duly following Standards: ISO 11801, IEC 60793-1/60794-1-2, ITU-T-REC G.652D and Telecordia GR-20-core, High quality Electro Chromium Coated Corrugated Steel tape (ECCS ) and HDPE- Sheath, Operating ambient Temperature should be – 5 0C to +50 0C and Storage Temperature shall be – 5 0C to +50 0C, Max Attenuation ± 0.36 (db / km) at Operational Wavelength 1310 nm and ±
</t>
    </r>
    <r>
      <rPr>
        <sz val="10"/>
        <color rgb="FF000000"/>
        <rFont val="Calibri"/>
      </rPr>
      <t xml:space="preserve">0.22 db / km at Operational Wavelength 1550 nm. type of fiber should be 9/125 / G.652D &amp; Refractive Index should be 1.4670/1.4675. The value for Mode-filed, Cladding Diameter 9.2 ±
</t>
    </r>
    <r>
      <rPr>
        <sz val="10"/>
        <color rgb="FF000000"/>
        <rFont val="Calibri"/>
      </rPr>
      <t>0.4 μm and 125 ± 0.7 μm correspondingly. The Dispersion value &lt; 3.5 &lt; 18 ps/nm-km and PMD value &lt; 0.2 ps/km and Cable Cutoff wavelength &lt; 1260 nm i/c splicing &amp; marking etc complete as required.</t>
    </r>
  </si>
  <si>
    <r>
      <rPr>
        <sz val="10"/>
        <color theme="1"/>
        <rFont val="Calibri"/>
      </rPr>
      <t>DSR-2025- 39.19.1</t>
    </r>
  </si>
  <si>
    <r>
      <rPr>
        <sz val="10"/>
        <color theme="1"/>
        <rFont val="Calibri"/>
      </rPr>
      <t>Single Mode 6 Core Optical fiber cable</t>
    </r>
  </si>
  <si>
    <r>
      <rPr>
        <sz val="10"/>
        <color theme="1"/>
        <rFont val="Calibri"/>
      </rPr>
      <t>Meter</t>
    </r>
  </si>
  <si>
    <r>
      <rPr>
        <sz val="10"/>
        <color theme="1"/>
        <rFont val="Calibri"/>
      </rPr>
      <t>DSR-2025- 39.21</t>
    </r>
  </si>
  <si>
    <r>
      <rPr>
        <sz val="10"/>
        <color theme="1"/>
        <rFont val="Calibri"/>
      </rPr>
      <t>Supply and fixing following port Rack Mount loaded LIU with pigtail, Front-mounted cable saddles for jumper management, suitable to manage both splices and terminations, Pre- assembled shelves in multiple configurations, Rubber fiber slotted bracket built-in, metal splice shelf to protect the fibers, 2 fiber spools built-in for 900μm tight buffered fiber storing, Capable of storing up to 3 meters of 900μm tight buffered fiber per adapter, Removable front and rear covers for better access to interior of LIU, Should be Single / Multi mode LC Type fully loaded. Accessory kit consists of cable ties, mounting ear screws, and spiral wrap tube etc complete as required.</t>
    </r>
  </si>
  <si>
    <r>
      <rPr>
        <sz val="10"/>
        <color theme="1"/>
        <rFont val="Calibri"/>
      </rPr>
      <t>DSR-2025- 39.21.1</t>
    </r>
  </si>
  <si>
    <r>
      <rPr>
        <sz val="10"/>
        <color theme="1"/>
        <rFont val="Calibri"/>
      </rPr>
      <t>6 Port LIU</t>
    </r>
  </si>
  <si>
    <r>
      <rPr>
        <sz val="10"/>
        <color theme="1"/>
        <rFont val="Calibri"/>
      </rPr>
      <t>Each</t>
    </r>
  </si>
  <si>
    <r>
      <rPr>
        <sz val="10"/>
        <color theme="1"/>
        <rFont val="Calibri"/>
      </rPr>
      <t>DSR-2025- 39.21.2</t>
    </r>
  </si>
  <si>
    <r>
      <rPr>
        <sz val="10"/>
        <color theme="1"/>
        <rFont val="Calibri"/>
      </rPr>
      <t>12 Port LIU</t>
    </r>
  </si>
  <si>
    <r>
      <rPr>
        <sz val="10"/>
        <color theme="1"/>
        <rFont val="Calibri"/>
      </rPr>
      <t>Each</t>
    </r>
  </si>
  <si>
    <r>
      <rPr>
        <sz val="10"/>
        <color theme="1"/>
        <rFont val="Calibri"/>
      </rPr>
      <t>DSR-2025- 39.18</t>
    </r>
  </si>
  <si>
    <r>
      <rPr>
        <sz val="10"/>
        <color theme="1"/>
        <rFont val="Calibri"/>
      </rPr>
      <t>Supplying, drawing, Testing and commissioning of Cat6A UTP 4 pair, 23 AWG solid copper cable in existing conduit/ on surface, U/FTP, LSZH, Non- Plenum, Horizontal (solid) Cable suitable for high speed data networking application supporting upto 10Gbps over a 100 meter channel. The 4 Unshielded Twisted Pairs (UTP) cable with color coded insulation for easy indentification should have FLAME PROPERTIES i.e. Flammability Test - IEC 60332-1, Smoke Density - IEC 61034, LSZH standards compliance: ANSI/TIA-568 C.2, ISO/IEC 11801, IEEE 802.3an, RoHS. Delay Skew should be &lt; 45NS. The outer Cable Diameter should be 7.5 + 2 mm. Cable should have been tested and verified by UL/ ETL etc. complete as required</t>
    </r>
  </si>
  <si>
    <r>
      <rPr>
        <sz val="10"/>
        <color theme="1"/>
        <rFont val="Calibri"/>
      </rPr>
      <t>DSR-2025- 39.18.1</t>
    </r>
  </si>
  <si>
    <r>
      <rPr>
        <sz val="10"/>
        <color theme="1"/>
        <rFont val="Calibri"/>
      </rPr>
      <t>1 RUM of Cable</t>
    </r>
  </si>
  <si>
    <r>
      <rPr>
        <sz val="10"/>
        <color theme="1"/>
        <rFont val="Calibri"/>
      </rPr>
      <t>Meter</t>
    </r>
  </si>
  <si>
    <r>
      <rPr>
        <b/>
        <sz val="10"/>
        <color theme="1"/>
        <rFont val="Calibri"/>
      </rPr>
      <t>MR</t>
    </r>
  </si>
  <si>
    <r>
      <rPr>
        <b/>
        <sz val="10"/>
        <color theme="1"/>
        <rFont val="Calibri"/>
      </rPr>
      <t>SFP Module for Connectivy of Netwrok switches</t>
    </r>
  </si>
  <si>
    <r>
      <rPr>
        <sz val="10"/>
        <color theme="1"/>
        <rFont val="Calibri"/>
      </rPr>
      <t>SFP Module for Connectivy of Netwrok switches,Supply, installation, testing, and commissioning of SFP (Small Form-factor Pluggable) transceiver module suitable for Gigabit Ethernet network switch, supporting 1.25 Gbps data rate, with LC duplex connector, compatible with single-mode fiber, and providing transmission distance up to 10 km at 1310 nm wavelength, compliant with IEEE 802.3z and MSA standards, complete in all respects as required.</t>
    </r>
  </si>
  <si>
    <r>
      <rPr>
        <sz val="10"/>
        <color theme="1"/>
        <rFont val="Calibri"/>
      </rPr>
      <t>Nos.</t>
    </r>
  </si>
  <si>
    <r>
      <rPr>
        <sz val="10"/>
        <color theme="1"/>
        <rFont val="Calibri"/>
      </rPr>
      <t>DSR-2025- 39.16</t>
    </r>
  </si>
  <si>
    <r>
      <rPr>
        <sz val="10"/>
        <color theme="1"/>
        <rFont val="Calibri"/>
      </rPr>
      <t>Supplying, Installation, Testing and commissioning of RJ45 Connector for CAT 6A Cables. RJ45 modular plug  supports  4  twisted  pairs,  8  positions,  8 connectors. Housing: PC, UL94V-2, transparent color, Use for 24- 26 AWG stranded wires etc. complete as required.</t>
    </r>
  </si>
  <si>
    <r>
      <rPr>
        <sz val="10"/>
        <color theme="1"/>
        <rFont val="Calibri"/>
      </rPr>
      <t>Nos.</t>
    </r>
  </si>
  <si>
    <r>
      <rPr>
        <sz val="10"/>
        <color theme="1"/>
        <rFont val="Calibri"/>
      </rPr>
      <t>DSR-2025- 1.17</t>
    </r>
  </si>
  <si>
    <r>
      <rPr>
        <sz val="10"/>
        <color theme="1"/>
        <rFont val="Calibri"/>
      </rPr>
      <t>Supplying and drawing following sizes of FRLS/HFFR PVC insulated copper conductor, single core cable in the existing surface/ recessed steel/ PVC conduit as required.</t>
    </r>
  </si>
  <si>
    <r>
      <rPr>
        <sz val="10"/>
        <color theme="1"/>
        <rFont val="Calibri"/>
      </rPr>
      <t>DSR-2025- 1.17.3</t>
    </r>
  </si>
  <si>
    <r>
      <rPr>
        <sz val="10"/>
        <color theme="1"/>
        <rFont val="Calibri"/>
      </rPr>
      <t>3C x 1.5 sq. mm</t>
    </r>
  </si>
  <si>
    <r>
      <rPr>
        <sz val="10"/>
        <color theme="1"/>
        <rFont val="Calibri"/>
      </rPr>
      <t>Meter</t>
    </r>
  </si>
  <si>
    <r>
      <rPr>
        <sz val="10"/>
        <color theme="1"/>
        <rFont val="Calibri"/>
      </rPr>
      <t>DSR-2025- 39.13</t>
    </r>
  </si>
  <si>
    <r>
      <rPr>
        <sz val="10"/>
        <color theme="1"/>
        <rFont val="Calibri"/>
      </rPr>
      <t>Supplying, Installation, Testing and commissioning of following CAT6A Patch Cord should have ETL/UL verification program certificate for compliance with ANSI/TIA-568.2-D etc. complete as required</t>
    </r>
  </si>
  <si>
    <r>
      <rPr>
        <sz val="10"/>
        <color theme="1"/>
        <rFont val="Calibri"/>
      </rPr>
      <t>DSR-2025- 39.13.1</t>
    </r>
  </si>
  <si>
    <r>
      <rPr>
        <sz val="10"/>
        <color theme="1"/>
        <rFont val="Calibri"/>
      </rPr>
      <t>Copper Patch Cords of length 1m (3ft)</t>
    </r>
  </si>
  <si>
    <r>
      <rPr>
        <sz val="10"/>
        <color theme="1"/>
        <rFont val="Calibri"/>
      </rPr>
      <t>Each</t>
    </r>
  </si>
  <si>
    <r>
      <rPr>
        <sz val="10"/>
        <color theme="1"/>
        <rFont val="Calibri"/>
      </rPr>
      <t>DSR-2025- 1.2</t>
    </r>
  </si>
  <si>
    <r>
      <rPr>
        <sz val="10"/>
        <color theme="1"/>
        <rFont val="Calibri"/>
      </rPr>
      <t>Supplying and fixing of following sizes of steel conduit along with accessories in surface/recess including painting in case of surface conduit, or cutting the wall and making good the same in case of recessed conduit as required.</t>
    </r>
  </si>
  <si>
    <r>
      <rPr>
        <sz val="10"/>
        <color theme="1"/>
        <rFont val="Calibri"/>
      </rPr>
      <t>DSR-2025- 1.20.2</t>
    </r>
  </si>
  <si>
    <r>
      <rPr>
        <sz val="10"/>
        <color theme="1"/>
        <rFont val="Calibri"/>
      </rPr>
      <t>25mm</t>
    </r>
  </si>
  <si>
    <r>
      <rPr>
        <sz val="10"/>
        <color theme="1"/>
        <rFont val="Calibri"/>
      </rPr>
      <t>Nos.</t>
    </r>
  </si>
  <si>
    <r>
      <rPr>
        <sz val="10"/>
        <color theme="1"/>
        <rFont val="Calibri"/>
      </rPr>
      <t>MR</t>
    </r>
  </si>
  <si>
    <r>
      <rPr>
        <sz val="10"/>
        <color theme="1"/>
        <rFont val="Calibri"/>
      </rPr>
      <t>Heavy Duty PVC Box for Cameras</t>
    </r>
  </si>
  <si>
    <r>
      <rPr>
        <sz val="10"/>
        <color theme="1"/>
        <rFont val="Calibri"/>
      </rPr>
      <t>Nos</t>
    </r>
  </si>
  <si>
    <r>
      <rPr>
        <sz val="10"/>
        <color theme="1"/>
        <rFont val="Calibri"/>
      </rPr>
      <t>DSR-2025- 42.2</t>
    </r>
  </si>
  <si>
    <r>
      <rPr>
        <sz val="10"/>
        <color rgb="FF000000"/>
        <rFont val="Calibri"/>
      </rPr>
      <t xml:space="preserve">PC System
</t>
    </r>
    <r>
      <rPr>
        <sz val="10"/>
        <color rgb="FF000000"/>
        <rFont val="Calibri"/>
      </rPr>
      <t>Supplying Installation Testing Commissioning of Client PC System comprising of PC Hardware with minimum11th Gen Intel® I7 processor CPU E5-2640x64 (or better), compatible with dual and quad core processors minimum 3.1 Ghz and 8GB or higher RAM, Hard Drive Space of 256 GB SSD or better, Video card and monitor capable of 1920 x 1080 pixel resolution or better with Ethernet adapter (10/100/1000 Mbps with RJ-45 connector) with 2 GB or higher Graphics card suitable complete etc. as required.</t>
    </r>
  </si>
  <si>
    <r>
      <rPr>
        <sz val="10"/>
        <color theme="1"/>
        <rFont val="Calibri"/>
      </rPr>
      <t>Nos.</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</si>
  <si>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</si>
  <si>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</si>
  <si>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rgb="FF000000"/>
        <rFont val="Calibri"/>
      </rPr>
      <t xml:space="preserve">SUB HEAD
</t>
    </r>
    <r>
      <rPr>
        <b/>
        <sz val="10"/>
        <color rgb="FF000000"/>
        <rFont val="Calibri"/>
      </rPr>
      <t>N</t>
    </r>
  </si>
  <si>
    <r>
      <rPr>
        <b/>
        <sz val="10"/>
        <color theme="1"/>
        <rFont val="Calibri"/>
      </rPr>
      <t>ADDRESSABLE WATER LEAK DETECTION SYSTEM</t>
    </r>
  </si>
  <si>
    <r>
      <rPr>
        <b/>
        <sz val="10"/>
        <color rgb="FF000000"/>
        <rFont val="Calibri"/>
      </rPr>
      <t xml:space="preserve">Design, Supply, installation, testing &amp; commissioning of following Water Leak Detection System:
</t>
    </r>
    <r>
      <rPr>
        <b/>
        <sz val="10"/>
        <color rgb="FF000000"/>
        <rFont val="Calibri"/>
      </rPr>
      <t xml:space="preserve">for Server Room, UPS Room, Battery Room, HUB Rooms (1 No. per floor), Electrical
</t>
    </r>
    <r>
      <rPr>
        <b/>
        <sz val="10"/>
        <color rgb="FF000000"/>
        <rFont val="Calibri"/>
      </rPr>
      <t>rooms (2 Nos. per floor)</t>
    </r>
  </si>
  <si>
    <r>
      <rPr>
        <sz val="10"/>
        <color theme="1"/>
        <rFont val="Calibri"/>
      </rPr>
      <t>MR</t>
    </r>
  </si>
  <si>
    <r>
      <rPr>
        <b/>
        <sz val="10"/>
        <color theme="1"/>
        <rFont val="Calibri"/>
      </rPr>
      <t>Addressable Main Water Leak Detection Panel with 10.1inch Touch Screen display</t>
    </r>
  </si>
  <si>
    <r>
      <rPr>
        <sz val="10"/>
        <color rgb="FF000000"/>
        <rFont val="Calibri"/>
      </rPr>
      <t xml:space="preserve">Addressable Main Water Leak Detection Panel with </t>
    </r>
    <r>
      <rPr>
        <b/>
        <sz val="10"/>
        <color rgb="FF000000"/>
        <rFont val="Calibri"/>
      </rPr>
      <t xml:space="preserve">10.1inch Touch Screen display </t>
    </r>
    <r>
      <rPr>
        <sz val="10"/>
        <color rgb="FF000000"/>
        <rFont val="Calibri"/>
      </rPr>
      <t>networkable on RS 485 with Water Leak Detection Modules. It will  give point of leak distance in Meters and cable fault conditions of each networked modules. It shall have event log with date and time.It shall also have Modbus/Bacnet  output for BMS monitoring with 230 VAC input. Main Panel to be enclosed in NEMA 4X enclosure.</t>
    </r>
  </si>
  <si>
    <r>
      <rPr>
        <sz val="10"/>
        <color theme="1"/>
        <rFont val="Calibri"/>
      </rPr>
      <t>Set</t>
    </r>
  </si>
  <si>
    <r>
      <rPr>
        <sz val="10"/>
        <color theme="1"/>
        <rFont val="Calibri"/>
      </rPr>
      <t>MR</t>
    </r>
  </si>
  <si>
    <r>
      <rPr>
        <b/>
        <sz val="10"/>
        <color theme="1"/>
        <rFont val="Calibri"/>
      </rPr>
      <t>4 Wire Quick Dry Addressable Type Water Leak Sensing Cable</t>
    </r>
  </si>
  <si>
    <r>
      <rPr>
        <sz val="10"/>
        <color rgb="FF000000"/>
        <rFont val="Calibri"/>
      </rPr>
      <t>4 Wire Quick Dry Addressable Type Water Leak Sensing Cable.Water leak sensing cable shall be twisted, mechanically strong, resistant to corrosion and abrasion. The cable shall be  constructed with two sensing wires, an alarm signaling wire and a continuity wire.</t>
    </r>
    <r>
      <rPr>
        <b/>
        <sz val="10"/>
        <color rgb="FF000000"/>
        <rFont val="Calibri"/>
      </rPr>
      <t>The Sensing Cable shall have over braided Synthetic Robe Jacket to avoid false alarms in case of metal touching the sensing cable.</t>
    </r>
    <r>
      <rPr>
        <sz val="10"/>
        <color rgb="FF000000"/>
        <rFont val="Calibri"/>
      </rPr>
      <t>The Sensing cable should be made from flouro polymer with minimum diameter of 6.5mm.</t>
    </r>
  </si>
  <si>
    <r>
      <rPr>
        <sz val="10"/>
        <color theme="1"/>
        <rFont val="Calibri"/>
      </rPr>
      <t>Mtrs.</t>
    </r>
  </si>
  <si>
    <r>
      <rPr>
        <sz val="10"/>
        <color theme="1"/>
        <rFont val="Calibri"/>
      </rPr>
      <t>MR</t>
    </r>
  </si>
  <si>
    <r>
      <rPr>
        <b/>
        <sz val="10"/>
        <color theme="1"/>
        <rFont val="Calibri"/>
      </rPr>
      <t>Sensor Interface Module ( SIM ), with LCD display</t>
    </r>
  </si>
  <si>
    <r>
      <rPr>
        <sz val="10"/>
        <color rgb="FF000000"/>
        <rFont val="Calibri"/>
      </rPr>
      <t xml:space="preserve">Sensor Interface Module ( SIM ), with LCD display showing point of leak in meters and cable fault condition. It shall have capability to extend one sounder output and connect upto 150 mts of sensing Cable with 32 such Modules connectivity to the Main Panel. </t>
    </r>
    <r>
      <rPr>
        <b/>
        <sz val="10"/>
        <color rgb="FF000000"/>
        <rFont val="Calibri"/>
      </rPr>
      <t xml:space="preserve">It shall have fail safe loop back system wherein if there is a cable break.the sensing cable which is still in connection with interface module. shall continue to detect leak ( if any ) . This fail safe loop back . system ( Class A wiring ) shall be incorporated as necessity to enhance. the system capability and redundancy. </t>
    </r>
    <r>
      <rPr>
        <sz val="10"/>
        <color rgb="FF000000"/>
        <rFont val="Calibri"/>
      </rPr>
      <t>SIM  Module to be enclosed in NEMA 4X enclosure.</t>
    </r>
  </si>
  <si>
    <r>
      <rPr>
        <sz val="10"/>
        <color theme="1"/>
        <rFont val="Calibri"/>
      </rPr>
      <t>Nos.</t>
    </r>
  </si>
  <si>
    <r>
      <rPr>
        <sz val="10"/>
        <color theme="1"/>
        <rFont val="Calibri"/>
      </rPr>
      <t>MR</t>
    </r>
  </si>
  <si>
    <r>
      <rPr>
        <sz val="10"/>
        <color theme="1"/>
        <rFont val="Calibri"/>
      </rPr>
      <t>Leader cable 3mtrs.</t>
    </r>
  </si>
  <si>
    <r>
      <rPr>
        <sz val="10"/>
        <color theme="1"/>
        <rFont val="Calibri"/>
      </rPr>
      <t>Nos.</t>
    </r>
  </si>
  <si>
    <r>
      <rPr>
        <sz val="10"/>
        <color theme="1"/>
        <rFont val="Calibri"/>
      </rPr>
      <t>MR</t>
    </r>
  </si>
  <si>
    <r>
      <rPr>
        <sz val="10"/>
        <color theme="1"/>
        <rFont val="Calibri"/>
      </rPr>
      <t>Cable Securing Clip with Tie Fixing Base (recommended to secure cable very 3-4 ft) (Qty.50 in 1 pack)</t>
    </r>
  </si>
  <si>
    <r>
      <rPr>
        <sz val="10"/>
        <color theme="1"/>
        <rFont val="Calibri"/>
      </rPr>
      <t>Nos.</t>
    </r>
  </si>
  <si>
    <r>
      <rPr>
        <sz val="10"/>
        <color theme="1"/>
        <rFont val="Calibri"/>
      </rPr>
      <t>MR</t>
    </r>
  </si>
  <si>
    <r>
      <rPr>
        <sz val="10"/>
        <color theme="1"/>
        <rFont val="Calibri"/>
      </rPr>
      <t>High-visibility Yellow Tags to identify sensing cable and record mapped distance- bag of 50</t>
    </r>
  </si>
  <si>
    <r>
      <rPr>
        <sz val="10"/>
        <color theme="1"/>
        <rFont val="Calibri"/>
      </rPr>
      <t>Sets</t>
    </r>
  </si>
  <si>
    <r>
      <rPr>
        <sz val="10"/>
        <color theme="1"/>
        <rFont val="Calibri"/>
      </rPr>
      <t>MR</t>
    </r>
  </si>
  <si>
    <r>
      <rPr>
        <sz val="10"/>
        <color theme="1"/>
        <rFont val="Calibri"/>
      </rPr>
      <t>Belden Jumper cable for connecting two digital sensing cables or between control panel &amp; sensing cable</t>
    </r>
  </si>
  <si>
    <r>
      <rPr>
        <sz val="10"/>
        <color theme="1"/>
        <rFont val="Calibri"/>
      </rPr>
      <t>Sets</t>
    </r>
  </si>
  <si>
    <r>
      <rPr>
        <sz val="10"/>
        <color theme="1"/>
        <rFont val="Calibri"/>
      </rPr>
      <t>MR</t>
    </r>
  </si>
  <si>
    <r>
      <rPr>
        <sz val="10"/>
        <color theme="1"/>
        <rFont val="Calibri"/>
      </rPr>
      <t>End Termination Plugs for terminating each circuit of sensing cable</t>
    </r>
  </si>
  <si>
    <r>
      <rPr>
        <sz val="10"/>
        <color theme="1"/>
        <rFont val="Calibri"/>
      </rPr>
      <t>Sets</t>
    </r>
  </si>
  <si>
    <r>
      <rPr>
        <sz val="10"/>
        <color theme="1"/>
        <rFont val="Calibri"/>
      </rPr>
      <t>MR</t>
    </r>
  </si>
  <si>
    <r>
      <rPr>
        <sz val="10"/>
        <color theme="1"/>
        <rFont val="Calibri"/>
      </rPr>
      <t>Hooter with strobe</t>
    </r>
  </si>
  <si>
    <r>
      <rPr>
        <sz val="10"/>
        <color theme="1"/>
        <rFont val="Calibri"/>
      </rPr>
      <t>Sets</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</si>
  <si>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</si>
  <si>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</si>
  <si>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SUB HEAD O</t>
    </r>
  </si>
  <si>
    <r>
      <rPr>
        <b/>
        <sz val="10"/>
        <color theme="1"/>
        <rFont val="Calibri"/>
      </rPr>
      <t>ADDRESSABLE DIGITAL  RODENT REPELLENT SYSTEM</t>
    </r>
  </si>
  <si>
    <r>
      <rPr>
        <sz val="10"/>
        <color theme="1"/>
        <rFont val="Calibri"/>
      </rPr>
      <t>DESIGN, SUPPLY, INSTALLATION,TESTING &amp; COMMISSIONING OF ADDRESSABLE DIGITAL RODENT REPELLENT SYSTEM</t>
    </r>
  </si>
  <si>
    <r>
      <rPr>
        <sz val="10"/>
        <color theme="1"/>
        <rFont val="Calibri"/>
      </rPr>
      <t>for Office floors, All Shafts, Technical rooms i.e. UPS, Battery, Server &amp; Hub Rooms</t>
    </r>
  </si>
  <si>
    <r>
      <rPr>
        <sz val="10"/>
        <color theme="1"/>
        <rFont val="Calibri"/>
      </rPr>
      <t>MR</t>
    </r>
  </si>
  <si>
    <r>
      <rPr>
        <sz val="10"/>
        <color rgb="FF000000"/>
        <rFont val="Calibri"/>
      </rPr>
      <t xml:space="preserve">SITC of Microprocessor based Master Controller with </t>
    </r>
    <r>
      <rPr>
        <b/>
        <sz val="10"/>
        <color rgb="FF000000"/>
        <rFont val="Calibri"/>
      </rPr>
      <t xml:space="preserve">128X64 Graphic LCD DISPLAY </t>
    </r>
    <r>
      <rPr>
        <sz val="10"/>
        <color rgb="FF000000"/>
        <rFont val="Calibri"/>
      </rPr>
      <t xml:space="preserve">capable of operating in  </t>
    </r>
    <r>
      <rPr>
        <b/>
        <sz val="10"/>
        <color rgb="FF000000"/>
        <rFont val="Calibri"/>
      </rPr>
      <t>5 ultrasonic frequency band spectrums</t>
    </r>
    <r>
      <rPr>
        <sz val="10"/>
        <color rgb="FF000000"/>
        <rFont val="Calibri"/>
      </rPr>
      <t xml:space="preserve">. The LCD should </t>
    </r>
    <r>
      <rPr>
        <b/>
        <sz val="10"/>
        <color rgb="FF000000"/>
        <rFont val="Calibri"/>
      </rPr>
      <t xml:space="preserve">display oscillation between these freqency bands in a graphical format. </t>
    </r>
    <r>
      <rPr>
        <sz val="10"/>
        <color rgb="FF000000"/>
        <rFont val="Calibri"/>
      </rPr>
      <t xml:space="preserve">The controller should also support upto 20 transducers @ minimum 500 sq.ft each and networkable on RS 485 having facility to support Hardwired </t>
    </r>
    <r>
      <rPr>
        <b/>
        <sz val="10"/>
        <color rgb="FF000000"/>
        <rFont val="Calibri"/>
      </rPr>
      <t xml:space="preserve">Third Party BMS integration via Modbus </t>
    </r>
    <r>
      <rPr>
        <sz val="10"/>
        <color rgb="FF000000"/>
        <rFont val="Calibri"/>
      </rPr>
      <t xml:space="preserve">&amp; </t>
    </r>
    <r>
      <rPr>
        <b/>
        <sz val="10"/>
        <color rgb="FF000000"/>
        <rFont val="Calibri"/>
      </rPr>
      <t>potential free NO-NC contacts.</t>
    </r>
    <r>
      <rPr>
        <sz val="10"/>
        <color rgb="FF000000"/>
        <rFont val="Calibri"/>
      </rPr>
      <t>And, also Ultrasound output verification with the help of software capable of documenting the same via a pdf report.</t>
    </r>
  </si>
  <si>
    <r>
      <rPr>
        <sz val="10"/>
        <color theme="1"/>
        <rFont val="Calibri"/>
      </rPr>
      <t>Nos.</t>
    </r>
  </si>
  <si>
    <r>
      <rPr>
        <sz val="10"/>
        <color theme="1"/>
        <rFont val="Calibri"/>
      </rPr>
      <t>MR</t>
    </r>
  </si>
  <si>
    <r>
      <rPr>
        <sz val="10"/>
        <color rgb="FF000000"/>
        <rFont val="Calibri"/>
      </rPr>
      <t xml:space="preserve">Each transducer should cover an area upto 500 sq.ft in all voids. </t>
    </r>
    <r>
      <rPr>
        <b/>
        <sz val="10"/>
        <color rgb="FF000000"/>
        <rFont val="Calibri"/>
      </rPr>
      <t>No Looping permitted.</t>
    </r>
  </si>
  <si>
    <r>
      <rPr>
        <sz val="10"/>
        <color theme="1"/>
        <rFont val="Calibri"/>
      </rPr>
      <t>Nos.</t>
    </r>
  </si>
  <si>
    <r>
      <rPr>
        <sz val="10"/>
        <color theme="1"/>
        <rFont val="Calibri"/>
      </rPr>
      <t>MR</t>
    </r>
  </si>
  <si>
    <r>
      <rPr>
        <sz val="10"/>
        <color rgb="FF000000"/>
        <rFont val="Calibri"/>
      </rPr>
      <t xml:space="preserve">Supply, installation, Testing, Commissioning &amp; Verification Kit comprising  of Ultrasound Wave Analyzer (Software and Hardware) that can do the following:
</t>
    </r>
    <r>
      <rPr>
        <sz val="10"/>
        <color rgb="FF000000"/>
        <rFont val="Calibri"/>
      </rPr>
      <t xml:space="preserve">a. Capture,Record and Report (in pdf format) One Third Octave Ultrasound Band Frequencies emitted from the transducers thereby ensuring HUMAN SAFETY as per IRPA (International Radiation Protection Association, Geneva) Guidelines.
</t>
    </r>
    <r>
      <rPr>
        <sz val="10"/>
        <color rgb="FF000000"/>
        <rFont val="Calibri"/>
      </rPr>
      <t>b. Capture,Record and Report (in pdf format) ultrasound output from each transducer depicting individual frequency peaks along with corresponding sound pressure levels, current operating band and the Controller Name for verifying the product.</t>
    </r>
  </si>
  <si>
    <r>
      <rPr>
        <sz val="10"/>
        <color theme="1"/>
        <rFont val="Calibri"/>
      </rPr>
      <t>Nos.</t>
    </r>
  </si>
  <si>
    <r>
      <rPr>
        <sz val="10"/>
        <color theme="1"/>
        <rFont val="Calibri"/>
      </rPr>
      <t>MR</t>
    </r>
  </si>
  <si>
    <r>
      <rPr>
        <b/>
        <sz val="10"/>
        <color rgb="FF000000"/>
        <rFont val="Calibri"/>
      </rPr>
      <t xml:space="preserve">SITC of GUI Software capable of supporting:
</t>
    </r>
    <r>
      <rPr>
        <sz val="10"/>
        <color rgb="FF000000"/>
        <rFont val="Calibri"/>
      </rPr>
      <t xml:space="preserve">• </t>
    </r>
    <r>
      <rPr>
        <b/>
        <sz val="10"/>
        <color rgb="FF000000"/>
        <rFont val="Calibri"/>
      </rPr>
      <t xml:space="preserve">Real Time Graphical Representation of the ultrasonic frequency band spectrum depicting the frequency oscillations within the current band.
</t>
    </r>
    <r>
      <rPr>
        <sz val="10"/>
        <color rgb="FF000000"/>
        <rFont val="Calibri"/>
      </rPr>
      <t xml:space="preserve">• </t>
    </r>
    <r>
      <rPr>
        <b/>
        <sz val="10"/>
        <color rgb="FF000000"/>
        <rFont val="Calibri"/>
      </rPr>
      <t xml:space="preserve">Facility to generate a consolidated pdf summary report of all controllers or detailed pdf report of  individual controller in real time or in a pre defined schedule.
</t>
    </r>
    <r>
      <rPr>
        <sz val="10"/>
        <color rgb="FF000000"/>
        <rFont val="Calibri"/>
      </rPr>
      <t xml:space="preserve">• Parameter Configuration of the controller.
</t>
    </r>
    <r>
      <rPr>
        <sz val="10"/>
        <color rgb="FF000000"/>
        <rFont val="Calibri"/>
      </rPr>
      <t>• PCB view of each controller.</t>
    </r>
  </si>
  <si>
    <r>
      <rPr>
        <sz val="10"/>
        <color theme="1"/>
        <rFont val="Calibri"/>
      </rPr>
      <t>Nos.</t>
    </r>
  </si>
  <si>
    <r>
      <rPr>
        <sz val="10"/>
        <color theme="1"/>
        <rFont val="Calibri"/>
      </rPr>
      <t>MR</t>
    </r>
  </si>
  <si>
    <r>
      <rPr>
        <sz val="10"/>
        <color theme="1"/>
        <rFont val="Calibri"/>
      </rPr>
      <t>2C x 14/40 SWG Copper Cable of 0.5 sq.mm-275 Mtrs Roll (will be billed as per actual)</t>
    </r>
  </si>
  <si>
    <r>
      <rPr>
        <sz val="10"/>
        <color theme="1"/>
        <rFont val="Calibri"/>
      </rPr>
      <t>Nos.</t>
    </r>
  </si>
  <si>
    <r>
      <rPr>
        <sz val="10"/>
        <color theme="1"/>
        <rFont val="Calibri"/>
      </rPr>
      <t>MR</t>
    </r>
  </si>
  <si>
    <r>
      <rPr>
        <sz val="10"/>
        <color theme="1"/>
        <rFont val="Calibri"/>
      </rPr>
      <t>Powder Coated MS Bracket</t>
    </r>
  </si>
  <si>
    <r>
      <rPr>
        <sz val="10"/>
        <color theme="1"/>
        <rFont val="Calibri"/>
      </rPr>
      <t>Nos.</t>
    </r>
  </si>
  <si>
    <r>
      <rPr>
        <sz val="10"/>
        <color theme="1"/>
        <rFont val="Calibri"/>
      </rPr>
      <t>Supplying and fixing of following sizes of steel conduit along with accessories in surface/recess including painting in case of surface conduit, or cutting the wall and making good the same in case of recessed conduit as required.</t>
    </r>
  </si>
  <si>
    <r>
      <rPr>
        <sz val="10"/>
        <color theme="1"/>
        <rFont val="Calibri"/>
      </rPr>
      <t>1.20.2</t>
    </r>
  </si>
  <si>
    <r>
      <rPr>
        <sz val="10"/>
        <color theme="1"/>
        <rFont val="Calibri"/>
      </rPr>
      <t>25mm</t>
    </r>
  </si>
  <si>
    <r>
      <rPr>
        <sz val="10"/>
        <color theme="1"/>
        <rFont val="Calibri"/>
      </rPr>
      <t>RM</t>
    </r>
  </si>
  <si>
    <r>
      <rPr>
        <sz val="10"/>
        <color theme="1"/>
        <rFont val="Calibri"/>
      </rPr>
      <t>MR</t>
    </r>
  </si>
  <si>
    <r>
      <rPr>
        <sz val="10"/>
        <color theme="1"/>
        <rFont val="Calibri"/>
      </rPr>
      <t>Supplying and drawing following sizes of FRLS/HFFR PVC insulated copper conductor, single core cable in the existing surface/ recessed steel/ PVC conduit as required.</t>
    </r>
  </si>
  <si>
    <r>
      <rPr>
        <sz val="10"/>
        <color theme="1"/>
        <rFont val="Calibri"/>
      </rPr>
      <t>MR</t>
    </r>
  </si>
  <si>
    <r>
      <rPr>
        <sz val="10"/>
        <color theme="1"/>
        <rFont val="Calibri"/>
      </rPr>
      <t>3C x 1.5 sq. mm</t>
    </r>
  </si>
  <si>
    <r>
      <rPr>
        <sz val="10"/>
        <color theme="1"/>
        <rFont val="Calibri"/>
      </rPr>
      <t>Meter</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</si>
  <si>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</si>
  <si>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</si>
  <si>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SUB HEAD P</t>
    </r>
  </si>
  <si>
    <r>
      <rPr>
        <b/>
        <sz val="10"/>
        <color theme="1"/>
        <rFont val="Calibri"/>
      </rPr>
      <t>EMERGENCY LIGHTING SYSTEMS - WITH CENTRAL BATTERY SYSTEM</t>
    </r>
  </si>
  <si>
    <r>
      <rPr>
        <b/>
        <sz val="10"/>
        <color theme="1"/>
        <rFont val="Calibri"/>
      </rPr>
      <t>Design, Supply, installation, testing &amp; commissioning of following Energency Lighting System with Central Battery System:</t>
    </r>
  </si>
  <si>
    <r>
      <rPr>
        <sz val="10"/>
        <color theme="1"/>
        <rFont val="Calibri"/>
      </rPr>
      <t>MR</t>
    </r>
  </si>
  <si>
    <r>
      <rPr>
        <b/>
        <sz val="10"/>
        <color theme="1"/>
        <rFont val="Calibri"/>
      </rPr>
      <t>EMERGENCY LUMINAIRES</t>
    </r>
  </si>
  <si>
    <r>
      <rPr>
        <sz val="10"/>
        <color theme="1"/>
        <rFont val="Calibri"/>
      </rPr>
      <t>MR</t>
    </r>
  </si>
  <si>
    <r>
      <rPr>
        <sz val="10"/>
        <color rgb="FF000000"/>
        <rFont val="Calibri"/>
      </rPr>
      <t xml:space="preserve">Fully recessed LED luminaire - suitable for Offices/ Corridor addressable emergency luminaires as per specification:
</t>
    </r>
    <r>
      <rPr>
        <sz val="10"/>
        <color rgb="FF000000"/>
        <rFont val="Calibri"/>
      </rPr>
      <t xml:space="preserve">• Recessed Mounted luminaire with metal body
</t>
    </r>
    <r>
      <rPr>
        <sz val="10"/>
        <color rgb="FF000000"/>
        <rFont val="Calibri"/>
      </rPr>
      <t xml:space="preserve">• Lux level below light should be 45 lux and 15 lux average along evacuation path @ 3 meter
</t>
    </r>
    <r>
      <rPr>
        <sz val="10"/>
        <color rgb="FF000000"/>
        <rFont val="Calibri"/>
      </rPr>
      <t xml:space="preserve">mounting height
</t>
    </r>
    <r>
      <rPr>
        <sz val="10"/>
        <color rgb="FF000000"/>
        <rFont val="Calibri"/>
      </rPr>
      <t xml:space="preserve">• Ingress protection IP20
</t>
    </r>
    <r>
      <rPr>
        <sz val="10"/>
        <color rgb="FF000000"/>
        <rFont val="Calibri"/>
      </rPr>
      <t xml:space="preserve">• Supply Voltage 220-240 V, 50/60 Hz AC, DC
</t>
    </r>
    <r>
      <rPr>
        <sz val="10"/>
        <color rgb="FF000000"/>
        <rFont val="Calibri"/>
      </rPr>
      <t xml:space="preserve">• Fully compliant with requirements of the fire and safety code of practice &amp; the respective EN 60598-2-22 and the system designed in compliance with EN50171, EN50272-2, EN50172, and EN1838 standards
</t>
    </r>
    <r>
      <rPr>
        <sz val="10"/>
        <color rgb="FF000000"/>
        <rFont val="Calibri"/>
      </rPr>
      <t>• With Backup for 90 Minutes operation via Central Battery System.</t>
    </r>
  </si>
  <si>
    <r>
      <rPr>
        <sz val="10"/>
        <color theme="1"/>
        <rFont val="Calibri"/>
      </rPr>
      <t>Nos.</t>
    </r>
  </si>
  <si>
    <r>
      <rPr>
        <sz val="10"/>
        <color theme="1"/>
        <rFont val="Calibri"/>
      </rPr>
      <t>MR</t>
    </r>
  </si>
  <si>
    <r>
      <rPr>
        <sz val="10"/>
        <color rgb="FF000000"/>
        <rFont val="Calibri"/>
      </rPr>
      <t xml:space="preserve">Surface Mount LED luminaire - suitable for AHU Rooms/ Electrical Rooms luminaires as per specification:
</t>
    </r>
    <r>
      <rPr>
        <sz val="10"/>
        <color rgb="FF000000"/>
        <rFont val="Calibri"/>
      </rPr>
      <t xml:space="preserve">• Wall / Ceiling and Surface mount - 20 W Batten Light
</t>
    </r>
    <r>
      <rPr>
        <sz val="10"/>
        <color rgb="FF000000"/>
        <rFont val="Calibri"/>
      </rPr>
      <t xml:space="preserve">• Ingress protection IP65
</t>
    </r>
    <r>
      <rPr>
        <sz val="10"/>
        <color rgb="FF000000"/>
        <rFont val="Calibri"/>
      </rPr>
      <t xml:space="preserve">• Polycarbonate body and diffuser
</t>
    </r>
    <r>
      <rPr>
        <sz val="10"/>
        <color rgb="FF000000"/>
        <rFont val="Calibri"/>
      </rPr>
      <t xml:space="preserve">• Supply Voltage 220V/ 240V AC/DC
</t>
    </r>
    <r>
      <rPr>
        <sz val="10"/>
        <color rgb="FF000000"/>
        <rFont val="Calibri"/>
      </rPr>
      <t xml:space="preserve">• Fully compliant with requirements of the fire and safety code of practice &amp; the respective NBC
</t>
    </r>
    <r>
      <rPr>
        <sz val="10"/>
        <color rgb="FF000000"/>
        <rFont val="Calibri"/>
      </rPr>
      <t xml:space="preserve">2016 standards
</t>
    </r>
    <r>
      <rPr>
        <sz val="10"/>
        <color rgb="FF000000"/>
        <rFont val="Calibri"/>
      </rPr>
      <t>• With Backup for 90 Minutes operation via Central Battery System</t>
    </r>
  </si>
  <si>
    <r>
      <rPr>
        <sz val="10"/>
        <color theme="1"/>
        <rFont val="Calibri"/>
      </rPr>
      <t>Nos.</t>
    </r>
  </si>
  <si>
    <r>
      <rPr>
        <sz val="10"/>
        <color theme="1"/>
        <rFont val="Calibri"/>
      </rPr>
      <t>MR</t>
    </r>
  </si>
  <si>
    <r>
      <rPr>
        <b/>
        <sz val="10"/>
        <color rgb="FF000000"/>
        <rFont val="Calibri"/>
      </rPr>
      <t xml:space="preserve">ADDRESS MODULE for converting THIRD PARTY LIGHT FITTING to EMERGENCY LIGHT
</t>
    </r>
    <r>
      <rPr>
        <b/>
        <sz val="10"/>
        <color rgb="FF000000"/>
        <rFont val="Calibri"/>
      </rPr>
      <t xml:space="preserve">of upto 60VA for Small Rooms / Cabins:
</t>
    </r>
    <r>
      <rPr>
        <sz val="10"/>
        <color rgb="FF000000"/>
        <rFont val="Calibri"/>
      </rPr>
      <t xml:space="preserve">* The address modules should comply to EN 61347-2-11:2001 in conjunction with EN 61347- 1:2001.
</t>
    </r>
    <r>
      <rPr>
        <sz val="10"/>
        <color rgb="FF000000"/>
        <rFont val="Calibri"/>
      </rPr>
      <t xml:space="preserve">* The luminaries must be fitted with electronic ballast/ drivers with the following features:
</t>
    </r>
    <r>
      <rPr>
        <sz val="10"/>
        <color rgb="FF000000"/>
        <rFont val="Calibri"/>
      </rPr>
      <t xml:space="preserve">* It must be able to operate with both AC and DC voltage.
</t>
    </r>
    <r>
      <rPr>
        <sz val="10"/>
        <color rgb="FF000000"/>
        <rFont val="Calibri"/>
      </rPr>
      <t xml:space="preserve">* It must shut itself off in an event of a lamp failure, input current in shut off mode must be less than 10mA
</t>
    </r>
    <r>
      <rPr>
        <sz val="10"/>
        <color rgb="FF000000"/>
        <rFont val="Calibri"/>
      </rPr>
      <t xml:space="preserve">* It must have Constant power output high frequency electronic control gear/ transformer.
</t>
    </r>
    <r>
      <rPr>
        <sz val="10"/>
        <color rgb="FF000000"/>
        <rFont val="Calibri"/>
      </rPr>
      <t>* The electronic ballast/ driver should be ‘CE’ marked and should comply to EN 60925.</t>
    </r>
  </si>
  <si>
    <r>
      <rPr>
        <sz val="10"/>
        <color theme="1"/>
        <rFont val="Calibri"/>
      </rPr>
      <t>Nos.</t>
    </r>
  </si>
  <si>
    <r>
      <rPr>
        <sz val="10"/>
        <color theme="1"/>
        <rFont val="Calibri"/>
      </rPr>
      <t>MR</t>
    </r>
  </si>
  <si>
    <r>
      <rPr>
        <b/>
        <sz val="10"/>
        <color rgb="FF000000"/>
        <rFont val="Calibri"/>
      </rPr>
      <t xml:space="preserve">ADDRESS MODULE for converting THIRD PARTY LIGHT FITTING to EMERGENCY LIGHT
</t>
    </r>
    <r>
      <rPr>
        <b/>
        <sz val="10"/>
        <color rgb="FF000000"/>
        <rFont val="Calibri"/>
      </rPr>
      <t xml:space="preserve">of upto 60VA for Toilet areas:
</t>
    </r>
    <r>
      <rPr>
        <sz val="10"/>
        <color rgb="FF000000"/>
        <rFont val="Calibri"/>
      </rPr>
      <t xml:space="preserve">* The address modules should comply to EN 61347-2-11:2001 in conjunction with EN 61347- 1:2001.
</t>
    </r>
    <r>
      <rPr>
        <sz val="10"/>
        <color rgb="FF000000"/>
        <rFont val="Calibri"/>
      </rPr>
      <t xml:space="preserve">* The luminaries must be fitted with electronic ballast/ drivers with the following features:
</t>
    </r>
    <r>
      <rPr>
        <sz val="10"/>
        <color rgb="FF000000"/>
        <rFont val="Calibri"/>
      </rPr>
      <t xml:space="preserve">* It must be able to operate with both AC and DC voltage.
</t>
    </r>
    <r>
      <rPr>
        <sz val="10"/>
        <color rgb="FF000000"/>
        <rFont val="Calibri"/>
      </rPr>
      <t xml:space="preserve">* It must shut itself off in an event of a lamp failure, input current in shut off mode must be less than 10mA
</t>
    </r>
    <r>
      <rPr>
        <sz val="10"/>
        <color rgb="FF000000"/>
        <rFont val="Calibri"/>
      </rPr>
      <t xml:space="preserve">* It must have Constant power output high frequency electronic control gear/ transformer.
</t>
    </r>
    <r>
      <rPr>
        <sz val="10"/>
        <color rgb="FF000000"/>
        <rFont val="Calibri"/>
      </rPr>
      <t>* The electronic ballast/ driver should be ‘CE’ marked and should comply to EN 60925.</t>
    </r>
  </si>
  <si>
    <r>
      <rPr>
        <sz val="10"/>
        <color theme="1"/>
        <rFont val="Calibri"/>
      </rPr>
      <t>Nos.</t>
    </r>
  </si>
  <si>
    <r>
      <rPr>
        <b/>
        <sz val="10"/>
        <color theme="1"/>
        <rFont val="Calibri"/>
      </rPr>
      <t>EXIT LUMINAIRES</t>
    </r>
  </si>
  <si>
    <r>
      <rPr>
        <sz val="10"/>
        <color theme="1"/>
        <rFont val="Calibri"/>
      </rPr>
      <t>MR</t>
    </r>
  </si>
  <si>
    <r>
      <rPr>
        <b/>
        <sz val="10"/>
        <color rgb="FF000000"/>
        <rFont val="Calibri"/>
      </rPr>
      <t>SINGLE SIDED/ DOUBLE SIDED WALL/SURFACE mounting EXIT Luminaire, High power LED 230VAC/DC Addressable luminaire</t>
    </r>
    <r>
      <rPr>
        <sz val="10"/>
        <color rgb="FF000000"/>
        <rFont val="Calibri"/>
      </rPr>
      <t xml:space="preserve">:
</t>
    </r>
    <r>
      <rPr>
        <sz val="10"/>
        <color rgb="FF000000"/>
        <rFont val="Calibri"/>
      </rPr>
      <t xml:space="preserve">• Viewing distance up to 25m
</t>
    </r>
    <r>
      <rPr>
        <sz val="10"/>
        <color rgb="FF000000"/>
        <rFont val="Calibri"/>
      </rPr>
      <t xml:space="preserve">• Ingress protection IP43
</t>
    </r>
    <r>
      <rPr>
        <sz val="10"/>
        <color rgb="FF000000"/>
        <rFont val="Calibri"/>
      </rPr>
      <t xml:space="preserve">• Supply Voltage 220V/ 240V AC/DC
</t>
    </r>
    <r>
      <rPr>
        <sz val="10"/>
        <color rgb="FF000000"/>
        <rFont val="Calibri"/>
      </rPr>
      <t xml:space="preserve">• Fully compliant with requirements of the fire and safety code of practice &amp; the respective EN 60598-2-22 and the system designed in compliance with EN50171, EN50272-2, EN50172, and EN1838 standards
</t>
    </r>
    <r>
      <rPr>
        <sz val="10"/>
        <color rgb="FF000000"/>
        <rFont val="Calibri"/>
      </rPr>
      <t>• With Backup for 90 Minutes operation via  Central Battery System</t>
    </r>
  </si>
  <si>
    <r>
      <rPr>
        <sz val="10"/>
        <color theme="1"/>
        <rFont val="Calibri"/>
      </rPr>
      <t>Nos.</t>
    </r>
  </si>
  <si>
    <r>
      <rPr>
        <sz val="10"/>
        <color theme="1"/>
        <rFont val="Calibri"/>
      </rPr>
      <t>MR</t>
    </r>
  </si>
  <si>
    <r>
      <rPr>
        <b/>
        <sz val="10"/>
        <color rgb="FF000000"/>
        <rFont val="Calibri"/>
      </rPr>
      <t xml:space="preserve">EXIT LUMINAIRES - SINGLE SIDED WALL/ CEILING MOUNT addressable Adaptive EXIT
</t>
    </r>
    <r>
      <rPr>
        <b/>
        <sz val="10"/>
        <color rgb="FF000000"/>
        <rFont val="Calibri"/>
      </rPr>
      <t>Luminaire, LED luminaire</t>
    </r>
    <r>
      <rPr>
        <sz val="10"/>
        <color rgb="FF000000"/>
        <rFont val="Calibri"/>
      </rPr>
      <t xml:space="preserve">:
</t>
    </r>
    <r>
      <rPr>
        <sz val="10"/>
        <color rgb="FF000000"/>
        <rFont val="Calibri"/>
      </rPr>
      <t xml:space="preserve">• Viewing distance up to 25m
</t>
    </r>
    <r>
      <rPr>
        <sz val="10"/>
        <color rgb="FF000000"/>
        <rFont val="Calibri"/>
      </rPr>
      <t xml:space="preserve">• Ingress protection IP43
</t>
    </r>
    <r>
      <rPr>
        <sz val="10"/>
        <color rgb="FF000000"/>
        <rFont val="Calibri"/>
      </rPr>
      <t xml:space="preserve">• The adaptive emergency exit light adapts, to warn about dangerous escape routes. Under normal conditions, the exit light works like any normal exit light but in case the path is dangerous it should illuminate a red cross across the signage.
</t>
    </r>
    <r>
      <rPr>
        <sz val="10"/>
        <color rgb="FF000000"/>
        <rFont val="Calibri"/>
      </rPr>
      <t xml:space="preserve">• Supply Voltage 220-240 V, 50/60 Hz AC, DC
</t>
    </r>
    <r>
      <rPr>
        <sz val="10"/>
        <color rgb="FF000000"/>
        <rFont val="Calibri"/>
      </rPr>
      <t xml:space="preserve">• Fully compliant with requirements of the fire and safety code of practice &amp; the respective EN 60598-2-22 and the system designed in compliance with EN50171, EN50272-2, EN50172, and EN1838 standards
</t>
    </r>
    <r>
      <rPr>
        <sz val="10"/>
        <color rgb="FF000000"/>
        <rFont val="Calibri"/>
      </rPr>
      <t>• With Backup for 90 Minutes operation via Central Battery System.</t>
    </r>
  </si>
  <si>
    <r>
      <rPr>
        <sz val="10"/>
        <color theme="1"/>
        <rFont val="Calibri"/>
      </rPr>
      <t>Nos.</t>
    </r>
  </si>
  <si>
    <r>
      <rPr>
        <sz val="10"/>
        <color theme="1"/>
        <rFont val="Calibri"/>
      </rPr>
      <t>MR</t>
    </r>
  </si>
  <si>
    <r>
      <rPr>
        <b/>
        <sz val="10"/>
        <color rgb="FF000000"/>
        <rFont val="Calibri"/>
      </rPr>
      <t xml:space="preserve">Route Controller for Adaptive Exit Lights
</t>
    </r>
    <r>
      <rPr>
        <sz val="10"/>
        <color rgb="FF000000"/>
        <rFont val="Calibri"/>
      </rPr>
      <t>Route Controller control unit, TST6901, for TWT8051WKX adaptive emergency exit lights. To integrate with Fire Alarm system-TST6901</t>
    </r>
  </si>
  <si>
    <r>
      <rPr>
        <sz val="10"/>
        <color theme="1"/>
        <rFont val="Calibri"/>
      </rPr>
      <t>Nos.</t>
    </r>
  </si>
  <si>
    <r>
      <rPr>
        <sz val="10"/>
        <color theme="1"/>
        <rFont val="Calibri"/>
      </rPr>
      <t>MR</t>
    </r>
  </si>
  <si>
    <r>
      <rPr>
        <b/>
        <sz val="10"/>
        <color theme="1"/>
        <rFont val="Calibri"/>
      </rPr>
      <t>CENTRAL BATTERY SYSTEM PANEL</t>
    </r>
  </si>
  <si>
    <r>
      <rPr>
        <sz val="10"/>
        <color rgb="FF000000"/>
        <rFont val="Calibri"/>
      </rPr>
      <t xml:space="preserve">Emergency System Panel with own LED indicator for each luminaire in the same circuit providing simultaneous status information of the luminaires by a single view with corresponding group (circuit) number indicating on the segment display.
</t>
    </r>
    <r>
      <rPr>
        <sz val="10"/>
        <color rgb="FF000000"/>
        <rFont val="Calibri"/>
      </rPr>
      <t xml:space="preserve">-Liquid Crystal Display (LCD) for the simultaneous display of the system status, faults and Luminaire status.
</t>
    </r>
    <r>
      <rPr>
        <sz val="10"/>
        <color rgb="FF000000"/>
        <rFont val="Calibri"/>
      </rPr>
      <t xml:space="preserve">The control module must have following features:
</t>
    </r>
    <r>
      <rPr>
        <sz val="10"/>
        <color rgb="FF000000"/>
        <rFont val="Calibri"/>
      </rPr>
      <t xml:space="preserve">-Monitor and control all test cycles and functions.
</t>
    </r>
    <r>
      <rPr>
        <sz val="10"/>
        <color rgb="FF000000"/>
        <rFont val="Calibri"/>
      </rPr>
      <t xml:space="preserve">-Indicate every status of the system and the connected luminaire
</t>
    </r>
    <r>
      <rPr>
        <sz val="10"/>
        <color rgb="FF000000"/>
        <rFont val="Calibri"/>
      </rPr>
      <t xml:space="preserve">-Communicate with the addressable electronic ballast on every slave luminaire
</t>
    </r>
    <r>
      <rPr>
        <sz val="10"/>
        <color rgb="FF000000"/>
        <rFont val="Calibri"/>
      </rPr>
      <t xml:space="preserve">-With volt free contacts for internal fault, battery mode operation &amp; external fault.
</t>
    </r>
    <r>
      <rPr>
        <sz val="10"/>
        <color rgb="FF000000"/>
        <rFont val="Calibri"/>
      </rPr>
      <t>- The emergency supply panel shall supervise the battery status such as Battery Over voltage / Battery Under voltage. Charging failure shall be indicated as an Internal fault by an indicator</t>
    </r>
  </si>
  <si>
    <r>
      <rPr>
        <sz val="10"/>
        <color rgb="FF000000"/>
        <rFont val="Calibri"/>
      </rPr>
      <t xml:space="preserve">- The emergency supply panel should be capable of continuously monitoring the circuits by means of current measurement thus making the system a continuously fully addressable system.
</t>
    </r>
    <r>
      <rPr>
        <sz val="10"/>
        <color rgb="FF000000"/>
        <rFont val="Calibri"/>
      </rPr>
      <t xml:space="preserve">- The unit shall be fitted with a deep discharge protection circuit, which has two operation phases: When in battery mode the battery voltage decreases to 195V, a preliminary deep discharge alarm shall be given. When the battery voltage decreases to 175V, the load shall be disconnected. The circuit shall allow the battery to increase its voltage without switching the load ON again, thus avoiding detrimental full discharge. The panel shall automatically return to normal operation, once the mains supply recovers.
</t>
    </r>
    <r>
      <rPr>
        <sz val="10"/>
        <color rgb="FF000000"/>
        <rFont val="Calibri"/>
      </rPr>
      <t>Fully compliant with requirements of designed and installed to meet the fire and safety code of practice &amp; the respective EN 60598-2-22 and the system designed in compliance with EN50171, EN50272-2, EN50172, and EN1838 standards  EN Standards</t>
    </r>
  </si>
  <si>
    <r>
      <rPr>
        <sz val="10"/>
        <color theme="1"/>
        <rFont val="Calibri"/>
      </rPr>
      <t>Sets</t>
    </r>
  </si>
  <si>
    <r>
      <rPr>
        <sz val="10"/>
        <color theme="1"/>
        <rFont val="Calibri"/>
      </rPr>
      <t>MR</t>
    </r>
  </si>
  <si>
    <r>
      <rPr>
        <b/>
        <sz val="10"/>
        <color rgb="FF000000"/>
        <rFont val="Calibri"/>
      </rPr>
      <t xml:space="preserve">BATTERIES
</t>
    </r>
    <r>
      <rPr>
        <sz val="10"/>
        <color rgb="FF000000"/>
        <rFont val="Calibri"/>
      </rPr>
      <t xml:space="preserve">- The batteries shall be maintenance free VRLA sealed lead acid gas recombination type with a minimum design life of 10 years at prevailing ambient temperature.
</t>
    </r>
    <r>
      <rPr>
        <sz val="10"/>
        <color rgb="FF000000"/>
        <rFont val="Calibri"/>
      </rPr>
      <t xml:space="preserve">- They shall have extremely low gas generation, low self-discharge and have permanently sealed pressure release vents.
</t>
    </r>
    <r>
      <rPr>
        <sz val="10"/>
        <color rgb="FF000000"/>
        <rFont val="Calibri"/>
      </rPr>
      <t>- The batteries shall be sized to power complete system for 90 minutes following mains failure at 100% light output of all emergency lamps.</t>
    </r>
  </si>
  <si>
    <r>
      <rPr>
        <sz val="10"/>
        <color theme="1"/>
        <rFont val="Calibri"/>
      </rPr>
      <t>Sets</t>
    </r>
  </si>
  <si>
    <r>
      <rPr>
        <sz val="10"/>
        <color theme="1"/>
        <rFont val="Calibri"/>
      </rPr>
      <t>MR</t>
    </r>
  </si>
  <si>
    <r>
      <rPr>
        <b/>
        <sz val="10"/>
        <color rgb="FF000000"/>
        <rFont val="Calibri"/>
      </rPr>
      <t xml:space="preserve">Intelligent Control Module
</t>
    </r>
    <r>
      <rPr>
        <sz val="10"/>
        <color rgb="FF000000"/>
        <rFont val="Calibri"/>
      </rPr>
      <t xml:space="preserve">The non-maintained luminaires at sub distribution panel area shall be lit during a local supply failure. However the emergency supply panel shall not switch to battery use as long as its own mains supply is available.
</t>
    </r>
    <r>
      <rPr>
        <sz val="10"/>
        <color rgb="FF000000"/>
        <rFont val="Calibri"/>
      </rPr>
      <t xml:space="preserve">All necessary data transfer shall take place through the standard power supply cabling of the luminaires
</t>
    </r>
    <r>
      <rPr>
        <sz val="10"/>
        <color rgb="FF000000"/>
        <rFont val="Calibri"/>
      </rPr>
      <t xml:space="preserve">Continuous monitoring of the lighting sub distribution panels shall be made by Local Controller units, each having 3-phase monitoring input.
</t>
    </r>
    <r>
      <rPr>
        <sz val="10"/>
        <color rgb="FF000000"/>
        <rFont val="Calibri"/>
      </rPr>
      <t xml:space="preserve">Each circuit shall have its own Local Controller so that a possible failure of a single controller does not affect the other circuits.The same functionality can be met by using intelligent controllers by routing 8 sub circuit monitoring contacts to one IC or 8 switching contacts per IC IC shall be on a dedicated RS485 bus topology and it should be possible to connect a total of 32 IC’s per bus
</t>
    </r>
    <r>
      <rPr>
        <sz val="10"/>
        <color rgb="FF000000"/>
        <rFont val="Calibri"/>
      </rPr>
      <t>The Local Controllers should comply to EN 61347-2-11:2001 in conjunction with EN 61347- 1:2001.</t>
    </r>
  </si>
  <si>
    <r>
      <rPr>
        <sz val="10"/>
        <color theme="1"/>
        <rFont val="Calibri"/>
      </rPr>
      <t>Sets</t>
    </r>
  </si>
  <si>
    <r>
      <rPr>
        <sz val="10"/>
        <color theme="1"/>
        <rFont val="Calibri"/>
      </rPr>
      <t>MR</t>
    </r>
  </si>
  <si>
    <r>
      <rPr>
        <b/>
        <sz val="10"/>
        <color rgb="FF000000"/>
        <rFont val="Calibri"/>
      </rPr>
      <t xml:space="preserve">BACNET/IP and MODBUS/IP Interface with inbuilt web server
</t>
    </r>
    <r>
      <rPr>
        <sz val="10"/>
        <color rgb="FF000000"/>
        <rFont val="Calibri"/>
      </rPr>
      <t xml:space="preserve">The Gateway shall have the following specifications:
</t>
    </r>
    <r>
      <rPr>
        <sz val="10"/>
        <color rgb="FF000000"/>
        <rFont val="Calibri"/>
      </rPr>
      <t xml:space="preserve">• Shall be capable of integrating CBS Panel  (Should be capable of integrating 7 Nos networked
</t>
    </r>
    <r>
      <rPr>
        <sz val="10"/>
        <color rgb="FF000000"/>
        <rFont val="Calibri"/>
      </rPr>
      <t xml:space="preserve">panels)
</t>
    </r>
    <r>
      <rPr>
        <sz val="10"/>
        <color rgb="FF000000"/>
        <rFont val="Calibri"/>
      </rPr>
      <t xml:space="preserve">• Inbuilt Web Server with 10 simultaneous user logins
</t>
    </r>
    <r>
      <rPr>
        <sz val="10"/>
        <color rgb="FF000000"/>
        <rFont val="Calibri"/>
      </rPr>
      <t xml:space="preserve">• Monitor each CBS Panel parameters, emergency and exit light in the BMS
</t>
    </r>
    <r>
      <rPr>
        <sz val="10"/>
        <color rgb="FF000000"/>
        <rFont val="Calibri"/>
      </rPr>
      <t xml:space="preserve">• Capable of scheduling the on/ off function of the emergency light and also provide switch
</t>
    </r>
    <r>
      <rPr>
        <sz val="10"/>
        <color rgb="FF000000"/>
        <rFont val="Calibri"/>
      </rPr>
      <t xml:space="preserve">control to all emergency light via connectivity to the Intelligent Controller
</t>
    </r>
    <r>
      <rPr>
        <sz val="10"/>
        <color rgb="FF000000"/>
        <rFont val="Calibri"/>
      </rPr>
      <t xml:space="preserve">• Integrates with 3rd party BMS over BACNET/IP or MODBUS/IP
</t>
    </r>
    <r>
      <rPr>
        <sz val="10"/>
        <color rgb="FF000000"/>
        <rFont val="Calibri"/>
      </rPr>
      <t xml:space="preserve">• Processor Speed: 1GHz
</t>
    </r>
    <r>
      <rPr>
        <sz val="10"/>
        <color rgb="FF000000"/>
        <rFont val="Calibri"/>
      </rPr>
      <t xml:space="preserve">• Memory: 1GB DDR3 SDRAM to store logs in case of communication failure between gateway
</t>
    </r>
    <r>
      <rPr>
        <sz val="10"/>
        <color rgb="FF000000"/>
        <rFont val="Calibri"/>
      </rPr>
      <t xml:space="preserve">and BMS
</t>
    </r>
    <r>
      <rPr>
        <sz val="10"/>
        <color rgb="FF000000"/>
        <rFont val="Calibri"/>
      </rPr>
      <t xml:space="preserve">• 2 Nos. of 10/100MB Ethernet ports
</t>
    </r>
    <r>
      <rPr>
        <sz val="10"/>
        <color rgb="FF000000"/>
        <rFont val="Calibri"/>
      </rPr>
      <t xml:space="preserve">• 24VAC/DC power supply
</t>
    </r>
    <r>
      <rPr>
        <sz val="10"/>
        <color rgb="FF000000"/>
        <rFont val="Calibri"/>
      </rPr>
      <t xml:space="preserve">• BTL Listed
</t>
    </r>
    <r>
      <rPr>
        <sz val="10"/>
        <color rgb="FF000000"/>
        <rFont val="Calibri"/>
      </rPr>
      <t xml:space="preserve">• No dedicated PC should be needed. Failure of PC should not cause the integration with BMS to
</t>
    </r>
    <r>
      <rPr>
        <sz val="10"/>
        <color rgb="FF000000"/>
        <rFont val="Calibri"/>
      </rPr>
      <t>fail or disconnect.</t>
    </r>
  </si>
  <si>
    <r>
      <rPr>
        <sz val="10"/>
        <color theme="1"/>
        <rFont val="Calibri"/>
      </rPr>
      <t>Set</t>
    </r>
  </si>
  <si>
    <r>
      <rPr>
        <sz val="10"/>
        <color theme="1"/>
        <rFont val="Calibri"/>
      </rPr>
      <t>MR</t>
    </r>
  </si>
  <si>
    <r>
      <rPr>
        <sz val="10"/>
        <color theme="1"/>
        <rFont val="Calibri"/>
      </rPr>
      <t>Supply, laying and termination along with Halogen free glands of 3C x 1.5 sq.mm Fire Survival Armoured cable with Class-2 Copper conductor with glass mica tape, as per BS 7846, Fire Test as per BS 6387 CWZ, BSEN 8434-2, LPCB / TUV / BRE Global Certified. Fire Survival cable shall be suitable 950°C rating for three hours for fire alarm system.</t>
    </r>
  </si>
  <si>
    <r>
      <rPr>
        <sz val="10"/>
        <color theme="1"/>
        <rFont val="Calibri"/>
      </rPr>
      <t>Meters</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</si>
  <si>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</si>
  <si>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</si>
  <si>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HIGH SIDE - ELECTRICAL WORKS</t>
    </r>
  </si>
  <si>
    <r>
      <rPr>
        <b/>
        <sz val="10"/>
        <color theme="1"/>
        <rFont val="Calibri"/>
      </rPr>
      <t>SUB HEAD S</t>
    </r>
  </si>
  <si>
    <r>
      <rPr>
        <b/>
        <sz val="10"/>
        <color theme="1"/>
        <rFont val="Calibri"/>
      </rPr>
      <t>SECURITY EQUIPMENTS</t>
    </r>
  </si>
  <si>
    <r>
      <rPr>
        <sz val="10"/>
        <color theme="1"/>
        <rFont val="Calibri"/>
      </rPr>
      <t>MR</t>
    </r>
  </si>
  <si>
    <r>
      <rPr>
        <b/>
        <sz val="10"/>
        <color theme="1"/>
        <rFont val="Calibri"/>
      </rPr>
      <t>DFMD for Entrance/reception</t>
    </r>
  </si>
  <si>
    <r>
      <rPr>
        <sz val="10"/>
        <color rgb="FF000000"/>
        <rFont val="Calibri"/>
      </rPr>
      <t xml:space="preserve">Supply, Installation, testing and commissioning of </t>
    </r>
    <r>
      <rPr>
        <b/>
        <sz val="10"/>
        <color rgb="FF000000"/>
        <rFont val="Calibri"/>
      </rPr>
      <t xml:space="preserve">FULL-HEIGHT, 360° DETECTION DFMD Single pole </t>
    </r>
    <r>
      <rPr>
        <sz val="10"/>
        <color rgb="FF000000"/>
        <rFont val="Calibri"/>
      </rPr>
      <t>Type. Detection of all cell phones and other contraband ,concealed on the person or in body cavities (including keyfob cell phones) with or without batteries , Multi-Zone targeting indication identifi es location ,of contraband on the body, Fully weather proof for outdoor use (IP65 certifi ed), minimum 90 minutes continuous use on embedded battery operation, Unmatched detection in all environments without adjustment, Extremely durable design, No assembly required: 10 second set-up, Detection of all cell phones and other contraband concealed on the person or in body cavities (including keyfob cell phones) with or without batteries, Detection of magnets and ferromagnetic metals.</t>
    </r>
  </si>
  <si>
    <r>
      <rPr>
        <sz val="10"/>
        <color theme="1"/>
        <rFont val="Calibri"/>
      </rPr>
      <t>Full-height, 360° detection (horizontal &amp; vertical),5 individual zones for pinpointing locations of contraband on the body, Covert operation through use of Bluetooth headset (included), Fully weather proof for outdoor use, Up to minimum 90 minutes continuous battery operation, One- piece and lightweight design easily transportable by one person, Unmatched detection in all environments without adjustment, Extremely durable design using stainless steel and high impact reinforced plastics, Anti-tip suction cups for securing to smooth fl oor surfaces (included, Non-emitting device: safe for use for pace-makers and other medical implants.</t>
    </r>
  </si>
  <si>
    <r>
      <rPr>
        <sz val="10"/>
        <color theme="1"/>
        <rFont val="Calibri"/>
      </rPr>
      <t>Nos.</t>
    </r>
  </si>
  <si>
    <r>
      <rPr>
        <sz val="10"/>
        <color theme="1"/>
        <rFont val="Calibri"/>
      </rPr>
      <t>MR</t>
    </r>
  </si>
  <si>
    <r>
      <rPr>
        <b/>
        <sz val="10"/>
        <color theme="1"/>
        <rFont val="Calibri"/>
      </rPr>
      <t>HHMD</t>
    </r>
  </si>
  <si>
    <r>
      <rPr>
        <sz val="10"/>
        <color rgb="FF000000"/>
        <rFont val="Calibri"/>
      </rPr>
      <t xml:space="preserve">Supply, Installation, Testing &amp; Commissioning of  Hand Held Metal Detector (HHMD), Garrett Super Wand or equivalent Operating Frequency   95 KHz Audio Frequency 2 KHz Operating Temperature -37 deg.C to 70 deg.C Humidity  95% noncondensing Dimensions: 48.3 cm(L) x
</t>
    </r>
    <r>
      <rPr>
        <sz val="10"/>
        <color rgb="FF000000"/>
        <rFont val="Calibri"/>
      </rPr>
      <t>8.3cm(W) x 3.2cm(T)  9V cadmium free NiMH Rechargeable batteries, The batteries shall provide up to 20 hours of charge for 12-hours recharge. HHMD shall have audible speaker. Controls: 3-Way switch i.e. On (Speaker/LED Light), Off and  On (Vibrating/LED Light) Individual Suitable Charger shall be supplied for each HHMD.</t>
    </r>
  </si>
  <si>
    <r>
      <rPr>
        <sz val="10"/>
        <color theme="1"/>
        <rFont val="Calibri"/>
      </rPr>
      <t>Nos.</t>
    </r>
  </si>
  <si>
    <r>
      <rPr>
        <sz val="10"/>
        <color theme="1"/>
        <rFont val="Calibri"/>
      </rPr>
      <t>MR</t>
    </r>
  </si>
  <si>
    <r>
      <rPr>
        <b/>
        <sz val="10"/>
        <color theme="1"/>
        <rFont val="Calibri"/>
      </rPr>
      <t>Baggage Scanner</t>
    </r>
  </si>
  <si>
    <r>
      <rPr>
        <sz val="10"/>
        <color rgb="FF000000"/>
        <rFont val="Calibri"/>
      </rPr>
      <t xml:space="preserve">Supply, installation, testing and commissioning of </t>
    </r>
    <r>
      <rPr>
        <b/>
        <sz val="10"/>
        <color rgb="FF000000"/>
        <rFont val="Calibri"/>
      </rPr>
      <t xml:space="preserve">Baggage Scanner, </t>
    </r>
    <r>
      <rPr>
        <sz val="10"/>
        <color rgb="FF000000"/>
        <rFont val="Calibri"/>
      </rPr>
      <t xml:space="preserve">Tunnel Opening - minimum (W x H)606mm x 420mm) or better, Conveyor Speed (m/sec)0, 24@60Hz / 0,20@50Hz, Generator Voltage (Operating) 180kV operating at 170kV, Conveyor minimum Load 150kg or better, Wire Resolution (ASTM F792) 40 AWG7, Weight 750kg, Dimensions (L,W,H) 1980mm, 1147mm, 1240mm,Color Imaging (No black / white) 3 Color Imaging, Contrast Sensitivity 65.000 Grey levels, Geometric Image Dist. Correction Yes,Image Separation (mm)
</t>
    </r>
    <r>
      <rPr>
        <sz val="10"/>
        <color rgb="FF000000"/>
        <rFont val="Calibri"/>
      </rPr>
      <t>1.0 Horizontal / 1.0  Vertical, Image Size 270 lines/sec, ZoomUp to 128x, Display resolution 1360 X 768 / 24 bit,Reports format PDF, ODT, XLS, TXT or direct print, Image Archiving Automatic (200,000 images), TCP/IP.</t>
    </r>
  </si>
  <si>
    <r>
      <rPr>
        <sz val="10"/>
        <color theme="1"/>
        <rFont val="Calibri"/>
      </rPr>
      <t>Nos.</t>
    </r>
  </si>
  <si>
    <r>
      <rPr>
        <sz val="10"/>
        <color theme="1"/>
        <rFont val="Calibri"/>
      </rPr>
      <t>MR</t>
    </r>
  </si>
  <si>
    <r>
      <rPr>
        <sz val="10"/>
        <color rgb="FF000000"/>
        <rFont val="Calibri"/>
      </rPr>
      <t xml:space="preserve">Supply, installation, testing and commissioning of i-7 PC, Latest Generation, 2 TB SSD, 64 GB
</t>
    </r>
    <r>
      <rPr>
        <sz val="10"/>
        <color rgb="FF000000"/>
        <rFont val="Calibri"/>
      </rPr>
      <t>RAM, 4GB Graphic Card with Window 11 &amp; 22 inch Monitor</t>
    </r>
  </si>
  <si>
    <r>
      <rPr>
        <sz val="10"/>
        <color theme="1"/>
        <rFont val="Calibri"/>
      </rPr>
      <t>Nos</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</si>
  <si>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</si>
  <si>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</si>
  <si>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SUB HEAD T</t>
    </r>
  </si>
  <si>
    <r>
      <rPr>
        <b/>
        <sz val="10"/>
        <color theme="1"/>
        <rFont val="Calibri"/>
      </rPr>
      <t>CHAPTER 18</t>
    </r>
  </si>
  <si>
    <r>
      <rPr>
        <b/>
        <sz val="10"/>
        <color theme="1"/>
        <rFont val="Calibri"/>
      </rPr>
      <t>ELECTRICAL VEHICLE CHARGER</t>
    </r>
  </si>
  <si>
    <r>
      <rPr>
        <sz val="10"/>
        <color theme="1"/>
        <rFont val="Calibri"/>
      </rPr>
      <t>DSR-2025- 18.1</t>
    </r>
  </si>
  <si>
    <r>
      <rPr>
        <sz val="10"/>
        <color theme="1"/>
        <rFont val="Calibri"/>
      </rPr>
      <t>Supplying Installation, Testing and Commissioning of EV charging station As per specifications and in Compliance to relevant IS codes etc.</t>
    </r>
  </si>
  <si>
    <r>
      <rPr>
        <sz val="10"/>
        <color theme="1"/>
        <rFont val="Calibri"/>
      </rPr>
      <t>DSR-2025- 18.1.1</t>
    </r>
  </si>
  <si>
    <r>
      <rPr>
        <sz val="10"/>
        <color rgb="FF000000"/>
        <rFont val="Calibri"/>
      </rPr>
      <t xml:space="preserve">Light EV AC Charger (Mode-3) Power : 7 kW, Input power supply: 1phase 230 +10% Volt, output supply: 230 Volt AC, Frequency:50 Hz +/-3%, Operational temperature range : -25 to
</t>
    </r>
    <r>
      <rPr>
        <sz val="10"/>
        <color rgb="FF000000"/>
        <rFont val="Calibri"/>
      </rPr>
      <t xml:space="preserve">55 0C (outdoor), -5 to 550C (Indoor)., RH upto 95%, Charging Device as per IS-17017-22-1 EV- EVSE Communication: as per relevant IS Codes, Bluetooth Low Energy, one Charge Point Plug/ Socket as per IS-60309 and IS-17017-2, Vehicle Inlet/ Connector As per EV manufacturer, suitable for 2 Wheelers and 4 wheelers. Indoor use: at least IP42; Outdoor use: at least IP54.
</t>
    </r>
    <r>
      <rPr>
        <sz val="10"/>
        <color rgb="FF000000"/>
        <rFont val="Calibri"/>
      </rPr>
      <t xml:space="preserve">Mechanical Strength: protection of the external enclosure against mechanical impact shall be
</t>
    </r>
    <r>
      <rPr>
        <sz val="10"/>
        <color rgb="FF000000"/>
        <rFont val="Calibri"/>
      </rPr>
      <t xml:space="preserve">IK08 according to IEC 62262.O/L,S/C protection. Insulation Resistance &gt; 1 MΩ. Cable Length:
</t>
    </r>
    <r>
      <rPr>
        <sz val="10"/>
        <color rgb="FF000000"/>
        <rFont val="Calibri"/>
      </rPr>
      <t>7.5 m. RCD having a rated residual operating current not exceeding 30 mA; Separate RCD for multiple outputs. Telecommunication port of the EV supply equipment according to IS 13252 (Part1): 2010. OCPP(Open charge point protocol) 1.6J upgradable to ocpp 2.0. Device Should follow 17017 series of IS codes in general and the installation of the system shall comply with relevant IS Codes.</t>
    </r>
  </si>
  <si>
    <r>
      <rPr>
        <sz val="10"/>
        <color theme="1"/>
        <rFont val="Calibri"/>
      </rPr>
      <t>Each</t>
    </r>
  </si>
  <si>
    <r>
      <rPr>
        <sz val="10"/>
        <color theme="1"/>
        <rFont val="Calibri"/>
      </rPr>
      <t>DSR-2025- 18.1.3</t>
    </r>
  </si>
  <si>
    <r>
      <rPr>
        <sz val="10"/>
        <color theme="1"/>
        <rFont val="Calibri"/>
      </rPr>
      <t>Parkbay AC Charger (Mode -3) Power Level 2: Normal Power ~11kW/ 22 kW, 3 phase 415VAC(- 40% to+20%), Frequency:50 Hz +/-5%, output supply: 240 Volt AC, Operational temperature range : -25 to 55 0C (outdoor), -5 to 55 0C (Indoor), RH upto 95%, Charging Device as per IS- 17017-1 EV-EVSE ISO- 15118 for Smart Charging, Infrastructure Socket as per IS-17017-2-2, Vehicle Connector as per IS- 17017-2-2 Vehicle Inlet/ Connector As per EV manufacturer, suitable for 4 wheelers. Indoor use: at least IP42; Outdoor use: at least IP 54. Mechanical Strength : protection of the external enclosure against mechanical impact shall be IK08 according to IEC 62262. O/L,S/C protection. Insulation Resistance &gt; 1M Ω. Cable Length: 7.5 . RCD having a rated residual operating current not exceeding 30 mA; Separate RCD for multiple outputs. Telecommunication port of the EV supply equipment according to IS 13252 (Part1): 2010. OCPP(Open charge point protocol) 1.6J upgradable to ocpp 2.0. Device Should follow 17017 series of IS codes in general and the installation of the system shall comply with relevant IS Codes.</t>
    </r>
  </si>
  <si>
    <r>
      <rPr>
        <sz val="10"/>
        <color theme="1"/>
        <rFont val="Calibri"/>
      </rPr>
      <t>Each</t>
    </r>
  </si>
  <si>
    <r>
      <rPr>
        <sz val="10"/>
        <color theme="1"/>
        <rFont val="Calibri"/>
      </rPr>
      <t>MR</t>
    </r>
  </si>
  <si>
    <r>
      <rPr>
        <b/>
        <sz val="10"/>
        <color rgb="FF000000"/>
        <rFont val="Calibri"/>
      </rPr>
      <t xml:space="preserve">The 60 kW DC Charger </t>
    </r>
    <r>
      <rPr>
        <sz val="10"/>
        <color rgb="FF000000"/>
        <rFont val="Calibri"/>
      </rPr>
      <t xml:space="preserve">is designed for three-phase input supply supporting a voltage range from 285 - 475 V AC. The output voltage range of 150–1000 V DC and a frequency range of 45–55 Hz. It operates at a rated current of approximately 120 A, while standby power consumption remains below 10 W. The charger features a single Type 2 DC outlet with an IEC- 62196 Type 2 connector, delivering an output power of 60 kW and a maximum current of 200 A
</t>
    </r>
    <r>
      <rPr>
        <sz val="10"/>
        <color rgb="FF000000"/>
        <rFont val="Calibri"/>
      </rPr>
      <t xml:space="preserve">through a cable of 5 meters or more. Suitable for both Indoor and outdoor installation, it is wall- mounted/stand mounted and offers IP55 protection, natural air cooling, and dimensions of 717
</t>
    </r>
    <r>
      <rPr>
        <sz val="10"/>
        <color rgb="FF000000"/>
        <rFont val="Calibri"/>
      </rPr>
      <t xml:space="preserve">× 939 × 409 mm, constructed from durable plastic. It operates reliably in ambient temperatures from -30°C to +55°C. Safety and protection mechanisms include input-side overcurrent and short-circuit protection, overvoltage and undervoltage protection, ground fault detection, overtemperature protection with derating or shutdown, internal residual current detection, surge protection, stuck actuator protection, earth leakage detection, smoke sensors for system shutdown, Insulation/Isolation resistance monitoring (IMD alarm). Troubleshooting is supported through diagnostic functions, over-the-air software updates, and monitoring via OCPP v1.6 or later and capable for billing and transaction with diffrent modes of payment.
</t>
    </r>
    <r>
      <rPr>
        <sz val="10"/>
        <color rgb="FF000000"/>
        <rFont val="Calibri"/>
      </rPr>
      <t>Communication options include Ethernet, Wi-Fi, GSM 4G/LTE, and Bluetooth, complemented by backlit LED indicators for charging states. The charger complies with EMI/EMC and safety standards IEC61851 and IS17017.</t>
    </r>
  </si>
  <si>
    <r>
      <rPr>
        <sz val="10"/>
        <color theme="1"/>
        <rFont val="Calibri"/>
      </rPr>
      <t>Each</t>
    </r>
  </si>
  <si>
    <r>
      <rPr>
        <b/>
        <sz val="10"/>
        <color theme="1"/>
        <rFont val="Calibri"/>
      </rPr>
      <t>TOTAL CARRIED OVER TO SUMMARY</t>
    </r>
  </si>
  <si>
    <r>
      <rPr>
        <b/>
        <sz val="10"/>
        <color rgb="FF000000"/>
        <rFont val="Calibri"/>
      </rPr>
      <t xml:space="preserve">SUB HEAD
</t>
    </r>
    <r>
      <rPr>
        <b/>
        <sz val="10"/>
        <color rgb="FF000000"/>
        <rFont val="Calibri"/>
      </rPr>
      <t>U</t>
    </r>
  </si>
  <si>
    <r>
      <rPr>
        <b/>
        <sz val="10"/>
        <color theme="1"/>
        <rFont val="Calibri"/>
      </rPr>
      <t>PARKING MANAGEMENT / GUIDANCE SYSTEM</t>
    </r>
  </si>
  <si>
    <r>
      <rPr>
        <b/>
        <sz val="10"/>
        <color theme="1"/>
        <rFont val="Calibri"/>
      </rPr>
      <t>Design, Supply, installation, testing and commissioning of following Automatin System for Parking Management System / Guidance:</t>
    </r>
  </si>
  <si>
    <r>
      <rPr>
        <sz val="10"/>
        <color theme="1"/>
        <rFont val="Calibri"/>
      </rPr>
      <t>MR</t>
    </r>
  </si>
  <si>
    <r>
      <rPr>
        <sz val="10"/>
        <color rgb="FF000000"/>
        <rFont val="Calibri"/>
      </rPr>
      <t xml:space="preserve">Supply, installation and commissioning  of long range RFID UHF Reader, </t>
    </r>
    <r>
      <rPr>
        <b/>
        <sz val="10"/>
        <color rgb="FF000000"/>
        <rFont val="Calibri"/>
      </rPr>
      <t xml:space="preserve">12 mtr </t>
    </r>
    <r>
      <rPr>
        <sz val="10"/>
        <color rgb="FF000000"/>
        <rFont val="Calibri"/>
      </rPr>
      <t>reading range,Communication Interface -RJ 45, RS 232, RS 485, Wiegand, Trigger,Protocol-EPC C1 GEN2/ISO 18000-6C ,</t>
    </r>
    <r>
      <rPr>
        <b/>
        <sz val="10"/>
        <color rgb="FF000000"/>
        <rFont val="Calibri"/>
      </rPr>
      <t xml:space="preserve">12dBi </t>
    </r>
    <r>
      <rPr>
        <sz val="10"/>
        <color rgb="FF000000"/>
        <rFont val="Calibri"/>
      </rPr>
      <t xml:space="preserve">circular polarization Built-in antenna,26 dBm power (adjustable by 1dBm step),operating power 9V/3A , RJ45 rate - 10 Mbps Frequency range 865.1-869.7 Mhz Dimensions- </t>
    </r>
    <r>
      <rPr>
        <b/>
        <sz val="10"/>
        <color rgb="FF000000"/>
        <rFont val="Calibri"/>
      </rPr>
      <t xml:space="preserve">445mm x 445mm x 55mm
</t>
    </r>
    <r>
      <rPr>
        <sz val="10"/>
        <color rgb="FF000000"/>
        <rFont val="Calibri"/>
      </rPr>
      <t xml:space="preserve">Material- ABS+PVC, complete with Pole mounting accessories. </t>
    </r>
    <r>
      <rPr>
        <b/>
        <sz val="10"/>
        <color rgb="FF000000"/>
        <rFont val="Calibri"/>
      </rPr>
      <t>ISO, CE, FCC Certified.</t>
    </r>
  </si>
  <si>
    <r>
      <rPr>
        <sz val="10"/>
        <color theme="1"/>
        <rFont val="Calibri"/>
      </rPr>
      <t>Nos.</t>
    </r>
  </si>
  <si>
    <r>
      <rPr>
        <sz val="10"/>
        <color theme="1"/>
        <rFont val="Calibri"/>
      </rPr>
      <t>MR</t>
    </r>
  </si>
  <si>
    <r>
      <rPr>
        <sz val="10"/>
        <color rgb="FF000000"/>
        <rFont val="Calibri"/>
      </rPr>
      <t xml:space="preserve">Supply, installation and commissioning of  Controller for RFID readers, PVC enclosure box,Processor-Broadcom BCM2837B0, Cortex-A53 64 bit SoC @ 1.4 GHz,1 GB LPDDR2 SDRAM Memory,GPIO Access with Extended 40-pin GPIO header,
</t>
    </r>
    <r>
      <rPr>
        <sz val="10"/>
        <color rgb="FF000000"/>
        <rFont val="Calibri"/>
      </rPr>
      <t xml:space="preserve">Connectivity- 2.4 GHz and 5 Ghz IEEE 802.11.b/g/m/ac wireless LAN, Bluetooth 4.2, BLE, Gigabit Ethernet over USB 2.0 (maximum throughput 300
</t>
    </r>
    <r>
      <rPr>
        <sz val="10"/>
        <color rgb="FF000000"/>
        <rFont val="Calibri"/>
      </rPr>
      <t xml:space="preserve">Mbps), 4 x USB 2.0 ports
</t>
    </r>
    <r>
      <rPr>
        <sz val="10"/>
        <color rgb="FF000000"/>
        <rFont val="Calibri"/>
      </rPr>
      <t>Micro SD card supported for loading operating system and data storage, operating temperature-0-60° C, Complete with pole/wall mounting accessories</t>
    </r>
  </si>
  <si>
    <r>
      <rPr>
        <sz val="10"/>
        <color theme="1"/>
        <rFont val="Calibri"/>
      </rPr>
      <t>Nos.</t>
    </r>
  </si>
  <si>
    <r>
      <rPr>
        <sz val="10"/>
        <color theme="1"/>
        <rFont val="Calibri"/>
      </rPr>
      <t>MR</t>
    </r>
  </si>
  <si>
    <r>
      <rPr>
        <sz val="10"/>
        <color rgb="FF000000"/>
        <rFont val="Calibri"/>
      </rPr>
      <t>Supply, installation and commissioning of user information full color matrix LED display of size 160*</t>
    </r>
    <r>
      <rPr>
        <b/>
        <sz val="10"/>
        <color rgb="FF000000"/>
        <rFont val="Calibri"/>
      </rPr>
      <t>600 mm</t>
    </r>
  </si>
  <si>
    <r>
      <rPr>
        <sz val="10"/>
        <color theme="1"/>
        <rFont val="Calibri"/>
      </rPr>
      <t>Nos.</t>
    </r>
  </si>
  <si>
    <r>
      <rPr>
        <sz val="10"/>
        <color theme="1"/>
        <rFont val="Calibri"/>
      </rPr>
      <t>MR</t>
    </r>
  </si>
  <si>
    <r>
      <rPr>
        <sz val="10"/>
        <color theme="1"/>
        <rFont val="Calibri"/>
      </rPr>
      <t>Supply, installation and commissioning of Server for parking management and Guidance system with the Intel Xeon E5 Series (4 core, 1.8 GHz), 32 GB RAM, 2 TB SSD ,4 Hot Pluggable SFF drive, RAID enabled, with (OS window server 2012 R2 or higher version &amp;SQL) , 18.5” / 19” TFT Color monitor,Key board  Mouse</t>
    </r>
  </si>
  <si>
    <r>
      <rPr>
        <sz val="10"/>
        <color theme="1"/>
        <rFont val="Calibri"/>
      </rPr>
      <t>Nos.</t>
    </r>
  </si>
  <si>
    <r>
      <rPr>
        <sz val="10"/>
        <color theme="1"/>
        <rFont val="Calibri"/>
      </rPr>
      <t>MR</t>
    </r>
  </si>
  <si>
    <r>
      <rPr>
        <sz val="10"/>
        <color rgb="FF000000"/>
        <rFont val="Calibri"/>
      </rPr>
      <t xml:space="preserve">Supply, installation and commissioning of 8 Port PoE Network switch with 10/100/1000 Ethernet, power port for AC adapter or power cord port,Devices supporting 802.3 Ethernet,
</t>
    </r>
    <r>
      <rPr>
        <sz val="10"/>
        <color rgb="FF000000"/>
        <rFont val="Calibri"/>
      </rPr>
      <t>802.u Faster Ethernet, or 802.3ab Gigabit Ethernet Cat6A or better Ethernet cable</t>
    </r>
  </si>
  <si>
    <r>
      <rPr>
        <sz val="10"/>
        <color theme="1"/>
        <rFont val="Calibri"/>
      </rPr>
      <t>Nos.</t>
    </r>
  </si>
  <si>
    <r>
      <rPr>
        <sz val="10"/>
        <color theme="1"/>
        <rFont val="Calibri"/>
      </rPr>
      <t>#REF!</t>
    </r>
  </si>
  <si>
    <r>
      <rPr>
        <sz val="10"/>
        <color theme="1"/>
        <rFont val="Calibri"/>
      </rPr>
      <t>MR</t>
    </r>
  </si>
  <si>
    <r>
      <rPr>
        <sz val="10"/>
        <color rgb="FF000000"/>
        <rFont val="Calibri"/>
      </rPr>
      <t xml:space="preserve">Supply, installation, testing and commissioning of </t>
    </r>
    <r>
      <rPr>
        <b/>
        <sz val="10"/>
        <color rgb="FF000000"/>
        <rFont val="Calibri"/>
      </rPr>
      <t xml:space="preserve">Ultrasonic Sensors </t>
    </r>
    <r>
      <rPr>
        <sz val="10"/>
        <color rgb="FF000000"/>
        <rFont val="Calibri"/>
      </rPr>
      <t xml:space="preserve">to sense the vehicle occupancy with automatic detection. Ultrasonic detection sensing with RS485 as communication protocol, detectable range of 0.3m to 4.5m, Scope of detection: 15 deg, Operating temp:-20 to
</t>
    </r>
    <r>
      <rPr>
        <sz val="10"/>
        <color rgb="FF000000"/>
        <rFont val="Calibri"/>
      </rPr>
      <t>+60 Deg C. ISO-9001:2015, 14001:2015, CE, ROHS, FCC Certified,IP 67 certified from Govt accredited lab. The unit should have  with all required mounting connectors &amp; Accessories. (For Covering all the three basements for PFC Parking)</t>
    </r>
  </si>
  <si>
    <r>
      <rPr>
        <sz val="10"/>
        <color theme="1"/>
        <rFont val="Calibri"/>
      </rPr>
      <t>Nos.</t>
    </r>
  </si>
  <si>
    <r>
      <rPr>
        <sz val="10"/>
        <color theme="1"/>
        <rFont val="Calibri"/>
      </rPr>
      <t>#REF!</t>
    </r>
  </si>
  <si>
    <r>
      <rPr>
        <sz val="10"/>
        <color theme="1"/>
        <rFont val="Calibri"/>
      </rPr>
      <t>MR</t>
    </r>
  </si>
  <si>
    <r>
      <rPr>
        <sz val="10"/>
        <color theme="1"/>
        <rFont val="Calibri"/>
      </rPr>
      <t>Supply, installation, testing and commissioning of Space LED Indicator (RG) to show the occupancy or vacant bay status with Red/ Green Clour. The unit should have  with all required mounting connectors &amp; Accessories. (For Covering all the three basements for PFC Parking)</t>
    </r>
  </si>
  <si>
    <r>
      <rPr>
        <sz val="10"/>
        <color theme="1"/>
        <rFont val="Calibri"/>
      </rPr>
      <t>Nos.</t>
    </r>
  </si>
  <si>
    <r>
      <rPr>
        <sz val="10"/>
        <color theme="1"/>
        <rFont val="Calibri"/>
      </rPr>
      <t>#REF!</t>
    </r>
  </si>
  <si>
    <r>
      <rPr>
        <sz val="10"/>
        <color theme="1"/>
        <rFont val="Calibri"/>
      </rPr>
      <t>MR</t>
    </r>
  </si>
  <si>
    <r>
      <rPr>
        <sz val="10"/>
        <color theme="1"/>
        <rFont val="Calibri"/>
      </rPr>
      <t>Supply, installation, testing and commissioning of PFC Reflective Sign boards for Car Park Indication (10" x 6") at each parking slot. The unit should have  with all required mounting connectors &amp; Accessories. (For Covering all the three basements for PFC Parking)</t>
    </r>
  </si>
  <si>
    <r>
      <rPr>
        <sz val="10"/>
        <color theme="1"/>
        <rFont val="Calibri"/>
      </rPr>
      <t>Nos.</t>
    </r>
  </si>
  <si>
    <r>
      <rPr>
        <sz val="10"/>
        <color theme="1"/>
        <rFont val="Calibri"/>
      </rPr>
      <t>#REF!</t>
    </r>
  </si>
  <si>
    <r>
      <rPr>
        <sz val="10"/>
        <color theme="1"/>
        <rFont val="Calibri"/>
      </rPr>
      <t>MR</t>
    </r>
  </si>
  <si>
    <r>
      <rPr>
        <sz val="10"/>
        <color rgb="FF000000"/>
        <rFont val="Calibri"/>
      </rPr>
      <t xml:space="preserve">Supply, installation, testing and commissioning of </t>
    </r>
    <r>
      <rPr>
        <b/>
        <sz val="10"/>
        <color rgb="FF000000"/>
        <rFont val="Calibri"/>
      </rPr>
      <t xml:space="preserve">ZONE CONTROLLER: </t>
    </r>
    <r>
      <rPr>
        <sz val="10"/>
        <color rgb="FF000000"/>
        <rFont val="Calibri"/>
      </rPr>
      <t>Equipped with communication protocol: RS485, with Standard Baud rate, Maximum  load quantity 28 loads. Minimum Communication distance: 400 mtrs, Working temp range: 5 deg C to 50 deg C. The above shall be housed in a vandal proof, lockable &amp; secure PVC  Cabinets to be supplied along with the Controllers and its necessary accessories.</t>
    </r>
  </si>
  <si>
    <r>
      <rPr>
        <sz val="10"/>
        <color theme="1"/>
        <rFont val="Calibri"/>
      </rPr>
      <t>Nos.</t>
    </r>
  </si>
  <si>
    <r>
      <rPr>
        <sz val="10"/>
        <color theme="1"/>
        <rFont val="Calibri"/>
      </rPr>
      <t>#REF!</t>
    </r>
  </si>
  <si>
    <r>
      <rPr>
        <sz val="10"/>
        <color theme="1"/>
        <rFont val="Calibri"/>
      </rPr>
      <t>MR</t>
    </r>
  </si>
  <si>
    <r>
      <rPr>
        <sz val="10"/>
        <color theme="1"/>
        <rFont val="Calibri"/>
      </rPr>
      <t>Supply, installation, testing and commissioning of Master Controller for getting informations from the zonal controller,Operating voltage :AC220V± 10%, Communication protocol : TCP/IP</t>
    </r>
  </si>
  <si>
    <r>
      <rPr>
        <sz val="10"/>
        <color theme="1"/>
        <rFont val="Calibri"/>
      </rPr>
      <t>Nos.</t>
    </r>
  </si>
  <si>
    <r>
      <rPr>
        <sz val="10"/>
        <color theme="1"/>
        <rFont val="Calibri"/>
      </rPr>
      <t>#REF!</t>
    </r>
  </si>
  <si>
    <r>
      <rPr>
        <sz val="10"/>
        <color theme="1"/>
        <rFont val="Calibri"/>
      </rPr>
      <t>MR</t>
    </r>
  </si>
  <si>
    <r>
      <rPr>
        <sz val="10"/>
        <color theme="1"/>
        <rFont val="Calibri"/>
      </rPr>
      <t>Supply, installation, testing and commissioning of Parking Availability Display (1 Row, 1 column, 3 Character, 4" characterHeight, indoor) - Directional Display</t>
    </r>
  </si>
  <si>
    <r>
      <rPr>
        <sz val="10"/>
        <color theme="1"/>
        <rFont val="Calibri"/>
      </rPr>
      <t>Nos.</t>
    </r>
  </si>
  <si>
    <r>
      <rPr>
        <sz val="10"/>
        <color theme="1"/>
        <rFont val="Calibri"/>
      </rPr>
      <t>#REF!</t>
    </r>
  </si>
  <si>
    <r>
      <rPr>
        <sz val="10"/>
        <color theme="1"/>
        <rFont val="Calibri"/>
      </rPr>
      <t>MR</t>
    </r>
  </si>
  <si>
    <r>
      <rPr>
        <sz val="10"/>
        <color theme="1"/>
        <rFont val="Calibri"/>
      </rPr>
      <t>Supply, installation, testing and commissioning of  Parking Availability Display (1 Row, 1 column, 3 Character, 4" characterHeight, Outdoor) - Floor Display</t>
    </r>
  </si>
  <si>
    <r>
      <rPr>
        <sz val="10"/>
        <color theme="1"/>
        <rFont val="Calibri"/>
      </rPr>
      <t>Nos.</t>
    </r>
  </si>
  <si>
    <r>
      <rPr>
        <sz val="10"/>
        <color theme="1"/>
        <rFont val="Calibri"/>
      </rPr>
      <t>#REF!</t>
    </r>
  </si>
  <si>
    <r>
      <rPr>
        <sz val="10"/>
        <color theme="1"/>
        <rFont val="Calibri"/>
      </rPr>
      <t>MR</t>
    </r>
  </si>
  <si>
    <r>
      <rPr>
        <sz val="10"/>
        <color theme="1"/>
        <rFont val="Calibri"/>
      </rPr>
      <t>Supply, installation, testing and commissioning of  Parking Availability Display (3 Row, 2 column, 3 Character, 4" characterHeight, Outdoor) - Main Gate</t>
    </r>
  </si>
  <si>
    <r>
      <rPr>
        <sz val="10"/>
        <color theme="1"/>
        <rFont val="Calibri"/>
      </rPr>
      <t>Nos.</t>
    </r>
  </si>
  <si>
    <r>
      <rPr>
        <b/>
        <u/>
        <sz val="10"/>
        <color theme="1"/>
        <rFont val="Calibri"/>
      </rPr>
      <t>CABLES, CONDUITS &amp; ACCESSORIES</t>
    </r>
  </si>
  <si>
    <r>
      <rPr>
        <sz val="10"/>
        <color theme="1"/>
        <rFont val="Calibri"/>
      </rPr>
      <t>DSR-2025- 39.18</t>
    </r>
  </si>
  <si>
    <r>
      <rPr>
        <sz val="10"/>
        <color rgb="FF000000"/>
        <rFont val="Calibri"/>
      </rPr>
      <t xml:space="preserve">Supplying,  drawing,  Testing  and  commissioning  of Cat6A UTP 4 pair, 23 AWG solid copper cable in existing conduit/ on surface, U/FTP, LSZH, Non- Plenum, Horizontal (solid)   Cable suitable for high speed  data  networking  application  supporting  upto 10Gbps over a 100 meter channel.  The 4 Unshielded Twisted Pairs (UTP) cable with color coded insulation for easy indentification     should have FLAME PROPERTIES i.e. Flammability Test  - IEC 60332-1, Smoke Density - IEC 61034, LSZH standards compliance: ANSI/TIA-568 C.2, ISO/IEC 11801, IEEE 802.3an, RoHS. Delay Skew should be &lt; 45NS. The outer Cable Diameter should be   7.5 + 2
</t>
    </r>
    <r>
      <rPr>
        <sz val="10"/>
        <color rgb="FF000000"/>
        <rFont val="Calibri"/>
      </rPr>
      <t>mm. Cable should have been tested and verified by UL/ ETL etc. complete as required.</t>
    </r>
  </si>
  <si>
    <r>
      <rPr>
        <sz val="10"/>
        <color theme="1"/>
        <rFont val="Calibri"/>
      </rPr>
      <t>DSR-2025-</t>
    </r>
  </si>
  <si>
    <r>
      <rPr>
        <sz val="10"/>
        <color theme="1"/>
        <rFont val="Calibri"/>
      </rPr>
      <t>1 run of cable</t>
    </r>
  </si>
  <si>
    <r>
      <rPr>
        <sz val="10"/>
        <color theme="1"/>
        <rFont val="Calibri"/>
      </rPr>
      <t>RM</t>
    </r>
  </si>
  <si>
    <r>
      <rPr>
        <sz val="10"/>
        <color theme="1"/>
        <rFont val="Calibri"/>
      </rPr>
      <t>MR</t>
    </r>
  </si>
  <si>
    <r>
      <rPr>
        <sz val="10"/>
        <color theme="1"/>
        <rFont val="Calibri"/>
      </rPr>
      <t>Supply &amp; laying of 4C x 1.0 sq mm Flexible Multistrand cable for signal /  power  as per specification. (from Sensor &amp; Devices to Controller)  on cable tray surface . As per system requirement to cover all the floors  and parking slots.</t>
    </r>
  </si>
  <si>
    <r>
      <rPr>
        <sz val="10"/>
        <color theme="1"/>
        <rFont val="Calibri"/>
      </rPr>
      <t>RM</t>
    </r>
  </si>
  <si>
    <r>
      <rPr>
        <sz val="10"/>
        <color theme="1"/>
        <rFont val="Calibri"/>
      </rPr>
      <t>MR</t>
    </r>
  </si>
  <si>
    <r>
      <rPr>
        <sz val="10"/>
        <color theme="1"/>
        <rFont val="Calibri"/>
      </rPr>
      <t>Supply &amp; laying of 3C x 1.5 sq mm Power Cables Flexible Multistrand cable for signal /  power as per specification in PVC Conduits on surface . As per system requirement to cover all the floors  and parking slots.</t>
    </r>
  </si>
  <si>
    <r>
      <rPr>
        <sz val="10"/>
        <color theme="1"/>
        <rFont val="Calibri"/>
      </rPr>
      <t>RM</t>
    </r>
  </si>
  <si>
    <r>
      <rPr>
        <sz val="10"/>
        <color theme="1"/>
        <rFont val="Calibri"/>
      </rPr>
      <t>DSr-2025- 1.2</t>
    </r>
  </si>
  <si>
    <r>
      <rPr>
        <sz val="10"/>
        <color theme="1"/>
        <rFont val="Calibri"/>
      </rPr>
      <t>Supplying and fixing of following sizes of steel conduit along with accessories in surface/recess including painting in case of surface conduit, or cutting the wall and making good the same in case of recessed conduit as required.</t>
    </r>
  </si>
  <si>
    <r>
      <rPr>
        <sz val="10"/>
        <color theme="1"/>
        <rFont val="Calibri"/>
      </rPr>
      <t>DSr-2025- 1.20.2</t>
    </r>
  </si>
  <si>
    <r>
      <rPr>
        <sz val="10"/>
        <color theme="1"/>
        <rFont val="Calibri"/>
      </rPr>
      <t>25mm</t>
    </r>
  </si>
  <si>
    <r>
      <rPr>
        <sz val="10"/>
        <color theme="1"/>
        <rFont val="Calibri"/>
      </rPr>
      <t>RM</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</si>
  <si>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</si>
  <si>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</si>
  <si>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SUB HEAD V</t>
    </r>
  </si>
  <si>
    <r>
      <rPr>
        <b/>
        <sz val="10"/>
        <color theme="1"/>
        <rFont val="Calibri"/>
      </rPr>
      <t>SOLAR PV (12KW) SYSTEM  - DISMANTILING &amp; RE-INSTALLATION</t>
    </r>
  </si>
  <si>
    <r>
      <rPr>
        <sz val="10"/>
        <color theme="1"/>
        <rFont val="Calibri"/>
      </rPr>
      <t>Dismantling, shifting, installation, testing and commissioning of EXISTING 12KW solar plant at terrace. (Shifting to be done approx. 20 meter away from existing location, shifting shall include complete installation as per site as reqiured. Contractor need to visit site for asses the volumn of work and understand the complete scope and the use of the exisng modules and structure, canling etc.)</t>
    </r>
  </si>
  <si>
    <r>
      <rPr>
        <sz val="10"/>
        <color theme="1"/>
        <rFont val="Calibri"/>
      </rPr>
      <t>Lot</t>
    </r>
  </si>
  <si>
    <r>
      <rPr>
        <b/>
        <sz val="10"/>
        <color theme="1"/>
        <rFont val="Calibri"/>
      </rPr>
      <t>TOTAL CARRIED OVER TO SUMMARY</t>
    </r>
  </si>
  <si>
    <r>
      <rPr>
        <b/>
        <sz val="10"/>
        <color theme="1"/>
        <rFont val="Calibri"/>
      </rPr>
      <t>ITEM NO.</t>
    </r>
  </si>
  <si>
    <r>
      <rPr>
        <b/>
        <sz val="10"/>
        <color theme="1"/>
        <rFont val="Calibri"/>
      </rPr>
      <t>DSR / NDSR (MR)</t>
    </r>
  </si>
  <si>
    <r>
      <rPr>
        <b/>
        <sz val="10"/>
        <color theme="1"/>
        <rFont val="Calibri"/>
      </rPr>
      <t>ITEM DESCRIPTIONS</t>
    </r>
  </si>
  <si>
    <r>
      <rPr>
        <b/>
        <sz val="10"/>
        <color theme="1"/>
        <rFont val="Calibri"/>
      </rPr>
      <t>Unit</t>
    </r>
  </si>
  <si>
    <r>
      <rPr>
        <b/>
        <sz val="10"/>
        <color theme="1"/>
        <rFont val="Calibri"/>
      </rPr>
      <t>QTY.</t>
    </r>
  </si>
  <si>
    <r>
      <rPr>
        <b/>
        <sz val="10"/>
        <color theme="1"/>
        <rFont val="Calibri"/>
      </rPr>
      <t>Rate</t>
    </r>
  </si>
  <si>
    <r>
      <rPr>
        <b/>
        <sz val="10"/>
        <color theme="1"/>
        <rFont val="Calibri"/>
      </rPr>
      <t>Amount (In Rs.)</t>
    </r>
  </si>
  <si>
    <r>
      <rPr>
        <b/>
        <sz val="10"/>
        <color theme="1"/>
        <rFont val="Calibri"/>
      </rPr>
      <t>SUB HEAD Q</t>
    </r>
  </si>
  <si>
    <r>
      <rPr>
        <b/>
        <sz val="10"/>
        <color theme="1"/>
        <rFont val="Calibri"/>
      </rPr>
      <t>LIGHT FIXTURES</t>
    </r>
  </si>
  <si>
    <r>
      <rPr>
        <b/>
        <sz val="10"/>
        <color rgb="FF000000"/>
        <rFont val="Calibri"/>
      </rPr>
      <t xml:space="preserve">Important Notes:
</t>
    </r>
    <r>
      <rPr>
        <b/>
        <sz val="10"/>
        <color rgb="FF000000"/>
        <rFont val="Calibri"/>
      </rPr>
      <t xml:space="preserve">1. Base specifications are given for 4000 -6000 Kelvin. However, all fixtures shall be considered with tunable White Operations for consideration of well being Norms.
</t>
    </r>
    <r>
      <rPr>
        <b/>
        <sz val="10"/>
        <color rgb="FF000000"/>
        <rFont val="Calibri"/>
      </rPr>
      <t xml:space="preserve">2. CRI value of all the fixtures shall be greater than 90.
</t>
    </r>
    <r>
      <rPr>
        <b/>
        <sz val="10"/>
        <color rgb="FF000000"/>
        <rFont val="Calibri"/>
      </rPr>
      <t xml:space="preserve">3.  UGR value shall be considered as per the given details in the specifications. All product shall be with UGR less than 19 and specific areas given in the detail specification with UGR 16 shall be considered as given in specifications.
</t>
    </r>
    <r>
      <rPr>
        <b/>
        <sz val="10"/>
        <color rgb="FF000000"/>
        <rFont val="Calibri"/>
      </rPr>
      <t xml:space="preserve">4. DALI Type 2 Drivers shall be  considered for all the fixtures (non dim considered for BOH &amp; certain other areas) and all Drivers shall be Tunable white. (there is no tuneable light fixture in the BoQ)
</t>
    </r>
    <r>
      <rPr>
        <b/>
        <sz val="10"/>
        <color rgb="FF000000"/>
        <rFont val="Calibri"/>
      </rPr>
      <t xml:space="preserve">5. Drivers shall be flicker free in operations.
</t>
    </r>
    <r>
      <rPr>
        <b/>
        <sz val="10"/>
        <color rgb="FF000000"/>
        <rFont val="Calibri"/>
      </rPr>
      <t xml:space="preserve">6. LED Life time shall be Minimum L90 50,000 Working Hours
</t>
    </r>
    <r>
      <rPr>
        <b/>
        <sz val="10"/>
        <color rgb="FF000000"/>
        <rFont val="Calibri"/>
      </rPr>
      <t>7. All LED fixtures shall have warranty as per OEM or atleast 6 years whichever is higher.</t>
    </r>
  </si>
  <si>
    <r>
      <rPr>
        <sz val="10"/>
        <color theme="1"/>
        <rFont val="Calibri"/>
      </rPr>
      <t>MR</t>
    </r>
  </si>
  <si>
    <r>
      <rPr>
        <sz val="10"/>
        <color rgb="FF000000"/>
        <rFont val="Calibri"/>
      </rPr>
      <t xml:space="preserve">Supply,Installation,Testing and Commissioning of LED strip for mounting in Cove SDCM 3 bin rolls, Color  temperature  4000K,  CRI≥90,  efficacy  </t>
    </r>
    <r>
      <rPr>
        <sz val="10"/>
        <color rgb="FFFF0000"/>
        <rFont val="Calibri"/>
      </rPr>
      <t>100-120lm/w</t>
    </r>
    <r>
      <rPr>
        <sz val="10"/>
        <color rgb="FF000000"/>
        <rFont val="Calibri"/>
      </rPr>
      <t xml:space="preserve">,  IP20,  working  temperature  -20°C  to
</t>
    </r>
    <r>
      <rPr>
        <sz val="10"/>
        <color rgb="FF000000"/>
        <rFont val="Calibri"/>
      </rPr>
      <t>+35°C,  SUpply  &amp;  Fixing  volatage  24V  DC.  The  strip  shall  have  a  cutting  pitch  of  6.25  mm,  a minimum bend radius of 50 mm, and be supplied with 3MM backing for mounting, compatible with aluminum  U/L-channel  profiles  for  better  heat  dissipation.  The  luminaire  shall  have  an  IP20 protection  rating,  suitable for  operation in ambient temperatures  between –25  °C and  +40 °C, and  a  rated  service  life  of  at  least  50,000  hours  (L70  @  25  °C)  tested  per  LM-79  and  LM-80 standards. The system shall be dimmable. The LED strips shall be supplied in standard 5-meter reels,  complete  with  all  mounting  accessories  necessary  for  a  complete installation.  The  bidder shall submit the NABL accreditation of LED luminaire manufacturer along with technical bid.  The bidder shall submit the Type test of luminaires &amp; LM79 test reports issued by NABL accredited lab before SUpply &amp; Fixing of material. DALI 2 BALLAST</t>
    </r>
  </si>
  <si>
    <r>
      <rPr>
        <sz val="10"/>
        <color theme="1"/>
        <rFont val="Calibri"/>
      </rPr>
      <t>RM</t>
    </r>
  </si>
  <si>
    <r>
      <rPr>
        <sz val="10"/>
        <color theme="1"/>
        <rFont val="Calibri"/>
      </rPr>
      <t>MR</t>
    </r>
  </si>
  <si>
    <r>
      <rPr>
        <sz val="10"/>
        <color rgb="FF000000"/>
        <rFont val="Calibri"/>
      </rPr>
      <t xml:space="preserve">Supply,Installation,Testing and Commissioning of LED strip for mounting in Cove SDCM 3 bin rolls,
</t>
    </r>
    <r>
      <rPr>
        <sz val="10"/>
        <color rgb="FF000000"/>
        <rFont val="Calibri"/>
      </rPr>
      <t xml:space="preserve">Color temperature 4000K, CRI≥90, efficacy </t>
    </r>
    <r>
      <rPr>
        <sz val="10"/>
        <color rgb="FFFF0000"/>
        <rFont val="Calibri"/>
      </rPr>
      <t>100-120lm/w</t>
    </r>
    <r>
      <rPr>
        <sz val="10"/>
        <color rgb="FF000000"/>
        <rFont val="Calibri"/>
      </rPr>
      <t xml:space="preserve">, IP20, working temperature -20°C to
</t>
    </r>
    <r>
      <rPr>
        <sz val="10"/>
        <color rgb="FF000000"/>
        <rFont val="Calibri"/>
      </rPr>
      <t>+35°C, SUpply &amp; Fixing volatage 24V DC. The strip shall have a cutting pitch of 6.25 mm, a minimum bend radius of 50 mm, and be supplied with 3MM backing for mounting, compatible with aluminum U/L-channel profiles for better heat dissipation. The luminaire shall have an IP20 protection rating, suitable for operation in ambient temperatures between –25 °C and +40 °C, and a rated service life of at least 50,000 hours (L70 @ 25 °C) tested per LM-79 and LM-80 standards. The system shall be dimmable. The LED strips shall be supplied in standard 5-meter reels, complete with all mounting accessories necessary for a complete installation. The bidder shall submit the NABL accreditation of LED luminaire manufacturer along with technical bid.  The bidder shall submit the Type test of luminaires &amp; LM79 test reports issued by NABL accredited lab before SUpply &amp; Fixing of material. The bidder shall submit the NABL accreditation of LED luminaire manufacturer along with technical bid.  The bidder shall submit the Type test of luminaires &amp; LM79 test reports issued by NABL accredited lab before SUpply &amp; Fixing of material. DALI 2 BALLAST</t>
    </r>
  </si>
  <si>
    <r>
      <rPr>
        <sz val="10"/>
        <color theme="1"/>
        <rFont val="Calibri"/>
      </rPr>
      <t>RM</t>
    </r>
  </si>
  <si>
    <r>
      <rPr>
        <sz val="10"/>
        <color theme="1"/>
        <rFont val="Calibri"/>
      </rPr>
      <t>MR</t>
    </r>
  </si>
  <si>
    <r>
      <rPr>
        <sz val="10"/>
        <color theme="1"/>
        <rFont val="Calibri"/>
      </rPr>
      <t>Supply,Installation,Testing and Commissioning of recessed mounted deep recessed Round Shape Fixed spot light, made up of pressure die-cast aluminium housing and white trim with diffuser,The luminaire shall deliver minimum of 1200-1400lumens with system efficacy of &gt;90  to 120lm/w.. Powered  by  electronic  LED  driver  with  Output  Short-circuit  protection,  Surge  protection  4KV. Color   temperature   4000K.   Dimensions:  Cut   out   Dia-90mm.   The   Luminaire   shall   be   IP20 complaint.CRI  90  &amp;  RA≥70,  SDCM&lt;3.  Beam  Angle  option  of  &gt;50  deg.  The  driver  of  the  LED downlighter shall be isolated driver and shall have minimum operating voltage of 140V to 270V, PF≥0.90 &amp; THD≤10%, . The luminaire shall have Class B serviceability and the life of luminaire shall be 50000hrs @ L70B50. Manufacturer shall have inhouse lab approved by NABL or ministry of  science  of  govt  of  India.  LM  79  and  LM80  reports  need  to  be  submitted  from  a  NABL/UL accredited lab to verify above parameters. Both the fixture and Driver should have separate BIS approval. (Non Dim driver)</t>
    </r>
  </si>
  <si>
    <r>
      <rPr>
        <sz val="10"/>
        <color theme="1"/>
        <rFont val="Calibri"/>
      </rPr>
      <t>Nos.</t>
    </r>
  </si>
  <si>
    <r>
      <rPr>
        <sz val="10"/>
        <color theme="1"/>
        <rFont val="Calibri"/>
      </rPr>
      <t>MR</t>
    </r>
  </si>
  <si>
    <r>
      <rPr>
        <sz val="10"/>
        <color theme="1"/>
        <rFont val="Calibri"/>
      </rPr>
      <t>Supply,Installation,Testing and Commissioning of recessed mounted deep recessed Round Shape Adjustable  spot  light,  made  up  of  pressure  die-cast  aluminium  housing  and  white  trim  with diffuser, The luminaire shall deliver minimum of 1000-1200lumens with system efficacy of&gt;90 to 120lm/w.. Powered by electronic LED driver with Output Short-circuit protection, Surge protection 4KV.   Color temperature Tunable. Dimensions: Cut out Dia-75mm. The  Luminaire shall  be IP20 complaint. CRI  90   &amp; RA≥70, SDCM&lt;3. Beam Angle option of &gt;50 deg. The driver of the LED downlighter shall be isolated driver and shall have minimum operating voltage of 140V to 270V, PF≥0.90 &amp; THD≤10%, . The luminaire shall have Class B serviceability and the life of luminaire shall be 50000hrs @ L70B50. Manufacturer shall have inhouse lab approved by NABL or ministry of  science  of  govt  of  India.  LM  79  and  LM80  reports  need  to  be  submitted  from  a  NABL/UL accredited lab to verify above parameters. Both the fixture and Driver should have separate BIS approval.  Fixture price to include dimmable driver.</t>
    </r>
  </si>
  <si>
    <r>
      <rPr>
        <sz val="10"/>
        <color theme="1"/>
        <rFont val="Calibri"/>
      </rPr>
      <t>Nos.</t>
    </r>
  </si>
  <si>
    <r>
      <rPr>
        <sz val="10"/>
        <color theme="1"/>
        <rFont val="Calibri"/>
      </rPr>
      <t>MR</t>
    </r>
  </si>
  <si>
    <r>
      <rPr>
        <sz val="10"/>
        <color rgb="FF000000"/>
        <rFont val="Calibri"/>
      </rPr>
      <t xml:space="preserve">Supply,Installation,Testing  and  Commissioning  of  20W  Recessed  mounted  deep  recessed  round shape fixed spot COB high efficacy downlighter, made up of pressure die-cast aluminium housing and white trim with reflector options of both white and Aluminium reflector finish with minimum system lumen output of 2000lm with =&lt;130lm/W system efficacy, with beam angle of 80 deg and 60 deg respectively. The luminaire shall have life of 50000hrs @L70B50, CRI ≥90, SDCM 5, THD
</t>
    </r>
    <r>
      <rPr>
        <sz val="10"/>
        <color rgb="FF000000"/>
        <rFont val="Calibri"/>
      </rPr>
      <t>≤10%,  pf  ≥0.9,  CCT-4000k.  Dimensions:  Cut  out  Dia-150mm.  The  Luminaire  shall  be  IP20 complaint. The product shall have internal surge protection of 3.5kV, with operating temperature range of 0 to 45 deg C and operating voltage range of 140-270V. Manufacturer shall have inhouse lab approved by NABL or ministry of science of govt of India. LM 79 and LM80 reports need to be submitted from a NABL/UL accredited lab to verify above parameters. Both the fixture and Driver should have separate BIS approval. Fixture price to include dimmable driver.</t>
    </r>
  </si>
  <si>
    <r>
      <rPr>
        <sz val="10"/>
        <color theme="1"/>
        <rFont val="Calibri"/>
      </rPr>
      <t>Nos.</t>
    </r>
  </si>
  <si>
    <r>
      <rPr>
        <sz val="10"/>
        <color theme="1"/>
        <rFont val="Calibri"/>
      </rPr>
      <t>MR</t>
    </r>
  </si>
  <si>
    <r>
      <rPr>
        <sz val="10"/>
        <color theme="1"/>
        <rFont val="Calibri"/>
      </rPr>
      <t>Supply,Installation,Testing   and   Commissioning   of   Suspended/Surface   mounted   Cylinderical Downlight with Micro Prismatic diffuser better UGR rating, 1500-1600 lm, CCT 4000k, SDCM&lt;5, CRI  90,  Efficacy  ≥100lm/W,  Surge  2.5KV  internal,  THD  ≤10%  (At  Full  Load),  pf  ≥0.9.  The luminaire housing shall be Extruded aluminum housing, white finish, Product Dia 75mm, Height 150mm, Life L70B50 @ 50K Hrs.@ 45 Degree Ambient temp. The product should be with current ripple factor &lt;5%. The product should have beam angle option of &gt;50° beam angles to choose from as per the application. The operating temperature should be -10° to +45°; operating volateg range  shall  be  140-270V.  The  product  shall  be  Class  B  serviceability.  Manufacturer  shall  have inhouse lab approved by NABL or ministry of science of govt of India. LM 79 and LM80 reports need to be submitted from a NABL/UL accredited lab to verify above parameters. Both the fixture and Driver should have separate BIS approval. Fixture price to include dimmable driver.</t>
    </r>
  </si>
  <si>
    <r>
      <rPr>
        <sz val="10"/>
        <color theme="1"/>
        <rFont val="Calibri"/>
      </rPr>
      <t>Nos.</t>
    </r>
  </si>
  <si>
    <r>
      <rPr>
        <sz val="10"/>
        <color theme="1"/>
        <rFont val="Calibri"/>
      </rPr>
      <t>MR</t>
    </r>
  </si>
  <si>
    <r>
      <rPr>
        <sz val="10"/>
        <color theme="1"/>
        <rFont val="Calibri"/>
      </rPr>
      <t>Supply,Installation,Testing  and Commissioning of of Suspended Up-Down W 35MMxH 35MM x L 2400 MM linear 65mm wide Continuous LED luminaire made of extruded aluminum, with special lens of dew drop facet design(housed in antiglare shield) &amp; sunflower tessellation to have Delta wing  distribution.  The  luminaire  shall  have  system  efficacy  of  =&lt;130lm/W   with  5400Lumen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</si>
  <si>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</si>
  <si>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</si>
  <si>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Suspended Up-Down 35mm x 35mm x 3000mm linear 65mm wide Continuous LED luminaire made of extruded aluminum, with special lens of dew drop facet design(housed in antiglare shield) &amp; sunflower tessellation to have Delta wing distribution. The luminaire shall have system efficacy of =&lt;120lm/W  with 1200- 1500Lumen/Meter with 70:30 Ratio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</si>
  <si>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</si>
  <si>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</si>
  <si>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Suspended  Down  W35mm  x  H35mm  x  L 1600mm linear 65mm wide Continuous LED luminaire made of extruded aluminum, with special lens of dew drop facet design(housed in antiglare shield) &amp; sunflower tessellation to have Delta wing   distribution.   The   luminaire   shall   have   system   efficacy   of   =&lt;130lm/W    with   1200- 1500Lumen/meter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</si>
  <si>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</si>
  <si>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</si>
  <si>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Suspended   Down   W35mm   x   H35mm   x L1800mm Continuous LED luminaire made of extruded aluminum, with special lens of dew drop facet design(housed in antiglare shield) &amp; sunflower tessellation to have Delta wing distribution. The luminaire shall have system efficacy of =&lt;130lm/W  with 1200-1500Lumen/meter with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</si>
  <si>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</si>
  <si>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</si>
  <si>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Suspended   Down   5ft   linear   65mm   wide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</si>
  <si>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</si>
  <si>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</si>
  <si>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Suspended Down W35mm x H35mm x L3300- 3400mm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</si>
  <si>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</si>
  <si>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</si>
  <si>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Suspended Down W35mm x H35mm x L3200- 3300mm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</si>
  <si>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</si>
  <si>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</si>
  <si>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Suspended  Down  W35mm  x  H35mm  x  L900- 1000mm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</si>
  <si>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</si>
  <si>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</si>
  <si>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rgb="FF000000"/>
        <rFont val="Calibri"/>
      </rPr>
      <t xml:space="preserve">Supply,Installation,Testing and Commissioning of stanalone Suspended slim Linear LED made of extruded  Aluminium   with  white/black  powder  coaed  finish  with  high  efficiency  drop  down polycarbonate/PS  diffuser  to  have  volumetric  light  distribution  and  wide  angle  illumination.  The luminaire shall have a W35mm x H35mm x L2000mm.  LED Used shall be SMD type with approx system Lumens 4800 &amp; efficacy =&gt;120lm/W,1200-1500Lm/Meter, Life of fixture : 50000 burning Hrs.  @  L70B50  Lumen  maintenance,  CCT  of  4000K  (SDCM&lt;=5),  CRI  Ra  ≥80,  PF  ≥0.95, THD≤10%, an Operating working temp range - 0°C &lt; Ta &lt; 45°C &amp; operating Voltage Range of 140-270 V AC. Minimum Internal Surge Protection 3.5kV. Luminaire with Ingress &amp; IK protection Rating of of IP20 &amp; IK02.The driver shall be compliant to  IEC61347-2-13, IEC62384 &amp; IEC6100-3
</t>
    </r>
    <r>
      <rPr>
        <sz val="10"/>
        <color rgb="FF000000"/>
        <rFont val="Calibri"/>
      </rPr>
      <t>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</si>
  <si>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</si>
  <si>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</si>
  <si>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Suspended Down W35mm x H35mm x L4500- 4600mm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</si>
  <si>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</si>
  <si>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</si>
  <si>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rectangal W35mm x H45mm profile and fixture size  is  1200mm  x  3900  mm  Continuos  linear  with  deep  recessed  Diffuser  with  Up  &amp;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of 65mm widthX100mm height, with minimum system lumen of 1200-1500lm/meter and with system efficacy of &gt;=120lm/W. The life of fixture shall be 50000 burning hours @L70B50 lumen maintenance,  CCT  4000K,  SDCM&lt;5,  CRI≥90,  PF≥0.95,THD≤10%,  an  Operating  working  temp range : 0°C &lt; Ta &lt; 45°C &amp; operating Voltage Range of 140-270 V AC. Minimum Internal Surge Protection 3.5KV. ,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</si>
  <si>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</si>
  <si>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</si>
  <si>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rgb="FF000000"/>
        <rFont val="Calibri"/>
      </rPr>
      <t xml:space="preserve">Supply,Installation,Testing  and  Commissioning  of  Standalone/Continues  Recessed  linear  LED luminaire made of extruded aluminimum with White/Black Powder Coated finish, With Lenses and UGR reflector, with reflector color Gun-metal/black. UGR&lt;16.The luminaire having Multiple Lumen Output  Options  Varying  from  1200-1500  Lumens/meter  to  choose  from,with  system  efficacy  of
</t>
    </r>
    <r>
      <rPr>
        <sz val="10"/>
        <color rgb="FF000000"/>
        <rFont val="Calibri"/>
      </rPr>
      <t>≥120lm/w.   COD   Dimenions   W35mm   x   H35mm   x   L7550mm   .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</si>
  <si>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</si>
  <si>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</si>
  <si>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Standalone/Continues  recessed   linear  LED luminaire made of extruded aluminimum with White/Black Powder Coated finish, With Lenses and UGR reflector, with reflector color Gun-metal/black. UGR&lt;16.The luminaire having Multiple Lumen Output  Options  Varying  from  1200-1500  Lumen/meter  to  choose  from,with  system  efficacy  of
</t>
    </r>
    <r>
      <rPr>
        <sz val="10"/>
        <color rgb="FF000000"/>
        <rFont val="Calibri"/>
      </rPr>
      <t>≥100lm/w  &amp; system wattage option 16W-44W (±5%). W35mm x H35mm x L2900-3000mmm. Optics option of Square 50deg,Round 24deg and wallwasher.The luminaire shall have a width of not more than 55mm(± 2mm), height 64mm (± 2mm) and shall be available in multiple lengths. The  life  shall  be  50K  Hrs.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</si>
  <si>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</si>
  <si>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</si>
  <si>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stanalone Suspended slim Linear LED made of extruded  Aluminium   with  white/black  powder  coaed  finish  with  high  efficiency  drop  down polycarbonate/PS  diffuser  to  have  volumetric  light  distribution  and  wide  angle  illumination.  The luminaire shall have a W35mm x H35mm x L1200mm.  LED Used shall be SMD type with approx system Lumens 2800 &amp; efficacy &gt;=120-150lm/W,Life of fixture : 50000 burning Hrs. @ L70B50 Lumen maintenance, CCT of 4000K (SDCM&lt;=5), CRI Ra ≥80, PF ≥0.95, THD≤10%, an Operating working temp range - 0°C &lt; Ta &lt; 45°C &amp; operating Voltage Range of 140-270 V AC. Minimum Internal  Surge  Protection  3.5kV.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</si>
  <si>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</si>
  <si>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</si>
  <si>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t>
    </r>
    <r>
      <rPr>
        <b/>
        <sz val="10"/>
        <color rgb="FF000000"/>
        <rFont val="Calibri"/>
      </rPr>
      <t xml:space="preserve">rectangal   1200mmx7495mm   </t>
    </r>
    <r>
      <rPr>
        <sz val="10"/>
        <color rgb="FF000000"/>
        <rFont val="Calibri"/>
      </rPr>
      <t>Formed standalone/Continuos linear with deep recessed Diffuser with Up &amp;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of   65mm widthX100mm  height,  with  minimum  system  lumen  of  1200-2000lm/meter  and  with  system efficacy  of  &gt;=120lm/W.  The  life  of  fixture  shall  be  50000  burning  hours  @L70B50  lumen maintenance,  CCT  4000K,  SDCM&lt;5,  CRI≥90,  PF≥0.95,THD≤10%,  an  Operating  working  temp range : 0°C &lt; Ta &lt; 45°C &amp; operating Voltage Range of 140-270 V AC. Minimum Internal Surge Protection 3.5KV. ,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</si>
  <si>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</si>
  <si>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</si>
  <si>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rgb="FF000000"/>
        <rFont val="Calibri"/>
      </rPr>
      <t xml:space="preserve">Supply,Installation,Testing   and   Commissioning   of   Standalone/Continues   </t>
    </r>
    <r>
      <rPr>
        <b/>
        <sz val="10"/>
        <color rgb="FF000000"/>
        <rFont val="Calibri"/>
      </rPr>
      <t xml:space="preserve">rectangal   8300- 8400mm x 2000-2100mm </t>
    </r>
    <r>
      <rPr>
        <sz val="10"/>
        <color rgb="FF000000"/>
        <rFont val="Calibri"/>
      </rPr>
      <t xml:space="preserve">suspended  linear LED luminaire made of extruded aluminimum with White/Black  Powder  Coated  finish,  With  Lenses  and  UGR  reflector,  with  reflector  color  Gun- metal/black. UGR&lt;16.The luminaire having Multiple Lumen Output Options Varying from 1800lm- 4400 Lumens to choose from,with system efficacy of ≥100lm/w &amp; system wattage option 16W- 44W (±5%). COD Dimenions W 42MM x H 35MM. Optics option of Square  50deg,Round 24deg and wallwasher.The life shall be 50K Hrs. at L70B50. Operating temperature of the luminaire shall be 0°C to +45°C and driver shall comply to the minimum electronic paramtere like THD≤ 10%, PF
</t>
    </r>
    <r>
      <rPr>
        <sz val="10"/>
        <color rgb="FF000000"/>
        <rFont val="Calibri"/>
      </rPr>
      <t>≥0.9,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</si>
  <si>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</si>
  <si>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</si>
  <si>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Standalone/Continues  recessed   linear  LED luminaire made of extruded aluminimum with White/Black Powder Coated finish, With Lenses and UGR reflector, with reflector color Gun-metal/black. UGR&lt;16.The luminaire having Multiple Lumen Output  Options  Varying  from  1800lm-  4400  Lumens  to  choose  from,with  system  efficacy  of
</t>
    </r>
    <r>
      <rPr>
        <sz val="10"/>
        <color rgb="FF000000"/>
        <rFont val="Calibri"/>
      </rPr>
      <t xml:space="preserve">≥120lm/w &amp; 1200-1500lm/meter. COD Dimenions </t>
    </r>
    <r>
      <rPr>
        <b/>
        <sz val="10"/>
        <color rgb="FF000000"/>
        <rFont val="Calibri"/>
      </rPr>
      <t>W 35MM x H 35MM X L 14000-15000 MM</t>
    </r>
    <r>
      <rPr>
        <sz val="10"/>
        <color rgb="FF000000"/>
        <rFont val="Calibri"/>
      </rPr>
      <t xml:space="preserve">. Optics option of Square 50deg,Round 24deg and wallwasher.The luminaire shall have a width of not more than 55mm(± 2mm), height 64mm (± 2mm) and shall be available in multiple lengths. The  life  shall  be  50K  Hrs.  at  L70B50.  Operating  temperature  of  the  luminaire  shall  be  0°C  to
</t>
    </r>
    <r>
      <rPr>
        <sz val="10"/>
        <color rgb="FF000000"/>
        <rFont val="Calibri"/>
      </rPr>
      <t>+45°C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</si>
  <si>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</si>
  <si>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</si>
  <si>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Standalone/Continues      rectangal 2690mmx4280mm   recessed    linear   LED   luminaire   made   of   extruded   aluminimum   with White/Black  Powder  Coated  finish,  With  Lenses  and  UGR  reflector,  with  reflector  color  Gun- metal/black.  UGR&lt;16.The  luminaire  having  Multiple  Lumen  Output  Options  Varying  from  1200- 1500lm/meter,with  system  efficacy  of  ≥100lm/w  &amp;  system.W35mm  x  H35mm  x  profile  and fixture size is 2700mm x 4500mm. Optics option of Square 50deg,Round 24deg and wallwasher. The  life  shall  be  50K  Hrs.  at  L70B50.  Operating  temperature  of  the  luminaire  shall  be  0°C  to
</t>
    </r>
    <r>
      <rPr>
        <sz val="10"/>
        <color rgb="FF000000"/>
        <rFont val="Calibri"/>
      </rPr>
      <t>+45°C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</si>
  <si>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</si>
  <si>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</si>
  <si>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Standalone/Continues   rectangal   recessed linear LED luminaire made of extruded aluminimum with White/Black Powder Coated finish, With Lenses  and  UGR  reflector,  with  reflector  color  Gun-metal/black.  UGR&lt;16.The  luminaire  having Multiple  Lumen  Output  Options  Varying  from  1200-1500  Lumens/meter  to  choose  from,with system efficacy of ≥100lm/w. W35mm x H45mm profile and fixture size is 5300-7100mm.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</si>
  <si>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</si>
  <si>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</si>
  <si>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Standalone/Continues   rectangal   recessed linear LED luminaire made of extruded aluminimum with White/Black Powder Coated finish, With Lenses  and  UGR  reflector,  with  reflector  color  Gun-metal/black.  UGR&lt;16.The  luminaire  having Multiple  Lumen  Output  Options  Varying  from  1200-  1500  Lumens/meter  to  choose  from,with system efficacy of ≥100lm/w.W35mm x H45mm profile and fixture size is 4820mm x 8820mm. Optics option of Square 50deg,Round 24deg and wallwasher.The luminaire shall have a width of not more than 55mm(± 2mm), height 64mm (± 2mm) and shall be available in multiple lengths. The  life  shall  be  50K  Hrs.  at  L70B50.  Operating  temperature  of  the  luminaire  shall  be  0°C  to
</t>
    </r>
    <r>
      <rPr>
        <sz val="10"/>
        <color rgb="FF000000"/>
        <rFont val="Calibri"/>
      </rPr>
      <t>+45°C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</si>
  <si>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</si>
  <si>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</si>
  <si>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Standalone/Continues rectangal recessed  linear LED luminaire made of extruded aluminimum with White/Black Powder Coated finish, With Lenses and  UGR  reflector,  with  reflector  color  Gun-metal/black.  UGR&lt;16.The  luminaire  having  Multiple Lumen  Output  Options  Varying  from  1200-  1500  Lumens/meter  to  choose  from,with  system efficacy  of  ≥100lm/w.W35mm  x  H45mm  profile  and  fixture  size  is  1400-1500mm  x  5700- 5800mm.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</si>
  <si>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</si>
  <si>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</si>
  <si>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Standalone/Continues   </t>
    </r>
    <r>
      <rPr>
        <b/>
        <sz val="10"/>
        <color rgb="FF000000"/>
        <rFont val="Calibri"/>
      </rPr>
      <t xml:space="preserve">rectangal   </t>
    </r>
    <r>
      <rPr>
        <sz val="10"/>
        <color rgb="FF000000"/>
        <rFont val="Calibri"/>
      </rPr>
      <t>recessed linear LED luminaire made of extruded aluminimum with White/Black Powder Coated finish, With Lenses  and  UGR  reflector,  with  reflector  color  Gun-metal/black.  UGR&lt;16.The  luminaire  having Multiple  Lumen  Output  Options  Varying  from  1200-1500  Lumens/meter  to  choose  from,with system  efficacy  of  ≥100lm/w  &amp;  system  wattage  option  16W-44W  (±5%).  COD  Dimenions  W 42MM x H 35MM. Optics option of Square 50deg,Round 24deg and wallwasher.W35mm x H45mm profile and fixture size is 9300mm x 7100mm .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</si>
  <si>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</si>
  <si>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</si>
  <si>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Continues  </t>
    </r>
    <r>
      <rPr>
        <b/>
        <sz val="10"/>
        <color rgb="FF000000"/>
        <rFont val="Calibri"/>
      </rPr>
      <t xml:space="preserve">rectangal  </t>
    </r>
    <r>
      <rPr>
        <sz val="10"/>
        <color rgb="FF000000"/>
        <rFont val="Calibri"/>
      </rPr>
      <t xml:space="preserve">recessed   linear  LED luminaire made of extruded aluminimum with White/Black Powder Coated finish, With Lenses and UGR reflector, with reflector color Gun-metal/black. UGR&lt;16.The luminaire having Multiple Lumen Output  Options  Varying  from  1200-1500  Lumens/meter  to  choose  from,with  system  efficacy  of
</t>
    </r>
    <r>
      <rPr>
        <sz val="10"/>
        <color rgb="FF000000"/>
        <rFont val="Calibri"/>
      </rPr>
      <t>≥100lm/w . W35mm x H45mmprofile and fixture size is 4900-5000mm x 7500-7600mm .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</si>
  <si>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</si>
  <si>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</si>
  <si>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Continues recessed  linear LED luminaire made of extruded aluminimum with White/Black Powder Coated finish, With Lenses and UGR reflector, with reflector color Gun-metal/black. UGR&lt;16. The luminaire having lumens 1200-1500lm/m to
</t>
    </r>
    <r>
      <rPr>
        <sz val="10"/>
        <color rgb="FF000000"/>
        <rFont val="Calibri"/>
      </rPr>
      <t xml:space="preserve">,with system efficacy of ≥100lm/w,with system efficacy of ≥100lm/w. COD Dimenions </t>
    </r>
    <r>
      <rPr>
        <b/>
        <sz val="10"/>
        <color rgb="FF000000"/>
        <rFont val="Calibri"/>
      </rPr>
      <t>W 35MM x H 35MM X L 3200-3300mm</t>
    </r>
    <r>
      <rPr>
        <sz val="10"/>
        <color rgb="FF000000"/>
        <rFont val="Calibri"/>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</si>
  <si>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</si>
  <si>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</si>
  <si>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Supply,Installation,Testing and Commissioning of  Continues recessed  linear LED luminaire made of extruded aluminimum with White/Black Powder Coated finish, With Lenses and UGR reflector, with reflector color Gun-metal/black. UGR&lt;16. The luminaire having lumens 1200-1500lm/meter to  ,with  system  efficacy  of  ≥100lm/w,with  system  efficacy  of  ≥100lm/w.  COD  Dimenions  W 35</t>
    </r>
    <r>
      <rPr>
        <b/>
        <sz val="10"/>
        <color rgb="FF000000"/>
        <rFont val="Calibri"/>
      </rPr>
      <t>MM  x  H  35MM  X  L  3200-3300MM</t>
    </r>
    <r>
      <rPr>
        <sz val="10"/>
        <color rgb="FF000000"/>
        <rFont val="Calibri"/>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</si>
  <si>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</si>
  <si>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</si>
  <si>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Supply,Installation,Testing and Commissioning of Continues recessed  linear LED luminaire made of extruded aluminimum with White/Black Powder Coated finish, With Lenses and UGR reflector, with reflector color Gun-metal/black. UGR&lt;16. The luminaire having lumens 1200-1500lm/meter to  ,with  system  efficacy  of  ≥100lm/w,with  system  efficacy  of  ≥100lm/w.  COD  Dimenions  W 35</t>
    </r>
    <r>
      <rPr>
        <b/>
        <sz val="10"/>
        <color rgb="FF000000"/>
        <rFont val="Calibri"/>
      </rPr>
      <t>MM  x  H  35MM  X  L  3100-3200MM</t>
    </r>
    <r>
      <rPr>
        <sz val="10"/>
        <color rgb="FF000000"/>
        <rFont val="Calibri"/>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</si>
  <si>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</si>
  <si>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</si>
  <si>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Continues recessed  linear LED luminaire made of extruded aluminimum with White/Black Powder Coated finish, With Lenses and UGR reflector, with reflector color Gun-metal/black. UGR&lt;16. The luminaire having lumens 1200-1500lm/m to
</t>
    </r>
    <r>
      <rPr>
        <sz val="10"/>
        <color rgb="FF000000"/>
        <rFont val="Calibri"/>
      </rPr>
      <t>,with system efficacy of ≥100lm/w,with system efficacy of ≥100lm/w. COD Dimenions W 35</t>
    </r>
    <r>
      <rPr>
        <b/>
        <sz val="10"/>
        <color rgb="FF000000"/>
        <rFont val="Calibri"/>
      </rPr>
      <t>MM x H  35MM  X  L  3100MM</t>
    </r>
    <r>
      <rPr>
        <sz val="10"/>
        <color rgb="FF000000"/>
        <rFont val="Calibri"/>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</si>
  <si>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</si>
  <si>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</si>
  <si>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Continues recessed  linear LED luminaire made of extruded aluminimum with White/Black Powder Coated finish, With Lenses and UGR reflector, with  reflector  color  Gun-metal/black.  UGR&lt;16.The  luminaire  having  lumens  1200-1500lm/m  to
</t>
    </r>
    <r>
      <rPr>
        <sz val="10"/>
        <color rgb="FF000000"/>
        <rFont val="Calibri"/>
      </rPr>
      <t>,with system efficacy of ≥100lm/w ,with system efficacy of ≥100lm/w. COD Dimenions W 35</t>
    </r>
    <r>
      <rPr>
        <b/>
        <sz val="10"/>
        <color rgb="FF000000"/>
        <rFont val="Calibri"/>
      </rPr>
      <t>MM x H 35MM X L 2600-2800MM</t>
    </r>
    <r>
      <rPr>
        <sz val="10"/>
        <color rgb="FF000000"/>
        <rFont val="Calibri"/>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</si>
  <si>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</si>
  <si>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</si>
  <si>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Continues recessed  linear LED luminaire made of extruded aluminimum with White/Black Powder Coated finish, With Lenses and UGR reflector, with  reflector  color  Gun-metal/black.  UGR&lt;16.The  luminaire  having  lumens  1200-1500lm/m  to
</t>
    </r>
    <r>
      <rPr>
        <sz val="10"/>
        <color rgb="FF000000"/>
        <rFont val="Calibri"/>
      </rPr>
      <t>,with system efficacy of ≥100lm/w, with system efficacy of ≥100lm/w. COD Dimenions W 35</t>
    </r>
    <r>
      <rPr>
        <b/>
        <sz val="10"/>
        <color rgb="FF000000"/>
        <rFont val="Calibri"/>
      </rPr>
      <t>MM x H 35MM X L 2100-2200MM</t>
    </r>
    <r>
      <rPr>
        <sz val="10"/>
        <color rgb="FF000000"/>
        <rFont val="Calibri"/>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</si>
  <si>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</si>
  <si>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</si>
  <si>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Continues recessed  linear LED luminaire made of extruded aluminimum with White/Black Powder Coated finish, With Lenses and UGR reflector, with reflector color Gun-metal/black. UGR&lt;16.The luminaire having lumens 1200-1500lm/meter to ,with system efficacy of ≥100lm/w, with system efficacy of ≥100lm/w. COD DimenionsW35mm x  H35mm  x  L1200-1300mm.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</si>
  <si>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</si>
  <si>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</si>
  <si>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Continues recessed  linear LED luminaire made of extruded aluminimum with White/Black Powder Coated finish, With Lenses and UGR reflector, with  reflector  color  Gun-metal/black.  UGR&lt;16.  The  luminaire  having  lumens  1200-1500lm/m
</t>
    </r>
    <r>
      <rPr>
        <sz val="10"/>
        <color rgb="FF000000"/>
        <rFont val="Calibri"/>
      </rPr>
      <t>,with system efficacy of ≥100lm/w. COD Dimenions W35mm x H35mm x L2100mm.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</si>
  <si>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</si>
  <si>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</si>
  <si>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continuous Suspended slim Linear LED made of extruded  Aluminium   with  white/black  powder  coaed  finish  with  high  efficiency  drop  down polycarbonate/PS  diffuser  to  have  volumetric  light  distribution  and  wide  angle  illumination.  The luminaire shall have a aluminium profile of 1000mm x 50mm x 80mm.  LED Used shall be SMD type  with  approx  system  Lumens  1200-1500/m  &amp;  efficacy  &gt;=150lm/W,Life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</si>
  <si>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</si>
  <si>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</si>
  <si>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stanalone/continues  Recessed  slim  Linear  LED made  of  extruded  Aluminium   with  white/black  powder  coaed  finish  with  high  efficiency  Micro Prismatic Diffuser.The luminaire shall have a 1200mm x 50mm x 80mm.  LED Used shall be SMD type  with  approx  system  Lumens  2200-3000  (+-10%)  &amp;  efficacy  115lm/W,  UGR&lt;19  Life  of fixture : 50000 burning Hrs. @ L70B50 Lumen maintenance, Driver should be DALI2 Certified &amp; compliant,  Power  factor  0.99%,   efficiency  of  ≥  91%  Output  current  ripple  LF&lt;4%.  CCT  of Tunable (SDCM&lt;=5), CRI 90, PF ≥0.95, THD≤ 10%, an Operating working temp range - 0°C &lt; Ta &lt; 45°C &amp; operating Voltage Range of 140-270 V AC having Class - I protection &amp; serviceability of Class B. Minimum Internal Surge Protection 3.5kV.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</si>
  <si>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</si>
  <si>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</si>
  <si>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continues  Recessed  slim  Linear  LED  made  of extruded  Aluminium   with  white/black  powder  coaed  finish  with  high  efficiency  Micro  Prismatic Diffuser.The luminaire shall have a 1200mm x 50mm x 80mm.  LED Used shall be SMD type with approx system Lumens 2200-3000 (+-10%) &amp; efficacy 115lm/W, UGR&lt;19 Life of fixture : 50000 burning Hrs. @ L70B50 Lumen maintenance, Driver should be DALI2 Certified &amp; compliant, Power factor 0.99%,   efficiency of ≥ 91% Output current  ripple LF&lt;4%.  CCT of  Tunable (SDCM&lt;=5), CRI 90, PF ≥0.95, THD≤ 10%, an Operating working temp range - 0°C &lt; Ta &lt; 45°C &amp; operating Voltage Range of 140-270 V AC having Class - I protection &amp; serviceability of Class B. Minimum Internal  Surge  Protection  3.5kV.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</si>
  <si>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</si>
  <si>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</si>
  <si>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continuous Suspended slim Linear LED made of extruded  Aluminium   with  white/black  powder  coaed  finish  with  high  efficiency  drop  down polycarbonate/PS  diffuser  to  have  volumetric  light  distribution  and  wide  angle  illumination.  The luminaire shall have a 1400m x 50mm x 80mm.  LED Used shall be SMD type with approx system Lumens 3500-4000 &amp; efficacy &lt;=150lm/W,Life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 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</si>
  <si>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</si>
  <si>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</si>
  <si>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stanalone/continuous  Suspended  slim  Linear LED made of extruded Aluminium  with white/black powder coaed finish with high efficiency drop down  polycarbonate PS diffuser to have volumetric light distribution and wide angle illumination. The luminaire shall have a width of 1500mmx50mmx80mm.  LED Used shall be SMD type with approx system Lumens 4000-5000 &amp; efficacy &lt;=150lm/W,Life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</si>
  <si>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</si>
  <si>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</si>
  <si>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continuous Suspended 5ft slim Linear LED made of  extruded  Aluminium   with  white/black  powder  coaed  finish  with  high  efficiency  drop  down polycarbonate/PS  diffuser  to  have  volumetric  light  distribution  and  wide  angle  illumination.  The luminaire shall have an extruded aluminium profile of 1600mm x 50mm x 80mm.  LED Used shall be  SMD  type  with  approx  system  Lumens  4000-5000  &amp;  efficacy  &lt;=150lm/W,Life  of  fixture  : 50000 burning Hrs. @ L70B50 Lumen maintenance, CCT of 4000K (SDCM&lt;=5), CRI Ra ≥80, PF
</t>
    </r>
    <r>
      <rPr>
        <sz val="10"/>
        <color rgb="FF000000"/>
        <rFont val="Calibri"/>
      </rPr>
      <t>≥0.95,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</si>
  <si>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</si>
  <si>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</si>
  <si>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continuous Suspended 6ft slim Linear LED made of  extruded  Aluminium   with  white/black  powder  coaed  finish  with  high  efficiency  drop  down polycarbonate/PS  diffuser  to  have  volumetric  light  distribution  and  wide  angle  illumination.  The luminaire shall have a 2000mmx50mmx80mm.  LED Used shall be SMD type with approx system Lumens 4000-5000 &amp; efficacy &lt;=150lm/W,Life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 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</si>
  <si>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</si>
  <si>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</si>
  <si>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stanalone/continuous  Suspended  slim  Linear LED made of extruded Aluminium  with white/black powder coaed finish with high efficiency drop down  polycarbonate/PS diffuser to have volumetric light distribution and wide angle illumination. The luminaire shall have a 2400mm x 50mm x 80mm.  LED Used shall be SMD type with approx system Lumens 5000-6000 &amp; efficacy &lt;=150lm/W,Life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 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</si>
  <si>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</si>
  <si>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</si>
  <si>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rectangal   1200mmx2400mm   an  extruded aluminium  profile  of  50mm  x  80mm  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with minimum system lumen of 5000-6000lm and with system efficacy of &lt;=120lm/W. The life of  fixture  shall  be  50000  burning  hours  @L70B50  lumen  maintenance,  CCT  4000K,  SDCM&lt;5, CRI≥90, PF≥0.95,THD≤10%, an Operating working temp range : 0°C &lt; Ta &lt; 45°C &amp; operating Voltage  Range  of  140-270  V  AC. Minimum  Internal  Surge  Protection  3.5KV.  ,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</si>
  <si>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</si>
  <si>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</si>
  <si>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theme="1"/>
        <rFont val="Calibri"/>
      </rPr>
      <t>Supply,Installation,Testing and Commissioning of rectangal 1200mmx3600-3700mm, an extruded aluminium   profile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system efficacy of &gt;=120lm/W. The life of fixture shall be 50000 burning hours @L70B50 lumen maintenance, CCT 4000K, SDCM&lt;5, CRI≥90, PF≥0.95,THD≤10%, an Operating working temp range : 0°C &lt; Ta &lt; 45°C &amp; operating Voltage Range of 140-270 V AC. Minimum Internal Surge Protection 3.5KV. ,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</si>
  <si>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</si>
  <si>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</si>
  <si>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rgb="FF000000"/>
        <rFont val="Calibri"/>
      </rPr>
      <t xml:space="preserve">Supply,Installation,Testing and Commissioning of ractangle  extruded aluminium profile of 50mm
</t>
    </r>
    <r>
      <rPr>
        <sz val="10"/>
        <color rgb="FF000000"/>
        <rFont val="Calibri"/>
      </rPr>
      <t xml:space="preserve">× 80mm and the fixture size is 5820mm X 1400mm, rectangular shapeContinuos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efficacy of &gt;=120lm/W. The life of fixture shall be 50000 burning hours @L70B50 lumen maintenance, CCT 4000K, SDCM&lt;5, CRI≥90, PF≥0.95,THD≤10%, an Operating working temp range : 0°C &lt; Ta &lt; 45°C &amp; operating Voltage Range of 140-270 V AC. Minimum Internal  Surge  Protection  3.5KV.  ,  Driver  should  be  DALI 2  Certified  &amp;  compliant,  Power  factor 0.99%,  efficiency of ≥ 91% Output current ripple LF&lt;4%, The fixture design should comply to IEC61000-3-2 ed.3.2, 2009 for Harmonics, IEC61347 -2 -13, 2006 in Conjunction with IEC61347-
</t>
    </r>
    <r>
      <rPr>
        <sz val="10"/>
        <color rgb="FF000000"/>
        <rFont val="Calibri"/>
      </rPr>
      <t>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</si>
  <si>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</si>
  <si>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</si>
  <si>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theme="1"/>
        <rFont val="Calibri"/>
      </rPr>
      <t>Supply,Installation,Testing    and    Commissioning    of    rectangal    1200mmx5980mm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of   65mm widthX100mm  height,  with  minimum  system  lumen  of  2000-2500lm/meter  and  with  system efficacy  of  &gt;=120lm/W.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</si>
  <si>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</si>
  <si>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</si>
  <si>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rgb="FF000000"/>
        <rFont val="Calibri"/>
      </rPr>
      <t xml:space="preserve">Supply,Installation,Testing  and  Commissioning  of  rectangal  Fixture  size  900mmx2600-2700mm, profile  of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minimum   system   lumen   of   2000-2500lm/m   and   with   system   efficacy   of
</t>
    </r>
    <r>
      <rPr>
        <sz val="10"/>
        <color rgb="FF000000"/>
        <rFont val="Calibri"/>
      </rPr>
      <t>&gt;=120lm/W.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</si>
  <si>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</si>
  <si>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</si>
  <si>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theme="1"/>
        <rFont val="Calibri"/>
      </rPr>
      <t>Supply,Installation,Testing  and  Commissioning  of  rectangal  fixture  size  is  3100-3200mmx2100- 2200mm,  profile  of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minimum  system  lumen  of  2000-2500lm/m  and  with  system efficacy  of  &gt;=120lm/W.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</si>
  <si>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</si>
  <si>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</si>
  <si>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theme="1"/>
        <rFont val="Calibri"/>
      </rPr>
      <t>Supply,Installation,Testing and Commissioning of rectangal 2700-2800mmx1300-1400mm, profile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with minimum system lumen of 2000-2500lm/m and with system efficacy of &gt;=120lm/W.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</si>
  <si>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</si>
  <si>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</si>
  <si>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theme="1"/>
        <rFont val="Calibri"/>
      </rPr>
      <t>Supply,Installation,Testing  and  Commissioning  of  rectangal  fixture  size  is  900mm  x  1600- 1700mm,  profile  of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minimum  system  lumen  of  2000-2500lm/m  and  with  system efficacy  of  &gt;=120lm/W.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</si>
  <si>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</si>
  <si>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</si>
  <si>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theme="1"/>
        <rFont val="Calibri"/>
      </rPr>
      <t>Supply,Installation,Testing  and  Commissioning  of  rectangal  fixture  size  is  900-1000mmx900- 1000mm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minimum system lumen of 2000-2500lm/m and with system efficacy of &lt;=120lm/W.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</si>
  <si>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</si>
  <si>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</si>
  <si>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theme="1"/>
        <rFont val="Calibri"/>
      </rPr>
      <t>Supply,Installation,Testing and Commissioning of Recessed mounted cleanroom 2x2 LED bottom opening ,made of CRCA housing with acrylic cover that ensures IK07 protectionr. LED Used shall be SMD type and fixture should have minimum efficacy at System level &gt;=100 lumens/watt with Minimum system Lumens 3600-4200lm ,  Life of fixture : 50000 burning Hrs. @ L70B50 Lumen maintenance,  CCT  of  4000K  (SDCM&lt;=5),  CRI  Ra  &gt;=80,  THD&lt;10%,  PF  &gt;0.95,  an  operating Voltage  Range  of  140  -  240  VAC.Minimum  Internal  Surge  Protection  4.0KV,  IP65  &amp;  IK04 protection, Operating temperature of the luminaire shall be -10°C to +45°C   Manufacturer shall have  inhouse  lab  approved  by  NABL  or  ministry  of  science  of  govt  of  India.  LM  79  and  LM80 reports need to be submitted from a NABL/UL accredited lab to verify above parameters. Both the fixture and Driver should have separate BIS approval.</t>
    </r>
  </si>
  <si>
    <r>
      <rPr>
        <sz val="10"/>
        <color theme="1"/>
        <rFont val="Calibri"/>
      </rPr>
      <t>Nos.</t>
    </r>
  </si>
  <si>
    <r>
      <rPr>
        <b/>
        <sz val="10"/>
        <color theme="1"/>
        <rFont val="Calibri"/>
      </rPr>
      <t>SUPPLY, INSTALLATION, TESTING AND COMMISSIONING FOLLOWING DECORATIVE LIGHTS</t>
    </r>
  </si>
  <si>
    <r>
      <rPr>
        <sz val="10"/>
        <color theme="1"/>
        <rFont val="Calibri"/>
      </rPr>
      <t>D1</t>
    </r>
  </si>
  <si>
    <r>
      <rPr>
        <sz val="10"/>
        <color theme="1"/>
        <rFont val="Calibri"/>
      </rPr>
      <t>MR</t>
    </r>
  </si>
  <si>
    <r>
      <rPr>
        <sz val="10"/>
        <color rgb="FF000000"/>
        <rFont val="Calibri"/>
      </rPr>
      <t xml:space="preserve">LED Decorative Circular Pendant Light IP20, 3000K, Dali Dimmable. CRI&gt;90, Lifetime &gt; 50000 hrs.
</t>
    </r>
    <r>
      <rPr>
        <sz val="10"/>
        <color rgb="FF000000"/>
        <rFont val="Calibri"/>
      </rPr>
      <t xml:space="preserve">Size :  2 x 900mm Dia + 1 x 600mm
</t>
    </r>
    <r>
      <rPr>
        <sz val="10"/>
        <color rgb="FF000000"/>
        <rFont val="Calibri"/>
      </rPr>
      <t>As per design/drawing and Direction/ Selection of engineer in charge</t>
    </r>
  </si>
  <si>
    <r>
      <rPr>
        <sz val="10"/>
        <color theme="1"/>
        <rFont val="Calibri"/>
      </rPr>
      <t>Set</t>
    </r>
  </si>
  <si>
    <r>
      <rPr>
        <sz val="10"/>
        <color theme="1"/>
        <rFont val="Calibri"/>
      </rPr>
      <t>D2</t>
    </r>
  </si>
  <si>
    <r>
      <rPr>
        <sz val="10"/>
        <color theme="1"/>
        <rFont val="Calibri"/>
      </rPr>
      <t>MR</t>
    </r>
  </si>
  <si>
    <r>
      <rPr>
        <sz val="10"/>
        <color rgb="FF000000"/>
        <rFont val="Calibri"/>
      </rPr>
      <t xml:space="preserve">LED Decorative Circular Pendant Light IP20, 3000K, Dali Dimmable. CRI&gt;90, Lifetime &gt; 50000 hrs.
</t>
    </r>
    <r>
      <rPr>
        <sz val="10"/>
        <color rgb="FF000000"/>
        <rFont val="Calibri"/>
      </rPr>
      <t xml:space="preserve">Size :  450mm Dia
</t>
    </r>
    <r>
      <rPr>
        <sz val="10"/>
        <color rgb="FF000000"/>
        <rFont val="Calibri"/>
      </rPr>
      <t>As per design/drawing and Direction/ Selection of engineer in charge</t>
    </r>
  </si>
  <si>
    <r>
      <rPr>
        <sz val="10"/>
        <color theme="1"/>
        <rFont val="Calibri"/>
      </rPr>
      <t>Set</t>
    </r>
  </si>
  <si>
    <r>
      <rPr>
        <sz val="10"/>
        <color theme="1"/>
        <rFont val="Calibri"/>
      </rPr>
      <t>D3</t>
    </r>
  </si>
  <si>
    <r>
      <rPr>
        <sz val="10"/>
        <color theme="1"/>
        <rFont val="Calibri"/>
      </rPr>
      <t>MR</t>
    </r>
  </si>
  <si>
    <r>
      <rPr>
        <sz val="10"/>
        <color rgb="FF000000"/>
        <rFont val="Calibri"/>
      </rPr>
      <t xml:space="preserve">LED Decorative Circular Pendant Light IP20, 3000K, Dali Dimmable. CRI&gt;90, Lifetime &gt; 50000 hrs.
</t>
    </r>
    <r>
      <rPr>
        <sz val="10"/>
        <color rgb="FF000000"/>
        <rFont val="Calibri"/>
      </rPr>
      <t xml:space="preserve">Size :  450mm Dia
</t>
    </r>
    <r>
      <rPr>
        <sz val="10"/>
        <color rgb="FF000000"/>
        <rFont val="Calibri"/>
      </rPr>
      <t>As per design/drawing and Direction/ Selection of engineer in charge</t>
    </r>
  </si>
  <si>
    <r>
      <rPr>
        <sz val="10"/>
        <color theme="1"/>
        <rFont val="Calibri"/>
      </rPr>
      <t>Set</t>
    </r>
  </si>
  <si>
    <r>
      <rPr>
        <sz val="10"/>
        <color theme="1"/>
        <rFont val="Calibri"/>
      </rPr>
      <t>D4</t>
    </r>
  </si>
  <si>
    <r>
      <rPr>
        <sz val="10"/>
        <color theme="1"/>
        <rFont val="Calibri"/>
      </rPr>
      <t>MR</t>
    </r>
  </si>
  <si>
    <r>
      <rPr>
        <sz val="10"/>
        <color rgb="FF000000"/>
        <rFont val="Calibri"/>
      </rPr>
      <t xml:space="preserve">LED Decorative Circular Pendant Ring Light IP20, 3000K, Dali Dimmable. CRI&gt;90, Lifetime &gt; 50000 hrs.
</t>
    </r>
    <r>
      <rPr>
        <sz val="10"/>
        <color rgb="FF000000"/>
        <rFont val="Calibri"/>
      </rPr>
      <t xml:space="preserve">Size :  400mm Dia
</t>
    </r>
    <r>
      <rPr>
        <sz val="10"/>
        <color rgb="FF000000"/>
        <rFont val="Calibri"/>
      </rPr>
      <t>As per design/drawing and Direction/ Selection of engineer in charge</t>
    </r>
  </si>
  <si>
    <r>
      <rPr>
        <sz val="10"/>
        <color theme="1"/>
        <rFont val="Calibri"/>
      </rPr>
      <t>Set</t>
    </r>
  </si>
  <si>
    <r>
      <rPr>
        <sz val="10"/>
        <color theme="1"/>
        <rFont val="Calibri"/>
      </rPr>
      <t>D5</t>
    </r>
  </si>
  <si>
    <r>
      <rPr>
        <sz val="10"/>
        <color theme="1"/>
        <rFont val="Calibri"/>
      </rPr>
      <t>MR</t>
    </r>
  </si>
  <si>
    <r>
      <rPr>
        <sz val="10"/>
        <color rgb="FF000000"/>
        <rFont val="Calibri"/>
      </rPr>
      <t xml:space="preserve">LED Decorative Disc hanging Light IP20, 3000K, Dali Dimmable. CRI&gt;90, Lifetime &gt; 50000 hrs.
</t>
    </r>
    <r>
      <rPr>
        <sz val="10"/>
        <color rgb="FF000000"/>
        <rFont val="Calibri"/>
      </rPr>
      <t xml:space="preserve">Size :  600mm Dia
</t>
    </r>
    <r>
      <rPr>
        <sz val="10"/>
        <color rgb="FF000000"/>
        <rFont val="Calibri"/>
      </rPr>
      <t>As per design/drawing and Direction/ Selection of engineer in charge</t>
    </r>
  </si>
  <si>
    <r>
      <rPr>
        <sz val="10"/>
        <color theme="1"/>
        <rFont val="Calibri"/>
      </rPr>
      <t>Set</t>
    </r>
  </si>
  <si>
    <r>
      <rPr>
        <sz val="10"/>
        <color theme="1"/>
        <rFont val="Calibri"/>
      </rPr>
      <t>D5a</t>
    </r>
  </si>
  <si>
    <r>
      <rPr>
        <sz val="10"/>
        <color theme="1"/>
        <rFont val="Calibri"/>
      </rPr>
      <t>MR</t>
    </r>
  </si>
  <si>
    <r>
      <rPr>
        <sz val="10"/>
        <color rgb="FF000000"/>
        <rFont val="Calibri"/>
      </rPr>
      <t xml:space="preserve">LED Decorative Ring hanging Light IP20, 3000K, Dali Dimmable. CRI&gt;90, Lifetime &gt; 50000 hrs.
</t>
    </r>
    <r>
      <rPr>
        <sz val="10"/>
        <color rgb="FF000000"/>
        <rFont val="Calibri"/>
      </rPr>
      <t xml:space="preserve">Size :  600mm Dia
</t>
    </r>
    <r>
      <rPr>
        <sz val="10"/>
        <color rgb="FF000000"/>
        <rFont val="Calibri"/>
      </rPr>
      <t>As per design/drawing and Direction/ Selection of engineer in charge</t>
    </r>
  </si>
  <si>
    <r>
      <rPr>
        <sz val="10"/>
        <color theme="1"/>
        <rFont val="Calibri"/>
      </rPr>
      <t>Set</t>
    </r>
  </si>
  <si>
    <r>
      <rPr>
        <sz val="10"/>
        <color theme="1"/>
        <rFont val="Calibri"/>
      </rPr>
      <t>D6</t>
    </r>
  </si>
  <si>
    <r>
      <rPr>
        <sz val="10"/>
        <color theme="1"/>
        <rFont val="Calibri"/>
      </rPr>
      <t>MR</t>
    </r>
  </si>
  <si>
    <r>
      <rPr>
        <sz val="10"/>
        <color rgb="FF000000"/>
        <rFont val="Calibri"/>
      </rPr>
      <t xml:space="preserve">LED Decorative Disc hanging Light IP20, 3000K, Dali Dimmable. CRI&gt;90, Lifetime &gt; 50000 hrs.
</t>
    </r>
    <r>
      <rPr>
        <sz val="10"/>
        <color rgb="FF000000"/>
        <rFont val="Calibri"/>
      </rPr>
      <t xml:space="preserve">Size :  600mm Dia + 400mm Dia
</t>
    </r>
    <r>
      <rPr>
        <sz val="10"/>
        <color rgb="FF000000"/>
        <rFont val="Calibri"/>
      </rPr>
      <t>As per design/drawing and Direction/ Selection of engineer in charge</t>
    </r>
  </si>
  <si>
    <r>
      <rPr>
        <sz val="10"/>
        <color theme="1"/>
        <rFont val="Calibri"/>
      </rPr>
      <t>Set</t>
    </r>
  </si>
  <si>
    <r>
      <rPr>
        <sz val="10"/>
        <color theme="1"/>
        <rFont val="Calibri"/>
      </rPr>
      <t>D7</t>
    </r>
  </si>
  <si>
    <r>
      <rPr>
        <sz val="10"/>
        <color theme="1"/>
        <rFont val="Calibri"/>
      </rPr>
      <t>MR</t>
    </r>
  </si>
  <si>
    <r>
      <rPr>
        <sz val="10"/>
        <color rgb="FF000000"/>
        <rFont val="Calibri"/>
      </rPr>
      <t xml:space="preserve">Supply of stretch ceiling fabric system, designed for interior architectural applications, complete with aluminium perimeter profiles, fixing accessories, and finish treatment as required. The fabric shall be made of high-quality PVC / polyester composite or equivalent material, having thickness not less than 0.2 mm, weight 180–250 g/m², with matte, satin, or translucent finish as specified. The stretch membrane shall be non-toxic, fire-retardant (minimum Class B-s1,d0 as per EN 13501 1 or Class 1 as per BS/ASTM equivalent), anti-static, and resistant to moisture, bacteria, and UV radiation. The system shall be capable of spanning large areas without visible joints (up to 50 m² per sheet) and allow integration of lighting, diffusers, sprinklers, and access hatches. Installation shall be by means of harpoon or clip system, with thermal stretching at ~40–50 °C for uniform tension, ensuring a seamless and wrinkle-free appearance. Mechanical performance shall permit elongation up to 10% without damage, tensile strength ≥ 150 N/5 cm, and tear resistance ≥ 20
</t>
    </r>
    <r>
      <rPr>
        <sz val="10"/>
        <color rgb="FF000000"/>
        <rFont val="Calibri"/>
      </rPr>
      <t>N. The stretch ceiling fabric shall be washable, maintain colour stability over its service life, and be easily demountable and re-installable for maintenance. Accessories shall include certified aluminium profile systems (wall, ceiling, or concealed), fixing brackets, and corner pieces, compatible with gypsum board, concrete, or wooden substrates. 10W/sqft, 4000K P.F&gt;0.95.DALI BALLAST.</t>
    </r>
  </si>
  <si>
    <r>
      <rPr>
        <sz val="10"/>
        <color theme="1"/>
        <rFont val="Calibri"/>
      </rPr>
      <t>Sqft.</t>
    </r>
  </si>
  <si>
    <r>
      <rPr>
        <sz val="10"/>
        <color theme="1"/>
        <rFont val="Calibri"/>
      </rPr>
      <t>D8</t>
    </r>
  </si>
  <si>
    <r>
      <rPr>
        <sz val="10"/>
        <color theme="1"/>
        <rFont val="Calibri"/>
      </rPr>
      <t>MR</t>
    </r>
  </si>
  <si>
    <r>
      <rPr>
        <sz val="10"/>
        <color rgb="FF000000"/>
        <rFont val="Calibri"/>
      </rPr>
      <t xml:space="preserve">LED Decorative Four Petal pendant light IP20, 3000K, Dali Dimmable. CRI&gt;90, Lifetime &gt; 50000 hrs.
</t>
    </r>
    <r>
      <rPr>
        <sz val="10"/>
        <color rgb="FF000000"/>
        <rFont val="Calibri"/>
      </rPr>
      <t xml:space="preserve">Size :  600mm length of each petal
</t>
    </r>
    <r>
      <rPr>
        <sz val="10"/>
        <color rgb="FF000000"/>
        <rFont val="Calibri"/>
      </rPr>
      <t>As per design/drawing and Direction/ Selection of engineer in charge</t>
    </r>
  </si>
  <si>
    <r>
      <rPr>
        <sz val="10"/>
        <color theme="1"/>
        <rFont val="Calibri"/>
      </rPr>
      <t>Set</t>
    </r>
  </si>
  <si>
    <r>
      <rPr>
        <sz val="10"/>
        <color theme="1"/>
        <rFont val="Calibri"/>
      </rPr>
      <t>D9</t>
    </r>
  </si>
  <si>
    <r>
      <rPr>
        <sz val="10"/>
        <color theme="1"/>
        <rFont val="Calibri"/>
      </rPr>
      <t>MR</t>
    </r>
  </si>
  <si>
    <r>
      <rPr>
        <sz val="10"/>
        <color rgb="FF000000"/>
        <rFont val="Calibri"/>
      </rPr>
      <t xml:space="preserve">LED Decorative three globe shaped pendant light IP20, 3000K, Dali Dimmable. CRI&gt;90, Lifetime &gt; 50000 hrs.
</t>
    </r>
    <r>
      <rPr>
        <sz val="10"/>
        <color rgb="FF000000"/>
        <rFont val="Calibri"/>
      </rPr>
      <t xml:space="preserve">Size :  250mm Dia of globe
</t>
    </r>
    <r>
      <rPr>
        <sz val="10"/>
        <color rgb="FF000000"/>
        <rFont val="Calibri"/>
      </rPr>
      <t>As per design/drawing and Direction/ Selection of engineer in charge</t>
    </r>
  </si>
  <si>
    <r>
      <rPr>
        <sz val="10"/>
        <color theme="1"/>
        <rFont val="Calibri"/>
      </rPr>
      <t>Set</t>
    </r>
  </si>
  <si>
    <r>
      <rPr>
        <sz val="10"/>
        <color theme="1"/>
        <rFont val="Calibri"/>
      </rPr>
      <t>D10</t>
    </r>
  </si>
  <si>
    <r>
      <rPr>
        <sz val="10"/>
        <color theme="1"/>
        <rFont val="Calibri"/>
      </rPr>
      <t>MR</t>
    </r>
  </si>
  <si>
    <r>
      <rPr>
        <sz val="10"/>
        <color rgb="FF000000"/>
        <rFont val="Calibri"/>
      </rPr>
      <t xml:space="preserve">LED Decorative four globe shaped pendant light IP20, 3000K, Dali Dimmable. CRI&gt;90, Lifetime &gt; 50000 hrs.
</t>
    </r>
    <r>
      <rPr>
        <sz val="10"/>
        <color rgb="FF000000"/>
        <rFont val="Calibri"/>
      </rPr>
      <t xml:space="preserve">Size :  150mm Dia of globe
</t>
    </r>
    <r>
      <rPr>
        <sz val="10"/>
        <color rgb="FF000000"/>
        <rFont val="Calibri"/>
      </rPr>
      <t>As per design/drawing and Direction/ Selection of engineer in charge</t>
    </r>
  </si>
  <si>
    <r>
      <rPr>
        <sz val="10"/>
        <color theme="1"/>
        <rFont val="Calibri"/>
      </rPr>
      <t>Set</t>
    </r>
  </si>
  <si>
    <r>
      <rPr>
        <sz val="10"/>
        <color theme="1"/>
        <rFont val="Calibri"/>
      </rPr>
      <t>D11</t>
    </r>
  </si>
  <si>
    <r>
      <rPr>
        <sz val="10"/>
        <color theme="1"/>
        <rFont val="Calibri"/>
      </rPr>
      <t>MR</t>
    </r>
  </si>
  <si>
    <r>
      <rPr>
        <sz val="10"/>
        <color rgb="FF000000"/>
        <rFont val="Calibri"/>
      </rPr>
      <t xml:space="preserve">LED Decorative circular pendant light IP20, 3000K, Dali Dimmable. CRI&gt;90, Lifetime &gt; 50000 hrs.
</t>
    </r>
    <r>
      <rPr>
        <sz val="10"/>
        <color rgb="FF000000"/>
        <rFont val="Calibri"/>
      </rPr>
      <t xml:space="preserve">Size :  1200mm Dia + 600mm Dia
</t>
    </r>
    <r>
      <rPr>
        <sz val="10"/>
        <color rgb="FF000000"/>
        <rFont val="Calibri"/>
      </rPr>
      <t>As per design/drawing and Direction/ Selection of engineer in charge</t>
    </r>
  </si>
  <si>
    <r>
      <rPr>
        <sz val="10"/>
        <color theme="1"/>
        <rFont val="Calibri"/>
      </rPr>
      <t>Set</t>
    </r>
  </si>
  <si>
    <r>
      <rPr>
        <sz val="10"/>
        <color theme="1"/>
        <rFont val="Calibri"/>
      </rPr>
      <t>D13</t>
    </r>
  </si>
  <si>
    <r>
      <rPr>
        <sz val="10"/>
        <color theme="1"/>
        <rFont val="Calibri"/>
      </rPr>
      <t>MR</t>
    </r>
  </si>
  <si>
    <r>
      <rPr>
        <sz val="10"/>
        <color rgb="FF000000"/>
        <rFont val="Calibri"/>
      </rPr>
      <t xml:space="preserve">LED Decorative circular pendant light IP20, 3000K, Dali Dimmable. CRI&gt;90, Lifetime &gt; 50000 hrs.
</t>
    </r>
    <r>
      <rPr>
        <sz val="10"/>
        <color rgb="FF000000"/>
        <rFont val="Calibri"/>
      </rPr>
      <t xml:space="preserve">Size :  1200mm Dia + 600mm Dia
</t>
    </r>
    <r>
      <rPr>
        <sz val="10"/>
        <color rgb="FF000000"/>
        <rFont val="Calibri"/>
      </rPr>
      <t>As per design/drawing and Direction/ Selection of engineer in charge</t>
    </r>
  </si>
  <si>
    <r>
      <rPr>
        <sz val="10"/>
        <color theme="1"/>
        <rFont val="Calibri"/>
      </rPr>
      <t>Set</t>
    </r>
  </si>
  <si>
    <r>
      <rPr>
        <sz val="10"/>
        <color theme="1"/>
        <rFont val="Calibri"/>
      </rPr>
      <t>D14</t>
    </r>
  </si>
  <si>
    <r>
      <rPr>
        <sz val="10"/>
        <color theme="1"/>
        <rFont val="Calibri"/>
      </rPr>
      <t>MR</t>
    </r>
  </si>
  <si>
    <r>
      <rPr>
        <sz val="10"/>
        <color rgb="FF000000"/>
        <rFont val="Calibri"/>
      </rPr>
      <t xml:space="preserve">LED Decorative wave patteren pendant light IP20, 3000K, Dali Dimmable. CRI&gt;90, Lifetime &gt; 50000 hrs.
</t>
    </r>
    <r>
      <rPr>
        <sz val="10"/>
        <color rgb="FF000000"/>
        <rFont val="Calibri"/>
      </rPr>
      <t xml:space="preserve">Length: 1500mm
</t>
    </r>
    <r>
      <rPr>
        <sz val="10"/>
        <color rgb="FF000000"/>
        <rFont val="Calibri"/>
      </rPr>
      <t>As per design/drawing and Direction/ Selection of engineer in charge</t>
    </r>
  </si>
  <si>
    <r>
      <rPr>
        <sz val="10"/>
        <color theme="1"/>
        <rFont val="Calibri"/>
      </rPr>
      <t>Set</t>
    </r>
  </si>
  <si>
    <r>
      <rPr>
        <sz val="10"/>
        <color theme="1"/>
        <rFont val="Calibri"/>
      </rPr>
      <t>D15</t>
    </r>
  </si>
  <si>
    <r>
      <rPr>
        <sz val="10"/>
        <color theme="1"/>
        <rFont val="Calibri"/>
      </rPr>
      <t>MR</t>
    </r>
  </si>
  <si>
    <r>
      <rPr>
        <sz val="10"/>
        <color rgb="FF000000"/>
        <rFont val="Calibri"/>
      </rPr>
      <t xml:space="preserve">LED Decorative 10 globes (5x2) shaped pendant light IP20, 3000K, Dali Dimmable. CRI&gt;90, Lifetime &gt; 50000 hrs.
</t>
    </r>
    <r>
      <rPr>
        <sz val="10"/>
        <color rgb="FF000000"/>
        <rFont val="Calibri"/>
      </rPr>
      <t xml:space="preserve">Size :  150mm Dia of globe
</t>
    </r>
    <r>
      <rPr>
        <sz val="10"/>
        <color rgb="FF000000"/>
        <rFont val="Calibri"/>
      </rPr>
      <t>As per design/drawing and Direction/ Selection of engineer in charge</t>
    </r>
  </si>
  <si>
    <r>
      <rPr>
        <sz val="10"/>
        <color theme="1"/>
        <rFont val="Calibri"/>
      </rPr>
      <t>Set</t>
    </r>
  </si>
  <si>
    <r>
      <rPr>
        <sz val="10"/>
        <color theme="1"/>
        <rFont val="Calibri"/>
      </rPr>
      <t>D16</t>
    </r>
  </si>
  <si>
    <r>
      <rPr>
        <sz val="10"/>
        <color theme="1"/>
        <rFont val="Calibri"/>
      </rPr>
      <t>MR</t>
    </r>
  </si>
  <si>
    <r>
      <rPr>
        <sz val="10"/>
        <color rgb="FF000000"/>
        <rFont val="Calibri"/>
      </rPr>
      <t xml:space="preserve">LED Decorative circular metal pendant light IP20, 3000K, Dali Dimmable. CRI&gt;90, Lifetime &gt; 50000 hrs.
</t>
    </r>
    <r>
      <rPr>
        <sz val="10"/>
        <color rgb="FF000000"/>
        <rFont val="Calibri"/>
      </rPr>
      <t xml:space="preserve">Size :  400mm Dia
</t>
    </r>
    <r>
      <rPr>
        <sz val="10"/>
        <color rgb="FF000000"/>
        <rFont val="Calibri"/>
      </rPr>
      <t>As per design/drawing and Direction/ Selection of engineer in charge</t>
    </r>
  </si>
  <si>
    <r>
      <rPr>
        <sz val="10"/>
        <color theme="1"/>
        <rFont val="Calibri"/>
      </rPr>
      <t>Set</t>
    </r>
  </si>
  <si>
    <r>
      <rPr>
        <sz val="10"/>
        <color theme="1"/>
        <rFont val="Calibri"/>
      </rPr>
      <t>D17</t>
    </r>
  </si>
  <si>
    <r>
      <rPr>
        <sz val="10"/>
        <color theme="1"/>
        <rFont val="Calibri"/>
      </rPr>
      <t>MR</t>
    </r>
  </si>
  <si>
    <r>
      <rPr>
        <sz val="10"/>
        <color rgb="FF000000"/>
        <rFont val="Calibri"/>
      </rPr>
      <t xml:space="preserve">LED Decorative acoustic pendant light IP20, 3000K, Dali Dimmable. CRI&gt;90, Lifetime &gt; 50000 hrs.
</t>
    </r>
    <r>
      <rPr>
        <sz val="10"/>
        <color rgb="FF000000"/>
        <rFont val="Calibri"/>
      </rPr>
      <t xml:space="preserve">Size :  tbc
</t>
    </r>
    <r>
      <rPr>
        <sz val="10"/>
        <color rgb="FF000000"/>
        <rFont val="Calibri"/>
      </rPr>
      <t>As per design/drawing and Direction/ Selection of engineer in charge</t>
    </r>
  </si>
  <si>
    <r>
      <rPr>
        <sz val="10"/>
        <color theme="1"/>
        <rFont val="Calibri"/>
      </rPr>
      <t>D18</t>
    </r>
  </si>
  <si>
    <r>
      <rPr>
        <sz val="10"/>
        <color theme="1"/>
        <rFont val="Calibri"/>
      </rPr>
      <t>MR</t>
    </r>
  </si>
  <si>
    <r>
      <rPr>
        <sz val="10"/>
        <color rgb="FF000000"/>
        <rFont val="Calibri"/>
      </rPr>
      <t xml:space="preserve">LED Decorative acoustic pendant light IP20, 3000K, Dali Dimmable. CRI&gt;90, Lifetime &gt; 50000 hrs.
</t>
    </r>
    <r>
      <rPr>
        <sz val="10"/>
        <color rgb="FF000000"/>
        <rFont val="Calibri"/>
      </rPr>
      <t xml:space="preserve">Size :  tbc
</t>
    </r>
    <r>
      <rPr>
        <sz val="10"/>
        <color rgb="FF000000"/>
        <rFont val="Calibri"/>
      </rPr>
      <t>As per design/drawing and Direction/ Selection of engineer in charge</t>
    </r>
  </si>
  <si>
    <r>
      <rPr>
        <sz val="10"/>
        <color theme="1"/>
        <rFont val="Calibri"/>
      </rPr>
      <t>D19</t>
    </r>
  </si>
  <si>
    <r>
      <rPr>
        <sz val="10"/>
        <color theme="1"/>
        <rFont val="Calibri"/>
      </rPr>
      <t>MR</t>
    </r>
  </si>
  <si>
    <r>
      <rPr>
        <sz val="10"/>
        <color rgb="FF000000"/>
        <rFont val="Calibri"/>
      </rPr>
      <t xml:space="preserve">LED Decorative 6 globes (3x2) shaped pendant light IP20, 3000K, Dali Dimmable. CRI&gt;90, Lifetime &gt; 50000 hrs.
</t>
    </r>
    <r>
      <rPr>
        <sz val="10"/>
        <color rgb="FF000000"/>
        <rFont val="Calibri"/>
      </rPr>
      <t xml:space="preserve">Size :  150mm Dia of globe
</t>
    </r>
    <r>
      <rPr>
        <sz val="10"/>
        <color rgb="FF000000"/>
        <rFont val="Calibri"/>
      </rPr>
      <t>As per design/drawing and Direction/ Selection of engineer in charge</t>
    </r>
  </si>
  <si>
    <r>
      <rPr>
        <sz val="10"/>
        <color theme="1"/>
        <rFont val="Calibri"/>
      </rPr>
      <t>Set</t>
    </r>
  </si>
  <si>
    <r>
      <rPr>
        <sz val="10"/>
        <color theme="1"/>
        <rFont val="Calibri"/>
      </rPr>
      <t>D20</t>
    </r>
  </si>
  <si>
    <r>
      <rPr>
        <sz val="10"/>
        <color theme="1"/>
        <rFont val="Calibri"/>
      </rPr>
      <t>MR</t>
    </r>
  </si>
  <si>
    <r>
      <rPr>
        <sz val="10"/>
        <color rgb="FF000000"/>
        <rFont val="Calibri"/>
      </rPr>
      <t xml:space="preserve">LED Decorative acoustic pendant light IP20, 3000K, Dali Dimmable. CRI&gt;90, Lifetime &gt; 50000 hrs.
</t>
    </r>
    <r>
      <rPr>
        <sz val="10"/>
        <color rgb="FF000000"/>
        <rFont val="Calibri"/>
      </rPr>
      <t xml:space="preserve">Size :  900mm Dia of globe
</t>
    </r>
    <r>
      <rPr>
        <sz val="10"/>
        <color rgb="FF000000"/>
        <rFont val="Calibri"/>
      </rPr>
      <t>As per design/drawing and Direction/ Selection of engineer in charge</t>
    </r>
  </si>
  <si>
    <r>
      <rPr>
        <sz val="10"/>
        <color theme="1"/>
        <rFont val="Calibri"/>
      </rPr>
      <t>Set</t>
    </r>
  </si>
  <si>
    <r>
      <rPr>
        <sz val="10"/>
        <color theme="1"/>
        <rFont val="Calibri"/>
      </rPr>
      <t>D22</t>
    </r>
  </si>
  <si>
    <r>
      <rPr>
        <sz val="10"/>
        <color theme="1"/>
        <rFont val="Calibri"/>
      </rPr>
      <t>MR</t>
    </r>
  </si>
  <si>
    <r>
      <rPr>
        <sz val="10"/>
        <color rgb="FF000000"/>
        <rFont val="Calibri"/>
      </rPr>
      <t xml:space="preserve">LED Decorative surface Disc Light IP20, 3000K, Dali Dimmable. CRI&gt;90, Lifetime &gt; 50000 hrs.
</t>
    </r>
    <r>
      <rPr>
        <sz val="10"/>
        <color rgb="FF000000"/>
        <rFont val="Calibri"/>
      </rPr>
      <t xml:space="preserve">Size :  500mm Dia
</t>
    </r>
    <r>
      <rPr>
        <sz val="10"/>
        <color rgb="FF000000"/>
        <rFont val="Calibri"/>
      </rPr>
      <t>As per design/drawing and Direction/ Selection of engineer in charge</t>
    </r>
  </si>
  <si>
    <r>
      <rPr>
        <sz val="10"/>
        <color theme="1"/>
        <rFont val="Calibri"/>
      </rPr>
      <t>Set</t>
    </r>
  </si>
  <si>
    <r>
      <rPr>
        <sz val="10"/>
        <color theme="1"/>
        <rFont val="Calibri"/>
      </rPr>
      <t>D23</t>
    </r>
  </si>
  <si>
    <r>
      <rPr>
        <sz val="10"/>
        <color theme="1"/>
        <rFont val="Calibri"/>
      </rPr>
      <t>MR</t>
    </r>
  </si>
  <si>
    <r>
      <rPr>
        <sz val="10"/>
        <color rgb="FF000000"/>
        <rFont val="Calibri"/>
      </rPr>
      <t xml:space="preserve">SUpply &amp; Fixing of Nature connect LED fixtures with high light levels up to 4500 lm for sky and sun; 10800 lm for daylight,high melanopics level of 700 MEDI at workdesk height during the early afternoon at a ceiling height of approximately 2.80 m, UGR&lt;19. The housing shall be CRCA. The luminaire should comply with LEED &amp; WELL standards.
</t>
    </r>
    <r>
      <rPr>
        <sz val="10"/>
        <color rgb="FF000000"/>
        <rFont val="Calibri"/>
      </rPr>
      <t>CCT: 2700 K to blue for the sky and sun. 2700 K to 6500 K for the Daylight, CRI&gt;90, Option of connectivity  thorugh  Interacat  &amp;  Dynlaite.  Fixture  should  have  combination  of  blue  hue  of  sky, change in intensity of sky and daylight rhythm for general illumination in one solution. In addition to  the  mini  island  with  the  skylight  and  the  daylight  panel,  the  system  is  combined  with NatureConnect link. This is the device that connects the NatureConnect luminaires to commonly used control systems like Interact. It allows these control systems to send simple commands in order to select a NatureConnect scene or change the brightness, while NatureConnect link takes care  of  executing  the  complex  light  recipes  to  the  luminaires.  In  addition  to  NatureConnect luminaires  based  on DALI and  DMX,  it  also  supports  DALI DT8  tunable white  luminaires.   DALI TUNNABLE BALLAST</t>
    </r>
  </si>
  <si>
    <r>
      <rPr>
        <sz val="10"/>
        <color theme="1"/>
        <rFont val="Calibri"/>
      </rPr>
      <t>D24</t>
    </r>
  </si>
  <si>
    <r>
      <rPr>
        <sz val="10"/>
        <color theme="1"/>
        <rFont val="Calibri"/>
      </rPr>
      <t>MR</t>
    </r>
  </si>
  <si>
    <r>
      <rPr>
        <sz val="10"/>
        <color rgb="FF000000"/>
        <rFont val="Calibri"/>
      </rPr>
      <t xml:space="preserve">LED Decorative Balloon light IP20, 3000K, Dali Dimmable. CRI&gt;90, Lifetime &gt; 50000 hrs.
</t>
    </r>
    <r>
      <rPr>
        <sz val="10"/>
        <color rgb="FF000000"/>
        <rFont val="Calibri"/>
      </rPr>
      <t xml:space="preserve">Size :  400mm Dia + 600mm Dia
</t>
    </r>
    <r>
      <rPr>
        <sz val="10"/>
        <color rgb="FF000000"/>
        <rFont val="Calibri"/>
      </rPr>
      <t>As per design/drawing and Direction/ Selection of engineer in charge</t>
    </r>
  </si>
  <si>
    <r>
      <rPr>
        <sz val="10"/>
        <color theme="1"/>
        <rFont val="Calibri"/>
      </rPr>
      <t>Set</t>
    </r>
  </si>
  <si>
    <r>
      <rPr>
        <sz val="10"/>
        <color theme="1"/>
        <rFont val="Calibri"/>
      </rPr>
      <t>D25</t>
    </r>
  </si>
  <si>
    <r>
      <rPr>
        <sz val="10"/>
        <color theme="1"/>
        <rFont val="Calibri"/>
      </rPr>
      <t>MR</t>
    </r>
  </si>
  <si>
    <r>
      <rPr>
        <sz val="10"/>
        <color rgb="FF000000"/>
        <rFont val="Calibri"/>
      </rPr>
      <t xml:space="preserve">LED Decorative metal pendant light IP20, 3000K, Dali Dimmable. CRI&gt;90, Lifetime &gt; 50000 hrs.
</t>
    </r>
    <r>
      <rPr>
        <sz val="10"/>
        <color rgb="FF000000"/>
        <rFont val="Calibri"/>
      </rPr>
      <t xml:space="preserve">Size :  400mm Dia
</t>
    </r>
    <r>
      <rPr>
        <sz val="10"/>
        <color rgb="FF000000"/>
        <rFont val="Calibri"/>
      </rPr>
      <t>As per design/drawing and Direction/ Selection of engineer in charge</t>
    </r>
  </si>
  <si>
    <r>
      <rPr>
        <sz val="10"/>
        <color theme="1"/>
        <rFont val="Calibri"/>
      </rPr>
      <t>Set</t>
    </r>
  </si>
  <si>
    <r>
      <rPr>
        <sz val="10"/>
        <color theme="1"/>
        <rFont val="Calibri"/>
      </rPr>
      <t>D26</t>
    </r>
  </si>
  <si>
    <r>
      <rPr>
        <sz val="10"/>
        <color theme="1"/>
        <rFont val="Calibri"/>
      </rPr>
      <t>MR</t>
    </r>
  </si>
  <si>
    <r>
      <rPr>
        <sz val="10"/>
        <color rgb="FF000000"/>
        <rFont val="Calibri"/>
      </rPr>
      <t xml:space="preserve">LED Decorative suspended acoustic circular pendant light IP20, 3000K, Dali Dimmable. CRI&gt;90, Lifetime &gt; 50000 hrs.
</t>
    </r>
    <r>
      <rPr>
        <sz val="10"/>
        <color rgb="FF000000"/>
        <rFont val="Calibri"/>
      </rPr>
      <t xml:space="preserve">Size :  600mm Dia
</t>
    </r>
    <r>
      <rPr>
        <sz val="10"/>
        <color rgb="FF000000"/>
        <rFont val="Calibri"/>
      </rPr>
      <t>As per design/drawing and Direction/ Selection of engineer in charge</t>
    </r>
  </si>
  <si>
    <r>
      <rPr>
        <sz val="10"/>
        <color theme="1"/>
        <rFont val="Calibri"/>
      </rPr>
      <t>Set</t>
    </r>
  </si>
  <si>
    <r>
      <rPr>
        <sz val="10"/>
        <color theme="1"/>
        <rFont val="Calibri"/>
      </rPr>
      <t>D27</t>
    </r>
  </si>
  <si>
    <r>
      <rPr>
        <sz val="10"/>
        <color theme="1"/>
        <rFont val="Calibri"/>
      </rPr>
      <t>MR</t>
    </r>
  </si>
  <si>
    <r>
      <rPr>
        <sz val="10"/>
        <color rgb="FF000000"/>
        <rFont val="Calibri"/>
      </rPr>
      <t xml:space="preserve">LED Decorative suspended wooden pendant light IP20, 3000K, Dali Dimmable. CRI&gt;90, Lifetime &gt; 50000 hrs.
</t>
    </r>
    <r>
      <rPr>
        <sz val="10"/>
        <color rgb="FF000000"/>
        <rFont val="Calibri"/>
      </rPr>
      <t xml:space="preserve">Size :  300mm Dia
</t>
    </r>
    <r>
      <rPr>
        <sz val="10"/>
        <color rgb="FF000000"/>
        <rFont val="Calibri"/>
      </rPr>
      <t>As per design/drawing and Direction/ Selection of engineer in charge</t>
    </r>
  </si>
  <si>
    <r>
      <rPr>
        <sz val="10"/>
        <color theme="1"/>
        <rFont val="Calibri"/>
      </rPr>
      <t>Set</t>
    </r>
  </si>
  <si>
    <r>
      <rPr>
        <sz val="10"/>
        <color theme="1"/>
        <rFont val="Calibri"/>
      </rPr>
      <t>D28</t>
    </r>
  </si>
  <si>
    <r>
      <rPr>
        <sz val="10"/>
        <color theme="1"/>
        <rFont val="Calibri"/>
      </rPr>
      <t>MR</t>
    </r>
  </si>
  <si>
    <r>
      <rPr>
        <sz val="10"/>
        <color rgb="FF000000"/>
        <rFont val="Calibri"/>
      </rPr>
      <t xml:space="preserve">LED Decorative cloud shape light IP20, 3000K, Dali Dimmable. CRI&gt;90, Lifetime &gt; 50000 hrs.
</t>
    </r>
    <r>
      <rPr>
        <sz val="10"/>
        <color rgb="FF000000"/>
        <rFont val="Calibri"/>
      </rPr>
      <t xml:space="preserve">Size :  tbc
</t>
    </r>
    <r>
      <rPr>
        <sz val="10"/>
        <color rgb="FF000000"/>
        <rFont val="Calibri"/>
      </rPr>
      <t>As per design/drawing and Direction/ Selection of engineer in charge</t>
    </r>
  </si>
  <si>
    <r>
      <rPr>
        <sz val="10"/>
        <color theme="1"/>
        <rFont val="Calibri"/>
      </rPr>
      <t>Set</t>
    </r>
  </si>
  <si>
    <r>
      <rPr>
        <sz val="10"/>
        <color theme="1"/>
        <rFont val="Calibri"/>
      </rPr>
      <t>D29</t>
    </r>
  </si>
  <si>
    <r>
      <rPr>
        <sz val="10"/>
        <color theme="1"/>
        <rFont val="Calibri"/>
      </rPr>
      <t>MR</t>
    </r>
  </si>
  <si>
    <r>
      <rPr>
        <sz val="10"/>
        <color rgb="FF000000"/>
        <rFont val="Calibri"/>
      </rPr>
      <t xml:space="preserve">LED Decorative square ring light IP20, 3000K, Dali Dimmable. CRI&gt;90, Lifetime &gt; 50000 hrs.
</t>
    </r>
    <r>
      <rPr>
        <sz val="10"/>
        <color rgb="FF000000"/>
        <rFont val="Calibri"/>
      </rPr>
      <t xml:space="preserve">Size :  1200mmx1200mm + 600mmx600mm
</t>
    </r>
    <r>
      <rPr>
        <sz val="10"/>
        <color rgb="FF000000"/>
        <rFont val="Calibri"/>
      </rPr>
      <t>As per design/drawing and Direction/ Selection of engineer in charge</t>
    </r>
  </si>
  <si>
    <r>
      <rPr>
        <sz val="10"/>
        <color theme="1"/>
        <rFont val="Calibri"/>
      </rPr>
      <t>Set</t>
    </r>
  </si>
  <si>
    <r>
      <rPr>
        <sz val="10"/>
        <color theme="1"/>
        <rFont val="Calibri"/>
      </rPr>
      <t>D30</t>
    </r>
  </si>
  <si>
    <r>
      <rPr>
        <sz val="10"/>
        <color theme="1"/>
        <rFont val="Calibri"/>
      </rPr>
      <t>MR</t>
    </r>
  </si>
  <si>
    <r>
      <rPr>
        <sz val="10"/>
        <color rgb="FF000000"/>
        <rFont val="Calibri"/>
      </rPr>
      <t xml:space="preserve">LED Decorative two globe shaped pendant light IP20, 3000K, Dali Dimmable. CRI&gt;90, Lifetime &gt; 50000 hrs.
</t>
    </r>
    <r>
      <rPr>
        <sz val="10"/>
        <color rgb="FF000000"/>
        <rFont val="Calibri"/>
      </rPr>
      <t xml:space="preserve">Size :  250mm Dia of globe
</t>
    </r>
    <r>
      <rPr>
        <sz val="10"/>
        <color rgb="FF000000"/>
        <rFont val="Calibri"/>
      </rPr>
      <t>As per design/drawing and Direction/ Selection of engineer in charge</t>
    </r>
  </si>
  <si>
    <r>
      <rPr>
        <sz val="10"/>
        <color theme="1"/>
        <rFont val="Calibri"/>
      </rPr>
      <t>Set</t>
    </r>
  </si>
  <si>
    <r>
      <rPr>
        <sz val="10"/>
        <color theme="1"/>
        <rFont val="Calibri"/>
      </rPr>
      <t>D31</t>
    </r>
  </si>
  <si>
    <r>
      <rPr>
        <sz val="10"/>
        <color theme="1"/>
        <rFont val="Calibri"/>
      </rPr>
      <t>MR</t>
    </r>
  </si>
  <si>
    <r>
      <rPr>
        <sz val="10"/>
        <color rgb="FF000000"/>
        <rFont val="Calibri"/>
      </rPr>
      <t xml:space="preserve">LED Decorative ring light IP20, 3000K, Dali Dimmable. CRI&gt;90, Lifetime &gt; 50000 hrs.
</t>
    </r>
    <r>
      <rPr>
        <sz val="10"/>
        <color rgb="FF000000"/>
        <rFont val="Calibri"/>
      </rPr>
      <t xml:space="preserve">Size :  2 x 900mm Dia + 1 x 600mm Dia
</t>
    </r>
    <r>
      <rPr>
        <sz val="10"/>
        <color rgb="FF000000"/>
        <rFont val="Calibri"/>
      </rPr>
      <t>As per design/drawing and Direction/ Selection of engineer in charge</t>
    </r>
  </si>
  <si>
    <r>
      <rPr>
        <sz val="10"/>
        <color theme="1"/>
        <rFont val="Calibri"/>
      </rPr>
      <t>Set</t>
    </r>
  </si>
  <si>
    <r>
      <rPr>
        <sz val="10"/>
        <color theme="1"/>
        <rFont val="Calibri"/>
      </rPr>
      <t>D32</t>
    </r>
  </si>
  <si>
    <r>
      <rPr>
        <sz val="10"/>
        <color theme="1"/>
        <rFont val="Calibri"/>
      </rPr>
      <t>MR</t>
    </r>
  </si>
  <si>
    <r>
      <rPr>
        <sz val="10"/>
        <color rgb="FF000000"/>
        <rFont val="Calibri"/>
      </rPr>
      <t xml:space="preserve">LED Decorative suspended acoustic circular pendant light IP20, 3000K, Dali Dimmable. CRI&gt;90, Lifetime &gt; 50000 hrs.
</t>
    </r>
    <r>
      <rPr>
        <sz val="10"/>
        <color rgb="FF000000"/>
        <rFont val="Calibri"/>
      </rPr>
      <t xml:space="preserve">Size :  600mm Dia
</t>
    </r>
    <r>
      <rPr>
        <sz val="10"/>
        <color rgb="FF000000"/>
        <rFont val="Calibri"/>
      </rPr>
      <t>As per design/drawing and Direction/ Selection of engineer in charge</t>
    </r>
  </si>
  <si>
    <r>
      <rPr>
        <sz val="10"/>
        <color theme="1"/>
        <rFont val="Calibri"/>
      </rPr>
      <t>Set</t>
    </r>
  </si>
  <si>
    <r>
      <rPr>
        <b/>
        <sz val="10"/>
        <color theme="1"/>
        <rFont val="Calibri"/>
      </rPr>
      <t>TOTAL CARRIED OVER TO SUMMARY</t>
    </r>
  </si>
  <si>
    <r>
      <rPr>
        <b/>
        <sz val="10"/>
        <color theme="1"/>
        <rFont val="Calibri"/>
      </rPr>
      <t>ITEM NO.</t>
    </r>
  </si>
  <si>
    <r>
      <rPr>
        <b/>
        <sz val="10"/>
        <color theme="1"/>
        <rFont val="Calibri"/>
      </rPr>
      <t>DSR / NDSR (MR)</t>
    </r>
  </si>
  <si>
    <r>
      <rPr>
        <b/>
        <sz val="10"/>
        <color theme="1"/>
        <rFont val="Calibri"/>
      </rPr>
      <t>ITEM DESCRIPTIONS</t>
    </r>
  </si>
  <si>
    <r>
      <rPr>
        <b/>
        <sz val="10"/>
        <color theme="1"/>
        <rFont val="Calibri"/>
      </rPr>
      <t>Unit</t>
    </r>
  </si>
  <si>
    <r>
      <rPr>
        <b/>
        <sz val="10"/>
        <color theme="1"/>
        <rFont val="Calibri"/>
      </rPr>
      <t>QTY.</t>
    </r>
  </si>
  <si>
    <r>
      <rPr>
        <b/>
        <sz val="10"/>
        <color theme="1"/>
        <rFont val="Calibri"/>
      </rPr>
      <t>Rate</t>
    </r>
  </si>
  <si>
    <r>
      <rPr>
        <b/>
        <sz val="10"/>
        <color theme="1"/>
        <rFont val="Calibri"/>
      </rPr>
      <t>Amount (In Rs.)</t>
    </r>
  </si>
  <si>
    <r>
      <rPr>
        <b/>
        <sz val="10"/>
        <color theme="1"/>
        <rFont val="Calibri"/>
      </rPr>
      <t>DSR</t>
    </r>
  </si>
  <si>
    <r>
      <rPr>
        <b/>
        <sz val="10"/>
        <color theme="1"/>
        <rFont val="Calibri"/>
      </rPr>
      <t>Non-DSR</t>
    </r>
  </si>
  <si>
    <r>
      <rPr>
        <b/>
        <sz val="10"/>
        <color theme="1"/>
        <rFont val="Calibri"/>
      </rPr>
      <t>DSR</t>
    </r>
  </si>
  <si>
    <r>
      <rPr>
        <b/>
        <sz val="10"/>
        <color theme="1"/>
        <rFont val="Calibri"/>
      </rPr>
      <t>Non-DSR</t>
    </r>
  </si>
  <si>
    <r>
      <rPr>
        <b/>
        <sz val="10"/>
        <color theme="1"/>
        <rFont val="Calibri"/>
      </rPr>
      <t>SUB HEAD R1</t>
    </r>
  </si>
  <si>
    <r>
      <rPr>
        <b/>
        <sz val="10"/>
        <color theme="1"/>
        <rFont val="Calibri"/>
      </rPr>
      <t>LMS - LIGHTING MANAGEMENT SYSTEM</t>
    </r>
  </si>
  <si>
    <r>
      <rPr>
        <b/>
        <sz val="10"/>
        <color theme="1"/>
        <rFont val="Calibri"/>
      </rPr>
      <t>Design, Supply, installation, testing and commissioning of following Automatin System for Lighting Management System:</t>
    </r>
  </si>
  <si>
    <r>
      <rPr>
        <sz val="10"/>
        <color theme="1"/>
        <rFont val="Calibri"/>
      </rPr>
      <t>LMS - LIGHTING</t>
    </r>
  </si>
  <si>
    <r>
      <rPr>
        <b/>
        <sz val="10"/>
        <color rgb="FF000000"/>
        <rFont val="Calibri"/>
      </rPr>
      <t xml:space="preserve">Important Notes:
</t>
    </r>
    <r>
      <rPr>
        <b/>
        <sz val="10"/>
        <color rgb="FF000000"/>
        <rFont val="Calibri"/>
      </rPr>
      <t xml:space="preserve">1. DALI -2 Type 2 Drivers shall be  considered for all the fixtures.
</t>
    </r>
    <r>
      <rPr>
        <b/>
        <sz val="10"/>
        <color rgb="FF000000"/>
        <rFont val="Calibri"/>
      </rPr>
      <t xml:space="preserve">2.   All the Sensors, Keypads, Controller shall be compatible for DALI Type 2.
</t>
    </r>
    <r>
      <rPr>
        <b/>
        <sz val="10"/>
        <color rgb="FF000000"/>
        <rFont val="Calibri"/>
      </rPr>
      <t xml:space="preserve">3. Drivers shall be flicker free in operations.
</t>
    </r>
    <r>
      <rPr>
        <b/>
        <sz val="10"/>
        <color rgb="FF000000"/>
        <rFont val="Calibri"/>
      </rPr>
      <t>4. Drivers shall Comply to DALI Part 252, 253.</t>
    </r>
  </si>
  <si>
    <r>
      <rPr>
        <b/>
        <sz val="10"/>
        <color theme="1"/>
        <rFont val="Calibri"/>
      </rPr>
      <t>1</t>
    </r>
  </si>
  <si>
    <r>
      <rPr>
        <sz val="10"/>
        <color theme="1"/>
        <rFont val="Calibri"/>
      </rPr>
      <t>MR</t>
    </r>
  </si>
  <si>
    <r>
      <rPr>
        <sz val="10"/>
        <color rgb="FF000000"/>
        <rFont val="Calibri"/>
      </rPr>
      <t xml:space="preserve">Supply, Installation, Testing and Commissioning of  LMS  Distribution board as per approved installation dwgs. Reference Standard: IS 8623 , Enclosure:1.2mm CRCA Sheet Steel, Powder Coated, Door : Single Door,  Cable Entry : Top &amp; Bottom, shall be of IP 42  Sheet steel door. Note:1) Separate Earth bus/Neutral bus for each phase '
</t>
    </r>
    <r>
      <rPr>
        <sz val="10"/>
        <color rgb="FF000000"/>
        <rFont val="Calibri"/>
      </rPr>
      <t xml:space="preserve">2) Each Circuit shall have yellow ferrules with circuit number.
</t>
    </r>
    <r>
      <rPr>
        <sz val="10"/>
        <color rgb="FF000000"/>
        <rFont val="Calibri"/>
      </rPr>
      <t xml:space="preserve">3) Accessories required for installation of DB's on Wall/Column/Gyp Board shall be considered
</t>
    </r>
    <r>
      <rPr>
        <sz val="10"/>
        <color rgb="FF000000"/>
        <rFont val="Calibri"/>
      </rPr>
      <t xml:space="preserve">4) DB's shall be covered with powder coated (paint should match with DB Color) wire ways/raceways/camuflauging all around and up to ceiling to receive incoming circuits and the rate of the same shall be included in the DB section/part only.
</t>
    </r>
    <r>
      <rPr>
        <sz val="10"/>
        <color rgb="FF000000"/>
        <rFont val="Calibri"/>
      </rPr>
      <t xml:space="preserve">5) Laminated A3 OR A4 size SLD copy shall be pasted inside DB door  6) Safe shroud for Neutral link shall be provided.
</t>
    </r>
    <r>
      <rPr>
        <sz val="10"/>
        <color rgb="FF000000"/>
        <rFont val="Calibri"/>
      </rPr>
      <t xml:space="preserve">1. Main controller - Capable of controlling up to 1056 switch legs
</t>
    </r>
    <r>
      <rPr>
        <sz val="10"/>
        <color rgb="FF000000"/>
        <rFont val="Calibri"/>
      </rPr>
      <t>2. Low voltage power supply - Capable of supplying 75 power draw units.</t>
    </r>
  </si>
  <si>
    <r>
      <rPr>
        <sz val="10"/>
        <color theme="1"/>
        <rFont val="Calibri"/>
      </rPr>
      <t>Set</t>
    </r>
  </si>
  <si>
    <r>
      <rPr>
        <sz val="10"/>
        <color theme="1"/>
        <rFont val="Calibri"/>
      </rPr>
      <t>2</t>
    </r>
  </si>
  <si>
    <r>
      <rPr>
        <sz val="10"/>
        <color theme="1"/>
        <rFont val="Calibri"/>
      </rPr>
      <t>MR</t>
    </r>
  </si>
  <si>
    <r>
      <rPr>
        <sz val="10"/>
        <color theme="1"/>
        <rFont val="Calibri"/>
      </rPr>
      <t>Supply of Lighting  control and monitor software, captures floor wise consumption, each event, Energy Reporting &amp; monitoring per processor.</t>
    </r>
  </si>
  <si>
    <r>
      <rPr>
        <sz val="10"/>
        <color theme="1"/>
        <rFont val="Calibri"/>
      </rPr>
      <t>Set</t>
    </r>
  </si>
  <si>
    <r>
      <rPr>
        <sz val="10"/>
        <color theme="1"/>
        <rFont val="Calibri"/>
      </rPr>
      <t>3</t>
    </r>
  </si>
  <si>
    <r>
      <rPr>
        <sz val="10"/>
        <color theme="1"/>
        <rFont val="Calibri"/>
      </rPr>
      <t>MR</t>
    </r>
  </si>
  <si>
    <r>
      <rPr>
        <sz val="10"/>
        <color theme="1"/>
        <rFont val="Calibri"/>
      </rPr>
      <t>Supply of Lighting  control BACnet  softwares for BMS  integration</t>
    </r>
  </si>
  <si>
    <r>
      <rPr>
        <sz val="10"/>
        <color theme="1"/>
        <rFont val="Calibri"/>
      </rPr>
      <t>Set</t>
    </r>
  </si>
  <si>
    <r>
      <rPr>
        <sz val="10"/>
        <color theme="1"/>
        <rFont val="Calibri"/>
      </rPr>
      <t>4</t>
    </r>
  </si>
  <si>
    <r>
      <rPr>
        <sz val="10"/>
        <color theme="1"/>
        <rFont val="Calibri"/>
      </rPr>
      <t>MR</t>
    </r>
  </si>
  <si>
    <r>
      <rPr>
        <sz val="10"/>
        <color theme="1"/>
        <rFont val="Calibri"/>
      </rPr>
      <t>SITC of Software for Energy Reporting &amp; monitoring per processor, English.</t>
    </r>
  </si>
  <si>
    <r>
      <rPr>
        <sz val="10"/>
        <color theme="1"/>
        <rFont val="Calibri"/>
      </rPr>
      <t>Set</t>
    </r>
  </si>
  <si>
    <r>
      <rPr>
        <sz val="10"/>
        <color theme="1"/>
        <rFont val="Calibri"/>
      </rPr>
      <t>5</t>
    </r>
  </si>
  <si>
    <r>
      <rPr>
        <sz val="10"/>
        <color theme="1"/>
        <rFont val="Calibri"/>
      </rPr>
      <t>MR</t>
    </r>
  </si>
  <si>
    <r>
      <rPr>
        <sz val="10"/>
        <color theme="1"/>
        <rFont val="Calibri"/>
      </rPr>
      <t>Supply, Installation, Testing and Commissioning of  DALI2.0 certified UNIVERSAL DALI controller with dynamic grouping and 4 hr fade time dimming feature. Controller shall be Single or Dual link as per requirement and can handle 64 unique DALI adresses and 64 Unique DALI groups on the same link. Drivers for Static dimming, DT-6 and DT-8 type of dimming cna be connected to the same link</t>
    </r>
  </si>
  <si>
    <r>
      <rPr>
        <sz val="10"/>
        <color theme="1"/>
        <rFont val="Calibri"/>
      </rPr>
      <t>Nos</t>
    </r>
  </si>
  <si>
    <r>
      <rPr>
        <sz val="10"/>
        <color theme="1"/>
        <rFont val="Calibri"/>
      </rPr>
      <t>6</t>
    </r>
  </si>
  <si>
    <r>
      <rPr>
        <sz val="10"/>
        <color theme="1"/>
        <rFont val="Calibri"/>
      </rPr>
      <t>MR</t>
    </r>
  </si>
  <si>
    <r>
      <rPr>
        <sz val="10"/>
        <color theme="1"/>
        <rFont val="Calibri"/>
      </rPr>
      <t>Supply, Installation, Testing and Commissioning of  4 channel switching relay module with 5A rating for each circuit and switching cycles shall be rated for at least 500000 cycles or above</t>
    </r>
  </si>
  <si>
    <r>
      <rPr>
        <sz val="10"/>
        <color theme="1"/>
        <rFont val="Calibri"/>
      </rPr>
      <t>Nos</t>
    </r>
  </si>
  <si>
    <r>
      <rPr>
        <sz val="10"/>
        <color theme="1"/>
        <rFont val="Calibri"/>
      </rPr>
      <t>MR</t>
    </r>
  </si>
  <si>
    <r>
      <rPr>
        <sz val="10"/>
        <color theme="1"/>
        <rFont val="Calibri"/>
      </rPr>
      <t>SITC of Wireless Occupancy/Vacancy Sensor for rooms with a frequency of 865 MHz, Ceiling mount, infrared, 37.2 sq m (400 sq ft), battery-powered, 102 mm (4.0 in) diameter</t>
    </r>
  </si>
  <si>
    <r>
      <rPr>
        <sz val="10"/>
        <color theme="1"/>
        <rFont val="Calibri"/>
      </rPr>
      <t>Nos</t>
    </r>
  </si>
  <si>
    <r>
      <rPr>
        <sz val="10"/>
        <color theme="1"/>
        <rFont val="Calibri"/>
      </rPr>
      <t>MR</t>
    </r>
  </si>
  <si>
    <r>
      <rPr>
        <sz val="10"/>
        <color theme="1"/>
        <rFont val="Calibri"/>
      </rPr>
      <t>SITC of Wireless Occupancy/Vacancy Sensor for rooms With a frequency of 865 MHz, battery- powered,  white similar to Hallway type detection</t>
    </r>
  </si>
  <si>
    <r>
      <rPr>
        <sz val="10"/>
        <color theme="1"/>
        <rFont val="Calibri"/>
      </rPr>
      <t>Nos</t>
    </r>
  </si>
  <si>
    <r>
      <rPr>
        <sz val="10"/>
        <color theme="1"/>
        <rFont val="Calibri"/>
      </rPr>
      <t>MR</t>
    </r>
  </si>
  <si>
    <r>
      <rPr>
        <sz val="10"/>
        <color theme="1"/>
        <rFont val="Calibri"/>
      </rPr>
      <t>SITC of Wireless Occupancy/Vacancy Sensor for rooms With a frequency of 865 MHz, battery- powered,  white similar to Corner mount 90 deg detection</t>
    </r>
  </si>
  <si>
    <r>
      <rPr>
        <sz val="10"/>
        <color theme="1"/>
        <rFont val="Calibri"/>
      </rPr>
      <t>Nos</t>
    </r>
  </si>
  <si>
    <r>
      <rPr>
        <sz val="10"/>
        <color theme="1"/>
        <rFont val="Calibri"/>
      </rPr>
      <t>MR</t>
    </r>
  </si>
  <si>
    <r>
      <rPr>
        <sz val="10"/>
        <color theme="1"/>
        <rFont val="Calibri"/>
      </rPr>
      <t>SITC of Wireless Occupancy/Vacancy Sensor for rooms With a frequency of 865 MHz, battery- powered,  white similar to Corner mount 90 deg detection with RELAY of 16A rating to make it STANDALONE system - (B1 BOH area)</t>
    </r>
  </si>
  <si>
    <r>
      <rPr>
        <sz val="10"/>
        <color theme="1"/>
        <rFont val="Calibri"/>
      </rPr>
      <t>Nos</t>
    </r>
  </si>
  <si>
    <r>
      <rPr>
        <sz val="10"/>
        <color theme="1"/>
        <rFont val="Calibri"/>
      </rPr>
      <t>#REF!</t>
    </r>
  </si>
  <si>
    <r>
      <rPr>
        <sz val="10"/>
        <color theme="1"/>
        <rFont val="Calibri"/>
      </rPr>
      <t>MR</t>
    </r>
  </si>
  <si>
    <r>
      <rPr>
        <sz val="10"/>
        <color theme="1"/>
        <rFont val="Calibri"/>
      </rPr>
      <t>SITC of Sensor Module, to connect 10 number of sensors either of the Occupancy / Daylight / Personal sensors/PIco. No wired connections, ceiling mount.</t>
    </r>
  </si>
  <si>
    <r>
      <rPr>
        <sz val="10"/>
        <color theme="1"/>
        <rFont val="Calibri"/>
      </rPr>
      <t>Nos</t>
    </r>
  </si>
  <si>
    <r>
      <rPr>
        <sz val="10"/>
        <color theme="1"/>
        <rFont val="Calibri"/>
      </rPr>
      <t>#REF!</t>
    </r>
  </si>
  <si>
    <r>
      <rPr>
        <sz val="10"/>
        <color theme="1"/>
        <rFont val="Calibri"/>
      </rPr>
      <t>MR</t>
    </r>
  </si>
  <si>
    <r>
      <rPr>
        <sz val="10"/>
        <color theme="1"/>
        <rFont val="Calibri"/>
      </rPr>
      <t>SITC of Wireless personlised control Keypad with a WPC approved frequency of 865 Mhz, 3 Button with raise and lower for smaller rooms, with faceplate, mounts on glass surfaces also,  with 10 year battery life along with necessary fixing arrangements and programming at site etc, complete as required.  Similar to Lutron PN2 3bRL  series with face plate for LIGHT ONLY</t>
    </r>
  </si>
  <si>
    <r>
      <rPr>
        <sz val="10"/>
        <color theme="1"/>
        <rFont val="Calibri"/>
      </rPr>
      <t>Nos</t>
    </r>
  </si>
  <si>
    <r>
      <rPr>
        <sz val="10"/>
        <color theme="1"/>
        <rFont val="Calibri"/>
      </rPr>
      <t>#REF!</t>
    </r>
  </si>
  <si>
    <r>
      <rPr>
        <sz val="10"/>
        <color theme="1"/>
        <rFont val="Calibri"/>
      </rPr>
      <t>MR</t>
    </r>
  </si>
  <si>
    <r>
      <rPr>
        <sz val="10"/>
        <color theme="1"/>
        <rFont val="Calibri"/>
      </rPr>
      <t>SITC of Wireless personlised control Keypad with a WPC approved frequency of 865 Mhz, 6 Button with raise and lower for bigger  rooms, with faceplate, mounts on glass surfaces also,  with 10 year battery life along with necessary fixing arrangements and programming at site etc, complete as required. Similar to Lutron PN2 3bRL  &amp; PN2 3B series with dual gang face plate for LIGHT &amp; SHADES</t>
    </r>
  </si>
  <si>
    <r>
      <rPr>
        <sz val="10"/>
        <color theme="1"/>
        <rFont val="Calibri"/>
      </rPr>
      <t>Nos</t>
    </r>
  </si>
  <si>
    <r>
      <rPr>
        <sz val="10"/>
        <color theme="1"/>
        <rFont val="Calibri"/>
      </rPr>
      <t>#REF!</t>
    </r>
  </si>
  <si>
    <r>
      <rPr>
        <sz val="10"/>
        <color theme="1"/>
        <rFont val="Calibri"/>
      </rPr>
      <t>MR</t>
    </r>
  </si>
  <si>
    <r>
      <rPr>
        <sz val="10"/>
        <color theme="1"/>
        <rFont val="Calibri"/>
      </rPr>
      <t>SITC of Wireless personlised control Keypad with a WPC approved frequency of 865 Mhz, 6 Button with raise and lower for bigger  rooms, with faceplate, mounts on glass surfaces also,  with 10 year battery life along with necessary fixing arrangements and programming at site etc, complete as required. Similar to Lutron PN2 3bRL  &amp; PN2 3B series with dual gang face plate for LIGHT ONLY</t>
    </r>
  </si>
  <si>
    <r>
      <rPr>
        <sz val="10"/>
        <color theme="1"/>
        <rFont val="Calibri"/>
      </rPr>
      <t>Nos</t>
    </r>
  </si>
  <si>
    <r>
      <rPr>
        <sz val="10"/>
        <color theme="1"/>
        <rFont val="Calibri"/>
      </rPr>
      <t>#REF!</t>
    </r>
  </si>
  <si>
    <r>
      <rPr>
        <sz val="10"/>
        <color theme="1"/>
        <rFont val="Calibri"/>
      </rPr>
      <t>MR</t>
    </r>
  </si>
  <si>
    <r>
      <rPr>
        <sz val="10"/>
        <color theme="1"/>
        <rFont val="Calibri"/>
      </rPr>
      <t>SITC of 8/10 button wired keypad loctaed in electrical room for Master and scene control that includes shades + Lights for LARGE ROOMS</t>
    </r>
  </si>
  <si>
    <r>
      <rPr>
        <sz val="10"/>
        <color theme="1"/>
        <rFont val="Calibri"/>
      </rPr>
      <t>Nos</t>
    </r>
  </si>
  <si>
    <r>
      <rPr>
        <sz val="10"/>
        <color theme="1"/>
        <rFont val="Calibri"/>
      </rPr>
      <t>#REF!</t>
    </r>
  </si>
  <si>
    <r>
      <rPr>
        <sz val="10"/>
        <color theme="1"/>
        <rFont val="Calibri"/>
      </rPr>
      <t>MR</t>
    </r>
  </si>
  <si>
    <r>
      <rPr>
        <sz val="10"/>
        <color theme="1"/>
        <rFont val="Calibri"/>
      </rPr>
      <t>SITC of A/V Integration Module for conenction to A/V controllers via RS232/Ethernet</t>
    </r>
  </si>
  <si>
    <r>
      <rPr>
        <sz val="10"/>
        <color theme="1"/>
        <rFont val="Calibri"/>
      </rPr>
      <t>Nos</t>
    </r>
  </si>
  <si>
    <r>
      <rPr>
        <sz val="10"/>
        <color theme="1"/>
        <rFont val="Calibri"/>
      </rPr>
      <t>#REF!</t>
    </r>
  </si>
  <si>
    <r>
      <rPr>
        <sz val="10"/>
        <color theme="1"/>
        <rFont val="Calibri"/>
      </rPr>
      <t>MR</t>
    </r>
  </si>
  <si>
    <r>
      <rPr>
        <sz val="10"/>
        <color theme="1"/>
        <rFont val="Calibri"/>
      </rPr>
      <t>SITC of  desktop server with Microsoft Windows 2010 Server Operating System Installed. The hardware Includes the computer with a high performance hard drive for maximum data integrity, a monitor, a keyboard and a mouse.</t>
    </r>
  </si>
  <si>
    <r>
      <rPr>
        <sz val="10"/>
        <color theme="1"/>
        <rFont val="Calibri"/>
      </rPr>
      <t>Nos</t>
    </r>
  </si>
  <si>
    <r>
      <rPr>
        <sz val="10"/>
        <color theme="1"/>
        <rFont val="Calibri"/>
      </rPr>
      <t>#REF!</t>
    </r>
  </si>
  <si>
    <r>
      <rPr>
        <sz val="10"/>
        <color theme="1"/>
        <rFont val="Calibri"/>
      </rPr>
      <t>MR</t>
    </r>
  </si>
  <si>
    <r>
      <rPr>
        <sz val="10"/>
        <color theme="1"/>
        <rFont val="Calibri"/>
      </rPr>
      <t>Network Swithch - 6 port</t>
    </r>
  </si>
  <si>
    <r>
      <rPr>
        <sz val="10"/>
        <color theme="1"/>
        <rFont val="Calibri"/>
      </rPr>
      <t>Nos</t>
    </r>
  </si>
  <si>
    <r>
      <rPr>
        <sz val="10"/>
        <color theme="1"/>
        <rFont val="Calibri"/>
      </rPr>
      <t>39.18.1</t>
    </r>
  </si>
  <si>
    <r>
      <rPr>
        <sz val="10"/>
        <color theme="1"/>
        <rFont val="Calibri"/>
      </rPr>
      <t>1 run of cable</t>
    </r>
  </si>
  <si>
    <r>
      <rPr>
        <sz val="10"/>
        <color theme="1"/>
        <rFont val="Calibri"/>
      </rPr>
      <t>RM</t>
    </r>
  </si>
  <si>
    <r>
      <rPr>
        <sz val="10"/>
        <color theme="1"/>
        <rFont val="Calibri"/>
      </rPr>
      <t>MR</t>
    </r>
  </si>
  <si>
    <r>
      <rPr>
        <sz val="10"/>
        <color rgb="FF000000"/>
        <rFont val="Calibri"/>
      </rPr>
      <t xml:space="preserve">QS cable for power and data. Cable Common – 12 AWG (4.0 mm2); Power – 12 AWG (4.0 mm2); MUX Data – 22 AWG (0.25 mm2); Data – 22 AWG (0.25 mm2); Sense Line – 18 AWG (0.75
</t>
    </r>
    <r>
      <rPr>
        <sz val="10"/>
        <color rgb="FF000000"/>
        <rFont val="Calibri"/>
      </rPr>
      <t>mm2); Drain Wire – 24 AWG (0.2 mm2)</t>
    </r>
  </si>
  <si>
    <r>
      <rPr>
        <sz val="10"/>
        <color theme="1"/>
        <rFont val="Calibri"/>
      </rPr>
      <t>RM</t>
    </r>
  </si>
  <si>
    <r>
      <rPr>
        <sz val="10"/>
        <color theme="1"/>
        <rFont val="Calibri"/>
      </rPr>
      <t>MR</t>
    </r>
  </si>
  <si>
    <r>
      <rPr>
        <sz val="10"/>
        <color theme="1"/>
        <rFont val="Calibri"/>
      </rPr>
      <t>Complete commissioning of the system</t>
    </r>
  </si>
  <si>
    <r>
      <rPr>
        <sz val="10"/>
        <color theme="1"/>
        <rFont val="Calibri"/>
      </rPr>
      <t>Lot</t>
    </r>
  </si>
  <si>
    <r>
      <rPr>
        <sz val="10"/>
        <color rgb="FF000000"/>
        <rFont val="Calibri"/>
      </rPr>
      <t xml:space="preserve">Supplying and fixing of following sizes of steel conduit along with accessories in surface/recess
</t>
    </r>
    <r>
      <rPr>
        <sz val="10"/>
        <color rgb="FF000000"/>
        <rFont val="Calibri"/>
      </rPr>
      <t>including painting in case of surface conduit, or cutting the wall and making good the same in case of recessed conduit as required.</t>
    </r>
  </si>
  <si>
    <r>
      <rPr>
        <sz val="10"/>
        <color theme="1"/>
        <rFont val="Calibri"/>
      </rPr>
      <t>1.20.2</t>
    </r>
  </si>
  <si>
    <r>
      <rPr>
        <sz val="10"/>
        <color theme="1"/>
        <rFont val="Calibri"/>
      </rPr>
      <t>25mm</t>
    </r>
  </si>
  <si>
    <r>
      <rPr>
        <sz val="10"/>
        <color theme="1"/>
        <rFont val="Calibri"/>
      </rPr>
      <t>RM</t>
    </r>
  </si>
  <si>
    <r>
      <rPr>
        <sz val="10"/>
        <color theme="1"/>
        <rFont val="Calibri"/>
      </rPr>
      <t>Note: Cost to include visit to  OEM factory before delivery of materials at site for a FAT, process and quality inspection of the proposed materials in the tender under this head for 3 persons from user / project manager / designer firm.</t>
    </r>
  </si>
  <si>
    <r>
      <rPr>
        <b/>
        <sz val="10"/>
        <color theme="1"/>
        <rFont val="Calibri"/>
      </rPr>
      <t>TOTAL CARRIED OVER TO SUMMARY</t>
    </r>
  </si>
  <si>
    <r>
      <rPr>
        <b/>
        <sz val="10"/>
        <color theme="1"/>
        <rFont val="Calibri"/>
      </rPr>
      <t>SUB HEAD R2</t>
    </r>
  </si>
  <si>
    <r>
      <rPr>
        <b/>
        <sz val="10"/>
        <color theme="1"/>
        <rFont val="Calibri"/>
      </rPr>
      <t>MOTORISED SHADES - WITHOUT FABRIC</t>
    </r>
  </si>
  <si>
    <r>
      <rPr>
        <b/>
        <sz val="10"/>
        <color theme="1"/>
        <rFont val="Calibri"/>
      </rPr>
      <t>Design, Supply, installation, testing and commissioning of following Automatin System for Motorised:</t>
    </r>
  </si>
  <si>
    <r>
      <rPr>
        <sz val="10"/>
        <color theme="1"/>
        <rFont val="Calibri"/>
      </rPr>
      <t>MR</t>
    </r>
  </si>
  <si>
    <r>
      <rPr>
        <sz val="10"/>
        <color theme="1"/>
        <rFont val="Calibri"/>
      </rPr>
      <t>Motorised shades (wo the fabric) - SITC of Low Voltage DC Addressable Roller Shade Motor (Considering individual motor per 1 or 2 glass panel ),Noise level should be less than 38 dBA at 3 feet, Maximum fabric coverage should be upto 100 Sq ft. Motors in the same window façade should move in unison using Intelligent Hembar alignment technology, Seemless integration to lighting management system without use of interfaces- NO FABRIC</t>
    </r>
  </si>
  <si>
    <r>
      <rPr>
        <sz val="10"/>
        <color theme="1"/>
        <rFont val="Calibri"/>
      </rPr>
      <t>Nos.</t>
    </r>
  </si>
  <si>
    <r>
      <rPr>
        <sz val="10"/>
        <color theme="1"/>
        <rFont val="Calibri"/>
      </rPr>
      <t>MR</t>
    </r>
  </si>
  <si>
    <r>
      <rPr>
        <sz val="10"/>
        <color theme="1"/>
        <rFont val="Calibri"/>
      </rPr>
      <t>Power supply to convert DC from AC for shades - Individual power supply 24V outlet and supply power draw units to EDUs</t>
    </r>
  </si>
  <si>
    <r>
      <rPr>
        <sz val="10"/>
        <color theme="1"/>
        <rFont val="Calibri"/>
      </rPr>
      <t>Nos.</t>
    </r>
  </si>
  <si>
    <r>
      <rPr>
        <sz val="10"/>
        <color theme="1"/>
        <rFont val="Calibri"/>
      </rPr>
      <t>MR</t>
    </r>
  </si>
  <si>
    <r>
      <rPr>
        <sz val="10"/>
        <color theme="1"/>
        <rFont val="Calibri"/>
      </rPr>
      <t>Tube &amp; hambers suitable for above</t>
    </r>
  </si>
  <si>
    <r>
      <rPr>
        <sz val="10"/>
        <color theme="1"/>
        <rFont val="Calibri"/>
      </rPr>
      <t>RM</t>
    </r>
  </si>
  <si>
    <r>
      <rPr>
        <sz val="10"/>
        <color theme="1"/>
        <rFont val="Calibri"/>
      </rPr>
      <t>MR</t>
    </r>
  </si>
  <si>
    <r>
      <rPr>
        <sz val="10"/>
        <color theme="1"/>
        <rFont val="Calibri"/>
      </rPr>
      <t>SITC of 8/10 button wired keypad loctaed in electrical room for FM team for manual intervention.</t>
    </r>
  </si>
  <si>
    <r>
      <rPr>
        <sz val="10"/>
        <color theme="1"/>
        <rFont val="Calibri"/>
      </rPr>
      <t>Nos.</t>
    </r>
  </si>
  <si>
    <r>
      <rPr>
        <sz val="10"/>
        <color theme="1"/>
        <rFont val="Calibri"/>
      </rPr>
      <t>MR</t>
    </r>
  </si>
  <si>
    <r>
      <rPr>
        <sz val="10"/>
        <color theme="1"/>
        <rFont val="Calibri"/>
      </rPr>
      <t>SITC of main controller to connect to  shades link, Panel accepts one 220-240V, 1 phase, 2 wire, 10A feed, (10A-1P over-current protection, per circuit</t>
    </r>
  </si>
  <si>
    <r>
      <rPr>
        <sz val="10"/>
        <color theme="1"/>
        <rFont val="Calibri"/>
      </rPr>
      <t>Nos.</t>
    </r>
  </si>
  <si>
    <r>
      <rPr>
        <sz val="10"/>
        <color theme="1"/>
        <rFont val="Calibri"/>
      </rPr>
      <t>MR</t>
    </r>
  </si>
  <si>
    <r>
      <rPr>
        <sz val="10"/>
        <color theme="1"/>
        <rFont val="Calibri"/>
      </rPr>
      <t>Shades realted web-based software license which allows for control and programming of motorised shades.</t>
    </r>
  </si>
  <si>
    <r>
      <rPr>
        <sz val="10"/>
        <color theme="1"/>
        <rFont val="Calibri"/>
      </rPr>
      <t>Set</t>
    </r>
  </si>
  <si>
    <r>
      <rPr>
        <sz val="10"/>
        <color theme="1"/>
        <rFont val="Calibri"/>
      </rPr>
      <t>MR</t>
    </r>
  </si>
  <si>
    <r>
      <rPr>
        <sz val="10"/>
        <color theme="1"/>
        <rFont val="Calibri"/>
      </rPr>
      <t>Software for AUTOMATIC MOVEMENT OF SHADES based on sun position -</t>
    </r>
  </si>
  <si>
    <r>
      <rPr>
        <sz val="10"/>
        <color theme="1"/>
        <rFont val="Calibri"/>
      </rPr>
      <t>Set</t>
    </r>
  </si>
  <si>
    <r>
      <rPr>
        <sz val="10"/>
        <color theme="1"/>
        <rFont val="Calibri"/>
      </rPr>
      <t>MR</t>
    </r>
  </si>
  <si>
    <r>
      <rPr>
        <sz val="10"/>
        <color rgb="FF000000"/>
        <rFont val="Calibri"/>
      </rPr>
      <t xml:space="preserve">QS cable for power and data. Cable Common – 12 AWG (4.0 mm2); Power – 12 AWG (4.0 mm2); MUX Data – 22 AWG (0.25 mm2); Data – 22 AWG (0.25 mm2); Sense Line – 18 AWG (0.75
</t>
    </r>
    <r>
      <rPr>
        <sz val="10"/>
        <color rgb="FF000000"/>
        <rFont val="Calibri"/>
      </rPr>
      <t>mm2); Drain Wire – 24 AWG (0.2 mm2) - LUTBLU.</t>
    </r>
  </si>
  <si>
    <r>
      <rPr>
        <sz val="10"/>
        <color theme="1"/>
        <rFont val="Calibri"/>
      </rPr>
      <t>RM</t>
    </r>
  </si>
  <si>
    <r>
      <rPr>
        <sz val="10"/>
        <color theme="1"/>
        <rFont val="Calibri"/>
      </rPr>
      <t>MR</t>
    </r>
  </si>
  <si>
    <r>
      <rPr>
        <sz val="10"/>
        <color theme="1"/>
        <rFont val="Calibri"/>
      </rPr>
      <t>Commissioning of the complete system (Shades)</t>
    </r>
  </si>
  <si>
    <r>
      <rPr>
        <sz val="10"/>
        <color theme="1"/>
        <rFont val="Calibri"/>
      </rPr>
      <t>Set</t>
    </r>
  </si>
  <si>
    <r>
      <rPr>
        <sz val="10"/>
        <color theme="1"/>
        <rFont val="Calibri"/>
      </rPr>
      <t>Supplying and fixing of following sizes of steel conduit along with accessories in surface/recess including painting in case of surface conduit, or cutting the wall and making good the same in case of recessed conduit as required.</t>
    </r>
  </si>
  <si>
    <r>
      <rPr>
        <sz val="10"/>
        <color theme="1"/>
        <rFont val="Calibri"/>
      </rPr>
      <t>1.20.2</t>
    </r>
  </si>
  <si>
    <r>
      <rPr>
        <sz val="10"/>
        <color theme="1"/>
        <rFont val="Calibri"/>
      </rPr>
      <t>25mm</t>
    </r>
  </si>
  <si>
    <r>
      <rPr>
        <sz val="10"/>
        <color theme="1"/>
        <rFont val="Calibri"/>
      </rPr>
      <t>RM</t>
    </r>
  </si>
  <si>
    <r>
      <rPr>
        <b/>
        <sz val="10"/>
        <color theme="1"/>
        <rFont val="Calibri"/>
      </rPr>
      <t>Note: Fabric in Architect scope.</t>
    </r>
  </si>
  <si>
    <r>
      <rPr>
        <b/>
        <sz val="10"/>
        <color theme="1"/>
        <rFont val="Calibri"/>
      </rPr>
      <t>TOTAL CARRIED OVER TO SUMMARY</t>
    </r>
  </si>
  <si>
    <r>
      <rPr>
        <b/>
        <sz val="8"/>
        <color theme="1"/>
        <rFont val="Verdana"/>
      </rPr>
      <t>Sl. No.</t>
    </r>
  </si>
  <si>
    <r>
      <rPr>
        <b/>
        <sz val="8"/>
        <color rgb="FF000000"/>
        <rFont val="Verdana"/>
      </rPr>
      <t xml:space="preserve">DSR
</t>
    </r>
    <r>
      <rPr>
        <b/>
        <sz val="8"/>
        <color rgb="FF000000"/>
        <rFont val="Verdana"/>
      </rPr>
      <t>2025/M R</t>
    </r>
  </si>
  <si>
    <r>
      <rPr>
        <b/>
        <sz val="8"/>
        <color theme="1"/>
        <rFont val="Verdana"/>
      </rPr>
      <t>DESCRIPTION OF ITEMS</t>
    </r>
  </si>
  <si>
    <r>
      <rPr>
        <b/>
        <sz val="8"/>
        <color theme="1"/>
        <rFont val="Verdana"/>
      </rPr>
      <t>UNIT</t>
    </r>
  </si>
  <si>
    <r>
      <rPr>
        <b/>
        <sz val="8"/>
        <color theme="1"/>
        <rFont val="Verdana"/>
      </rPr>
      <t>Total Qty</t>
    </r>
  </si>
  <si>
    <r>
      <rPr>
        <b/>
        <sz val="8"/>
        <color theme="1"/>
        <rFont val="Verdana"/>
      </rPr>
      <t>Rate (In Rs.)</t>
    </r>
  </si>
  <si>
    <r>
      <rPr>
        <b/>
        <sz val="8"/>
        <color theme="1"/>
        <rFont val="Verdana"/>
      </rPr>
      <t>Amount (In Rs.)</t>
    </r>
  </si>
  <si>
    <r>
      <rPr>
        <b/>
        <sz val="8"/>
        <color theme="1"/>
        <rFont val="Verdana"/>
      </rPr>
      <t>DSR</t>
    </r>
  </si>
  <si>
    <r>
      <rPr>
        <b/>
        <sz val="8"/>
        <color theme="1"/>
        <rFont val="Verdana"/>
      </rPr>
      <t>Non-DSR</t>
    </r>
  </si>
  <si>
    <r>
      <rPr>
        <b/>
        <sz val="8"/>
        <color theme="1"/>
        <rFont val="Verdana"/>
      </rPr>
      <t>DSR</t>
    </r>
  </si>
  <si>
    <r>
      <rPr>
        <b/>
        <sz val="8"/>
        <color theme="1"/>
        <rFont val="Verdana"/>
      </rPr>
      <t>Non-DSR</t>
    </r>
  </si>
  <si>
    <r>
      <rPr>
        <b/>
        <sz val="8"/>
        <color theme="1"/>
        <rFont val="Verdana"/>
      </rPr>
      <t>B HEAD E</t>
    </r>
  </si>
  <si>
    <r>
      <rPr>
        <b/>
        <sz val="8"/>
        <color theme="1"/>
        <rFont val="Verdana"/>
      </rPr>
      <t>SPRINKLER, PIPING &amp; FITTINGS</t>
    </r>
  </si>
  <si>
    <r>
      <rPr>
        <sz val="8"/>
        <color theme="1"/>
        <rFont val="Verdana"/>
      </rPr>
      <t>Providing,  laying,  testing  &amp;  commissioning of 'C' class heavy duty MS pipe conforming to IS 1239/Class -II of IS: 3589 including Welding, fittings like elbows, tees, flanges, tapers,  nuts  bolts,  gaskets  etc.  and  fixing the  pipe  on  the  wall/ceiling  with  suitable clamp/support frame and painting with two or more coats of synthetic enamel paint of required shade complete as required :  For Sprinkler System</t>
    </r>
  </si>
  <si>
    <r>
      <rPr>
        <sz val="8"/>
        <color theme="1"/>
        <rFont val="Verdana"/>
      </rPr>
      <t>25 mm dia</t>
    </r>
  </si>
  <si>
    <r>
      <rPr>
        <sz val="8"/>
        <color theme="1"/>
        <rFont val="Verdana"/>
      </rPr>
      <t>RM</t>
    </r>
  </si>
  <si>
    <r>
      <rPr>
        <sz val="8"/>
        <color theme="1"/>
        <rFont val="Verdana"/>
      </rPr>
      <t>32 mm dia</t>
    </r>
  </si>
  <si>
    <r>
      <rPr>
        <sz val="8"/>
        <color theme="1"/>
        <rFont val="Verdana"/>
      </rPr>
      <t>RM</t>
    </r>
  </si>
  <si>
    <r>
      <rPr>
        <sz val="8"/>
        <color theme="1"/>
        <rFont val="Verdana"/>
      </rPr>
      <t>40mm dia</t>
    </r>
  </si>
  <si>
    <r>
      <rPr>
        <sz val="8"/>
        <color theme="1"/>
        <rFont val="Verdana"/>
      </rPr>
      <t>RM</t>
    </r>
  </si>
  <si>
    <r>
      <rPr>
        <sz val="8"/>
        <color theme="1"/>
        <rFont val="Verdana"/>
      </rPr>
      <t>MR</t>
    </r>
  </si>
  <si>
    <r>
      <rPr>
        <sz val="8"/>
        <color rgb="FF000000"/>
        <rFont val="Verdana"/>
      </rPr>
      <t xml:space="preserve">Providing,   laying,   jointing,   testing   and commissioning  of following  sizes of MS  'C' Class     (Heavy     duty)     grooved     pipes conforming    to    IS-1239    including    all accessories   like   orifice   plate(of   required dia),  UL/FM  listed  DI  grooved  fittings  like elbows,   tees,   SINGLE   BOLT   COUPLING upto  100  mm  and  double  bolt  for  above
</t>
    </r>
    <r>
      <rPr>
        <sz val="8"/>
        <color rgb="FF000000"/>
        <rFont val="Verdana"/>
      </rPr>
      <t xml:space="preserve">100  mm,  flange  adaptors,  reducers  etc. with grooved jointing shall be used on the pipes  complete  as  per  specification.  G.I. pipe sleeve of suitable higher size shall be provided  wherever  the  pipes  are  crossing the  walls/floors  and  sealing  the  sleeves with  glass  wool  in  between  &amp;  fire  sealent compound  at  either  end  all  as  per  Project Manager’s    /    Consultants    requirements including cutting holes and chases in brick. RCC  work  and  making  good  the  same  to original conditions complete in all respects. Grooving   of   Pipes   using   manufacturers
</t>
    </r>
    <r>
      <rPr>
        <sz val="8"/>
        <color rgb="FF000000"/>
        <rFont val="Verdana"/>
      </rPr>
      <t>machine shall also be included in the</t>
    </r>
  </si>
  <si>
    <r>
      <rPr>
        <sz val="8"/>
        <color theme="1"/>
        <rFont val="Verdana"/>
      </rPr>
      <t>50 mm dia</t>
    </r>
  </si>
  <si>
    <r>
      <rPr>
        <sz val="8"/>
        <color theme="1"/>
        <rFont val="Verdana"/>
      </rPr>
      <t>RM</t>
    </r>
  </si>
  <si>
    <r>
      <rPr>
        <sz val="8"/>
        <color theme="1"/>
        <rFont val="Verdana"/>
      </rPr>
      <t>65 mm dia</t>
    </r>
  </si>
  <si>
    <r>
      <rPr>
        <sz val="8"/>
        <color theme="1"/>
        <rFont val="Verdana"/>
      </rPr>
      <t>RM</t>
    </r>
  </si>
  <si>
    <r>
      <rPr>
        <sz val="8"/>
        <color theme="1"/>
        <rFont val="Verdana"/>
      </rPr>
      <t>80 mm dia</t>
    </r>
  </si>
  <si>
    <r>
      <rPr>
        <sz val="8"/>
        <color theme="1"/>
        <rFont val="Verdana"/>
      </rPr>
      <t>RM</t>
    </r>
  </si>
  <si>
    <r>
      <rPr>
        <sz val="8"/>
        <color theme="1"/>
        <rFont val="Verdana"/>
      </rPr>
      <t>100 mm  dia</t>
    </r>
  </si>
  <si>
    <r>
      <rPr>
        <sz val="8"/>
        <color theme="1"/>
        <rFont val="Verdana"/>
      </rPr>
      <t>RM</t>
    </r>
  </si>
  <si>
    <r>
      <rPr>
        <sz val="8"/>
        <color theme="1"/>
        <rFont val="Verdana"/>
      </rPr>
      <t>Providing,  fixing,  testing  &amp;  commissioning of 15mm dia quartzoid bulb type sprinklers of rating 68°C with required accessories:</t>
    </r>
  </si>
  <si>
    <r>
      <rPr>
        <sz val="8"/>
        <color theme="1"/>
        <rFont val="Verdana"/>
      </rPr>
      <t>27.21.1</t>
    </r>
  </si>
  <si>
    <r>
      <rPr>
        <sz val="8"/>
        <color theme="1"/>
        <rFont val="Verdana"/>
      </rPr>
      <t>Pendent Sprinkler (68 °C)</t>
    </r>
  </si>
  <si>
    <r>
      <rPr>
        <sz val="8"/>
        <color theme="1"/>
        <rFont val="Verdana"/>
      </rPr>
      <t>Nos.</t>
    </r>
  </si>
  <si>
    <r>
      <rPr>
        <sz val="8"/>
        <color theme="1"/>
        <rFont val="Verdana"/>
      </rPr>
      <t>MR</t>
    </r>
  </si>
  <si>
    <r>
      <rPr>
        <sz val="8"/>
        <color theme="1"/>
        <rFont val="Verdana"/>
      </rPr>
      <t>Pendent Sprinkler (79 °C)</t>
    </r>
  </si>
  <si>
    <r>
      <rPr>
        <sz val="8"/>
        <color theme="1"/>
        <rFont val="Verdana"/>
      </rPr>
      <t>Nos.</t>
    </r>
  </si>
  <si>
    <r>
      <rPr>
        <sz val="8"/>
        <color theme="1"/>
        <rFont val="Verdana"/>
      </rPr>
      <t>MR</t>
    </r>
  </si>
  <si>
    <r>
      <rPr>
        <sz val="8"/>
        <color theme="1"/>
        <rFont val="Verdana"/>
      </rPr>
      <t>Pendent Sprinkler (141 °C)</t>
    </r>
  </si>
  <si>
    <r>
      <rPr>
        <sz val="8"/>
        <color theme="1"/>
        <rFont val="Verdana"/>
      </rPr>
      <t>Nos.</t>
    </r>
  </si>
  <si>
    <r>
      <rPr>
        <sz val="8"/>
        <color theme="1"/>
        <rFont val="Verdana"/>
      </rPr>
      <t>Supplying,      installation,      testing      &amp; commissioning of sprinkler flexible pipe (UL Listed) of stainless steel complete with 15 NPT   on   reducer   thread   with   maximum working pressure of 175 PSI test pressure of 875 PSI (Burst) with branch line (Inlet) 25mm  NPT  male  thread  to  sprinkler  head (Outlet)  15mm  NPT  female  thread  with reducer,  nipple,  2  side  brackets,  center bracket,    stockbar    of    following    sizes complete as required.</t>
    </r>
  </si>
  <si>
    <r>
      <rPr>
        <sz val="8"/>
        <color theme="1"/>
        <rFont val="Verdana"/>
      </rPr>
      <t>27.25.2</t>
    </r>
  </si>
  <si>
    <r>
      <rPr>
        <sz val="8"/>
        <color theme="1"/>
        <rFont val="Verdana"/>
      </rPr>
      <t>1000 mm</t>
    </r>
  </si>
  <si>
    <r>
      <rPr>
        <sz val="8"/>
        <color theme="1"/>
        <rFont val="Verdana"/>
      </rPr>
      <t>Nos.</t>
    </r>
  </si>
  <si>
    <r>
      <rPr>
        <sz val="8"/>
        <color theme="1"/>
        <rFont val="Verdana"/>
      </rPr>
      <t>MR</t>
    </r>
  </si>
  <si>
    <r>
      <rPr>
        <sz val="8"/>
        <color theme="1"/>
        <rFont val="Verdana"/>
      </rPr>
      <t>Providing  and  fixing  Portable  Clean  Agent (FE-36)/FE236fa   Hexaflouropropane   type fire     extinguisher,     ISI     Marked     IS 15683:2006,  Gas  listed  under  EPA  SNAP, EPDM   Rubber   Hose,   CE   MArked   Valve, suitable for Class A,B  and  C  type  of fires, conforming  to  ISO  14520,  FM  approved and  UL  listed.  (1  cylinder  for  every  140 sq.m)-6Kg (For Critical areas only)</t>
    </r>
  </si>
  <si>
    <r>
      <rPr>
        <sz val="8"/>
        <color theme="1"/>
        <rFont val="Verdana"/>
      </rPr>
      <t>NOS.</t>
    </r>
  </si>
  <si>
    <r>
      <rPr>
        <sz val="8"/>
        <color theme="1"/>
        <rFont val="Verdana"/>
      </rPr>
      <t>4a</t>
    </r>
  </si>
  <si>
    <r>
      <rPr>
        <sz val="8"/>
        <color theme="1"/>
        <rFont val="Verdana"/>
      </rPr>
      <t>MR</t>
    </r>
  </si>
  <si>
    <r>
      <rPr>
        <sz val="8"/>
        <color rgb="FF000000"/>
        <rFont val="Verdana"/>
      </rPr>
      <t xml:space="preserve">Providing  and  fixing   6 Kg.  ABC  MAP-90% Powder    type    fire    extinguishers    are manufactured    and    marked    to    Indian standard  IS:  15683.  Hose  shall  made  of EPDM  Rubber,  CE  Marked  Valve,  Suitable first aid appliance for fighting fires in Class A,   B   &amp;   C   fire   that   is wood,   textile, flammable  liquids  &amp;  gases.  (For  general
</t>
    </r>
    <r>
      <rPr>
        <sz val="8"/>
        <color rgb="FF000000"/>
        <rFont val="Verdana"/>
      </rPr>
      <t>areas)</t>
    </r>
  </si>
  <si>
    <r>
      <rPr>
        <sz val="8"/>
        <color theme="1"/>
        <rFont val="Verdana"/>
      </rPr>
      <t>NOS.</t>
    </r>
  </si>
  <si>
    <r>
      <rPr>
        <sz val="8"/>
        <color theme="1"/>
        <rFont val="Verdana"/>
      </rPr>
      <t>MR</t>
    </r>
  </si>
  <si>
    <r>
      <rPr>
        <sz val="8"/>
        <color theme="1"/>
        <rFont val="Verdana"/>
      </rPr>
      <t>Providing  and  fixing  Modular  type  ceiling mounted    clean    agent    (FE-36)/FE236fa Hexaflouropropane  type  fire  extinguisher, ISI   Marked   IS   15683:2006,   Gas   listed under  EPA   SNAP,   having  sprinkler  with glass  bulb  rated  at  68  deg.C,  CE  MArked Valve, suitable for Class A,B and C type of fires,   conforming   to   ISO   14520,   FM approved and UL listed.-10Kg</t>
    </r>
  </si>
  <si>
    <r>
      <rPr>
        <sz val="8"/>
        <color theme="1"/>
        <rFont val="Verdana"/>
      </rPr>
      <t>Nos.</t>
    </r>
  </si>
  <si>
    <r>
      <rPr>
        <sz val="8"/>
        <color theme="1"/>
        <rFont val="Verdana"/>
      </rPr>
      <t>MR</t>
    </r>
  </si>
  <si>
    <r>
      <rPr>
        <sz val="8"/>
        <color rgb="FF000000"/>
        <rFont val="Verdana"/>
      </rPr>
      <t xml:space="preserve">Wet chemical stored pressure 2Ltr capacity (K-Type)   including  accessories,  pressure guage   and   floor   mounting   accessories
</t>
    </r>
    <r>
      <rPr>
        <sz val="8"/>
        <color rgb="FF000000"/>
        <rFont val="Verdana"/>
      </rPr>
      <t>(kitchen area)</t>
    </r>
  </si>
  <si>
    <r>
      <rPr>
        <sz val="8"/>
        <color theme="1"/>
        <rFont val="Verdana"/>
      </rPr>
      <t>Nos.</t>
    </r>
  </si>
  <si>
    <r>
      <rPr>
        <b/>
        <sz val="8"/>
        <color theme="1"/>
        <rFont val="Verdana"/>
      </rPr>
      <t>TOTAL CARRIED OVER TO SUMMARY</t>
    </r>
  </si>
  <si>
    <r>
      <rPr>
        <b/>
        <sz val="8"/>
        <color theme="1"/>
        <rFont val="Verdana"/>
      </rPr>
      <t>B HEAD F</t>
    </r>
  </si>
  <si>
    <r>
      <rPr>
        <b/>
        <sz val="8"/>
        <color theme="1"/>
        <rFont val="Verdana"/>
      </rPr>
      <t>PANEL FLOODING SYSTEM</t>
    </r>
  </si>
  <si>
    <r>
      <rPr>
        <sz val="8"/>
        <color theme="1"/>
        <rFont val="Verdana"/>
      </rPr>
      <t>Note : This is a design and build item. The quoting agency shall have the responsibility for   doing   all   calculations,   engineering designs, shop drawings and execution post award of work. Necessary coordination with the  electrical  Panel  Vendor  shall  also  be done by the agency</t>
    </r>
  </si>
  <si>
    <r>
      <rPr>
        <sz val="8"/>
        <color theme="1"/>
        <rFont val="Verdana"/>
      </rPr>
      <t>Design,  Engineering,  Supply,  Installation, testing  and  commissioning  of  Automatic Linear pneumatic Tube Detection based FK- 5-1-12    Gas    Suppression    System    for Electrical Panels comprising of the following items:</t>
    </r>
  </si>
  <si>
    <r>
      <rPr>
        <sz val="8"/>
        <color theme="1"/>
        <rFont val="Verdana"/>
      </rPr>
      <t>MR</t>
    </r>
  </si>
  <si>
    <r>
      <rPr>
        <sz val="8"/>
        <color theme="1"/>
        <rFont val="Verdana"/>
      </rPr>
      <t>Supply,  fixing,  testing  and  commissioning of   1   KG   capacity   FK-5-1-12   assembly including     automatic     valve,     push    in connector  for  tube,  1  KG  cylinder  FK-5-1- 12 gas cylinder , mounting bracket, with all accessories as required.</t>
    </r>
  </si>
  <si>
    <r>
      <rPr>
        <sz val="8"/>
        <color theme="1"/>
        <rFont val="Verdana"/>
      </rPr>
      <t>No.</t>
    </r>
  </si>
  <si>
    <r>
      <rPr>
        <sz val="8"/>
        <color theme="1"/>
        <rFont val="Verdana"/>
      </rPr>
      <t>MR</t>
    </r>
  </si>
  <si>
    <r>
      <rPr>
        <sz val="8"/>
        <color theme="1"/>
        <rFont val="Verdana"/>
      </rPr>
      <t>Supply,  fixing,  testing  and  commissioning of 2 KG capacity FK-5-1-12 DLP assembly including     automatic     valve,     push    in connector  for  tube,  2  KG  cylinder  FK-5-1- 12 gas cylinder , mounting bracket, with all accessories as required.</t>
    </r>
  </si>
  <si>
    <r>
      <rPr>
        <sz val="8"/>
        <color theme="1"/>
        <rFont val="Verdana"/>
      </rPr>
      <t>No.</t>
    </r>
  </si>
  <si>
    <r>
      <rPr>
        <sz val="8"/>
        <color theme="1"/>
        <rFont val="Verdana"/>
      </rPr>
      <t>MR</t>
    </r>
  </si>
  <si>
    <r>
      <rPr>
        <sz val="8"/>
        <color theme="1"/>
        <rFont val="Verdana"/>
      </rPr>
      <t>Supply,  fixing,  testing  and  commissioning of 4 KG capacity FK-5-1-12 DLP assembly including     automatic     valve,     push    in connector  for  tube,  4  KG  cylinder  FK-5-1- 12 gas cylinder , mounting bracket, with all accessories as required.</t>
    </r>
  </si>
  <si>
    <r>
      <rPr>
        <sz val="8"/>
        <color theme="1"/>
        <rFont val="Verdana"/>
      </rPr>
      <t>No.</t>
    </r>
  </si>
  <si>
    <r>
      <rPr>
        <sz val="8"/>
        <color theme="1"/>
        <rFont val="Verdana"/>
      </rPr>
      <t>MR</t>
    </r>
  </si>
  <si>
    <r>
      <rPr>
        <sz val="8"/>
        <color theme="1"/>
        <rFont val="Verdana"/>
      </rPr>
      <t>Supply,  fixing,  testing  and  commissioning of 6 KG capacity FK-5-1-12 DLP assembly including     automatic     valve,     push    in connector  for  tube,  4  KG  cylinder  FK-5-1- 12 gas cylinder , mounting bracket, with all accessories as required.</t>
    </r>
  </si>
  <si>
    <r>
      <rPr>
        <sz val="8"/>
        <color theme="1"/>
        <rFont val="Verdana"/>
      </rPr>
      <t>No.</t>
    </r>
  </si>
  <si>
    <r>
      <rPr>
        <sz val="8"/>
        <color theme="1"/>
        <rFont val="Verdana"/>
      </rPr>
      <t>MR</t>
    </r>
  </si>
  <si>
    <r>
      <rPr>
        <sz val="8"/>
        <color theme="1"/>
        <rFont val="Verdana"/>
      </rPr>
      <t>Supply,  fixing,  testing  and  commissioning of  Linear  pneumatic  heat  Detection  Tube with  all  necessary  fittings  &amp;  supports  to complete  the  works  etc  as  required.  UL listed tube as per UL521</t>
    </r>
  </si>
  <si>
    <r>
      <rPr>
        <sz val="8"/>
        <color theme="1"/>
        <rFont val="Verdana"/>
      </rPr>
      <t>RM</t>
    </r>
  </si>
  <si>
    <r>
      <rPr>
        <sz val="8"/>
        <color theme="1"/>
        <rFont val="Verdana"/>
      </rPr>
      <t>MR</t>
    </r>
  </si>
  <si>
    <r>
      <rPr>
        <sz val="8"/>
        <color theme="1"/>
        <rFont val="Verdana"/>
      </rPr>
      <t>Supply,  fixing,  testing  and  commissioning of End of Line adapter with Pressure gauge</t>
    </r>
  </si>
  <si>
    <r>
      <rPr>
        <sz val="8"/>
        <color theme="1"/>
        <rFont val="Verdana"/>
      </rPr>
      <t>No.</t>
    </r>
  </si>
  <si>
    <r>
      <rPr>
        <sz val="8"/>
        <color theme="1"/>
        <rFont val="Verdana"/>
      </rPr>
      <t>MR</t>
    </r>
  </si>
  <si>
    <r>
      <rPr>
        <sz val="8"/>
        <color rgb="FF000000"/>
        <rFont val="Verdana"/>
      </rPr>
      <t xml:space="preserve">Supply,  fixing,  testing  and  commissioning of  Pressure  Switch  to  monitor  Pressure drop  in  the  tube,  switch  point  5  Bars. Switch Type SPST, Normally Open, Electric Rating : 120/240 VAC-375 VA, 24 VAC-125
</t>
    </r>
    <r>
      <rPr>
        <sz val="8"/>
        <color rgb="FF000000"/>
        <rFont val="Verdana"/>
      </rPr>
      <t>VA,  Open  160  psi  y-7,  Close  185  psi  y- 5,Pressure switch + adaptor / 5bar.</t>
    </r>
  </si>
  <si>
    <r>
      <rPr>
        <sz val="8"/>
        <color theme="1"/>
        <rFont val="Verdana"/>
      </rPr>
      <t>No.</t>
    </r>
  </si>
  <si>
    <r>
      <rPr>
        <sz val="8"/>
        <color theme="1"/>
        <rFont val="Verdana"/>
      </rPr>
      <t>MR</t>
    </r>
  </si>
  <si>
    <r>
      <rPr>
        <sz val="8"/>
        <color theme="1"/>
        <rFont val="Verdana"/>
      </rPr>
      <t>Supply,  fixing,  testing  and  commissioning of T Connection, Brass, Nickle plated,</t>
    </r>
  </si>
  <si>
    <r>
      <rPr>
        <sz val="8"/>
        <color theme="1"/>
        <rFont val="Verdana"/>
      </rPr>
      <t>No.</t>
    </r>
  </si>
  <si>
    <r>
      <rPr>
        <sz val="8"/>
        <color theme="1"/>
        <rFont val="Verdana"/>
      </rPr>
      <t>MR</t>
    </r>
  </si>
  <si>
    <r>
      <rPr>
        <sz val="8"/>
        <color theme="1"/>
        <rFont val="Verdana"/>
      </rPr>
      <t>Supply,  fixing,  testing  and  commissioning of End of plug used for fitting at the tube end to terminate the point.</t>
    </r>
  </si>
  <si>
    <r>
      <rPr>
        <sz val="8"/>
        <color theme="1"/>
        <rFont val="Verdana"/>
      </rPr>
      <t>No.</t>
    </r>
  </si>
  <si>
    <r>
      <rPr>
        <sz val="8"/>
        <color theme="1"/>
        <rFont val="Verdana"/>
      </rPr>
      <t>MR</t>
    </r>
  </si>
  <si>
    <r>
      <rPr>
        <sz val="8"/>
        <color theme="1"/>
        <rFont val="Verdana"/>
      </rPr>
      <t>Supply,  fixing,  testing  and  commissioning of Master control unit for controlling system including    pressure    switches,buzzers    , electronic    hooters,electrical    wiring    and other all necessary accessories as required to  make  entire  system  functional.  Panel shuold be with battery back up</t>
    </r>
  </si>
  <si>
    <r>
      <rPr>
        <sz val="8"/>
        <color theme="1"/>
        <rFont val="Verdana"/>
      </rPr>
      <t>No.</t>
    </r>
  </si>
  <si>
    <r>
      <rPr>
        <sz val="8"/>
        <color rgb="FF000000"/>
        <rFont val="Verdana"/>
      </rPr>
      <t xml:space="preserve">Note:    Actual    Linear    pneumatic    heat Detection   Tube   quantities   and   cylinder capacities   shall   be   calculated   based   on approved Panel GA  drawings and tenderer need   to   be   submit   detail   calculation, drawings  for  evaluation  of  the  design  and
</t>
    </r>
    <r>
      <rPr>
        <sz val="8"/>
        <color rgb="FF000000"/>
        <rFont val="Verdana"/>
      </rPr>
      <t>quantities requirement</t>
    </r>
  </si>
  <si>
    <r>
      <rPr>
        <b/>
        <sz val="8"/>
        <color theme="1"/>
        <rFont val="Verdana"/>
      </rPr>
      <t>TOTAL CARRIED OVER TO SUMMARY</t>
    </r>
  </si>
  <si>
    <r>
      <rPr>
        <b/>
        <sz val="8"/>
        <color theme="1"/>
        <rFont val="Verdana"/>
      </rPr>
      <t>B HEAD G</t>
    </r>
  </si>
  <si>
    <r>
      <rPr>
        <b/>
        <sz val="8"/>
        <color theme="1"/>
        <rFont val="Verdana"/>
      </rPr>
      <t>INERGEN (IG-541) INERT GAS SYSTEM (UPS+BATTERY + SERVER ROOMS)</t>
    </r>
  </si>
  <si>
    <r>
      <rPr>
        <sz val="8"/>
        <color rgb="FF000000"/>
        <rFont val="Verdana"/>
      </rPr>
      <t xml:space="preserve">Design,  Engineering,  Supply,  Installation,
</t>
    </r>
    <r>
      <rPr>
        <sz val="8"/>
        <color rgb="FF000000"/>
        <rFont val="Verdana"/>
      </rPr>
      <t>testing and commissioning of Inergen Inert</t>
    </r>
  </si>
  <si>
    <r>
      <rPr>
        <b/>
        <sz val="8"/>
        <color rgb="FF000000"/>
        <rFont val="Verdana"/>
      </rPr>
      <t xml:space="preserve">CYLINDERS, PRESSURE CONTROL
</t>
    </r>
    <r>
      <rPr>
        <b/>
        <sz val="8"/>
        <color rgb="FF000000"/>
        <rFont val="Verdana"/>
      </rPr>
      <t>VALVE AND HOSE</t>
    </r>
  </si>
  <si>
    <r>
      <rPr>
        <sz val="8"/>
        <color theme="1"/>
        <rFont val="Verdana"/>
      </rPr>
      <t>MR</t>
    </r>
  </si>
  <si>
    <r>
      <rPr>
        <sz val="8"/>
        <color rgb="FF000000"/>
        <rFont val="Verdana"/>
      </rPr>
      <t xml:space="preserve">Cylinder  seamless  PESO  approved,  140L,
</t>
    </r>
    <r>
      <rPr>
        <sz val="8"/>
        <color rgb="FF000000"/>
        <rFont val="Verdana"/>
      </rPr>
      <t>300  bar,  (IG  541  filled  58.3  Kgs)  with Cylinder Valve QRV TD 300 , (MAIN )</t>
    </r>
  </si>
  <si>
    <r>
      <rPr>
        <sz val="8"/>
        <color theme="1"/>
        <rFont val="Verdana"/>
      </rPr>
      <t>Nos</t>
    </r>
  </si>
  <si>
    <r>
      <rPr>
        <sz val="8"/>
        <color theme="1"/>
        <rFont val="Verdana"/>
      </rPr>
      <t>MR</t>
    </r>
  </si>
  <si>
    <r>
      <rPr>
        <sz val="8"/>
        <color rgb="FF000000"/>
        <rFont val="Verdana"/>
      </rPr>
      <t xml:space="preserve">Contact Pressure Gauge (NC) for 300 bar
</t>
    </r>
    <r>
      <rPr>
        <sz val="8"/>
        <color rgb="FF000000"/>
        <rFont val="Verdana"/>
      </rPr>
      <t>system</t>
    </r>
  </si>
  <si>
    <r>
      <rPr>
        <sz val="8"/>
        <color theme="1"/>
        <rFont val="Verdana"/>
      </rPr>
      <t>Nos</t>
    </r>
  </si>
  <si>
    <r>
      <rPr>
        <sz val="8"/>
        <color theme="1"/>
        <rFont val="Verdana"/>
      </rPr>
      <t>MR</t>
    </r>
  </si>
  <si>
    <r>
      <rPr>
        <sz val="8"/>
        <color theme="1"/>
        <rFont val="Verdana"/>
      </rPr>
      <t>Discharge Hose with sealings 375mm</t>
    </r>
  </si>
  <si>
    <r>
      <rPr>
        <sz val="8"/>
        <color theme="1"/>
        <rFont val="Verdana"/>
      </rPr>
      <t>Nos</t>
    </r>
  </si>
  <si>
    <r>
      <rPr>
        <sz val="8"/>
        <color theme="1"/>
        <rFont val="Verdana"/>
      </rPr>
      <t>MR</t>
    </r>
  </si>
  <si>
    <r>
      <rPr>
        <sz val="8"/>
        <color theme="1"/>
        <rFont val="Verdana"/>
      </rPr>
      <t>Pressure control valve CF-S HP</t>
    </r>
  </si>
  <si>
    <r>
      <rPr>
        <sz val="8"/>
        <color theme="1"/>
        <rFont val="Verdana"/>
      </rPr>
      <t>Nos</t>
    </r>
  </si>
  <si>
    <r>
      <rPr>
        <sz val="8"/>
        <color theme="1"/>
        <rFont val="Verdana"/>
      </rPr>
      <t>MR</t>
    </r>
  </si>
  <si>
    <r>
      <rPr>
        <b/>
        <sz val="8"/>
        <color theme="1"/>
        <rFont val="Verdana"/>
      </rPr>
      <t>MANIFOLD CHECK VALVE</t>
    </r>
  </si>
  <si>
    <r>
      <rPr>
        <sz val="8"/>
        <color theme="1"/>
        <rFont val="Verdana"/>
      </rPr>
      <t>MR</t>
    </r>
  </si>
  <si>
    <r>
      <rPr>
        <sz val="8"/>
        <color theme="1"/>
        <rFont val="Verdana"/>
      </rPr>
      <t>Check valve KRV-1 complete</t>
    </r>
  </si>
  <si>
    <r>
      <rPr>
        <sz val="8"/>
        <color theme="1"/>
        <rFont val="Verdana"/>
      </rPr>
      <t>Nos</t>
    </r>
  </si>
  <si>
    <r>
      <rPr>
        <sz val="8"/>
        <color theme="1"/>
        <rFont val="Verdana"/>
      </rPr>
      <t>MR</t>
    </r>
  </si>
  <si>
    <r>
      <rPr>
        <sz val="8"/>
        <color theme="1"/>
        <rFont val="Verdana"/>
      </rPr>
      <t>Cap KRV-1 ( For Pressure Testing)</t>
    </r>
  </si>
  <si>
    <r>
      <rPr>
        <sz val="8"/>
        <color theme="1"/>
        <rFont val="Verdana"/>
      </rPr>
      <t>Nos</t>
    </r>
  </si>
  <si>
    <r>
      <rPr>
        <b/>
        <sz val="8"/>
        <color rgb="FF000000"/>
        <rFont val="Verdana"/>
      </rPr>
      <t xml:space="preserve">RELEASE UNIT PRIMARY AND SLAVE
</t>
    </r>
    <r>
      <rPr>
        <b/>
        <sz val="8"/>
        <color rgb="FF000000"/>
        <rFont val="Verdana"/>
      </rPr>
      <t>CYLINDERS</t>
    </r>
  </si>
  <si>
    <r>
      <rPr>
        <sz val="8"/>
        <color theme="1"/>
        <rFont val="Verdana"/>
      </rPr>
      <t>MR</t>
    </r>
  </si>
  <si>
    <r>
      <rPr>
        <sz val="8"/>
        <color theme="1"/>
        <rFont val="Verdana"/>
      </rPr>
      <t>Release device electrical QRV</t>
    </r>
  </si>
  <si>
    <r>
      <rPr>
        <sz val="8"/>
        <color theme="1"/>
        <rFont val="Verdana"/>
      </rPr>
      <t>Nos</t>
    </r>
  </si>
  <si>
    <r>
      <rPr>
        <sz val="8"/>
        <color theme="1"/>
        <rFont val="Verdana"/>
      </rPr>
      <t>MR</t>
    </r>
  </si>
  <si>
    <r>
      <rPr>
        <sz val="8"/>
        <color theme="1"/>
        <rFont val="Verdana"/>
      </rPr>
      <t>Release device manual QRV</t>
    </r>
  </si>
  <si>
    <r>
      <rPr>
        <sz val="8"/>
        <color theme="1"/>
        <rFont val="Verdana"/>
      </rPr>
      <t>Nos</t>
    </r>
  </si>
  <si>
    <r>
      <rPr>
        <sz val="8"/>
        <color theme="1"/>
        <rFont val="Verdana"/>
      </rPr>
      <t>MR</t>
    </r>
  </si>
  <si>
    <r>
      <rPr>
        <sz val="8"/>
        <color theme="1"/>
        <rFont val="Verdana"/>
      </rPr>
      <t>Hose MX PH300, DN4x600</t>
    </r>
  </si>
  <si>
    <r>
      <rPr>
        <sz val="8"/>
        <color theme="1"/>
        <rFont val="Verdana"/>
      </rPr>
      <t>Nos</t>
    </r>
  </si>
  <si>
    <r>
      <rPr>
        <sz val="8"/>
        <color theme="1"/>
        <rFont val="Verdana"/>
      </rPr>
      <t>MR</t>
    </r>
  </si>
  <si>
    <r>
      <rPr>
        <sz val="8"/>
        <color theme="1"/>
        <rFont val="Verdana"/>
      </rPr>
      <t>Union GE 6-PLR-ED A3C</t>
    </r>
  </si>
  <si>
    <r>
      <rPr>
        <sz val="8"/>
        <color theme="1"/>
        <rFont val="Verdana"/>
      </rPr>
      <t>Nos</t>
    </r>
  </si>
  <si>
    <r>
      <rPr>
        <sz val="8"/>
        <color theme="1"/>
        <rFont val="Verdana"/>
      </rPr>
      <t>MR</t>
    </r>
  </si>
  <si>
    <r>
      <rPr>
        <sz val="8"/>
        <color theme="1"/>
        <rFont val="Verdana"/>
      </rPr>
      <t>Union ET06LOMDCF</t>
    </r>
  </si>
  <si>
    <r>
      <rPr>
        <sz val="8"/>
        <color theme="1"/>
        <rFont val="Verdana"/>
      </rPr>
      <t>Nos</t>
    </r>
  </si>
  <si>
    <r>
      <rPr>
        <sz val="8"/>
        <color theme="1"/>
        <rFont val="Verdana"/>
      </rPr>
      <t>MR</t>
    </r>
  </si>
  <si>
    <r>
      <rPr>
        <sz val="8"/>
        <color rgb="FF000000"/>
        <rFont val="Verdana"/>
      </rPr>
      <t xml:space="preserve">Safety device malfunction pressure SFD
</t>
    </r>
    <r>
      <rPr>
        <sz val="8"/>
        <color rgb="FF000000"/>
        <rFont val="Verdana"/>
      </rPr>
      <t>DN4 300</t>
    </r>
  </si>
  <si>
    <r>
      <rPr>
        <sz val="8"/>
        <color theme="1"/>
        <rFont val="Verdana"/>
      </rPr>
      <t>Nos</t>
    </r>
  </si>
  <si>
    <r>
      <rPr>
        <sz val="8"/>
        <color theme="1"/>
        <rFont val="Verdana"/>
      </rPr>
      <t>MR</t>
    </r>
  </si>
  <si>
    <r>
      <rPr>
        <sz val="8"/>
        <color theme="1"/>
        <rFont val="Verdana"/>
      </rPr>
      <t>Union EW 06 L CF</t>
    </r>
  </si>
  <si>
    <r>
      <rPr>
        <sz val="8"/>
        <color theme="1"/>
        <rFont val="Verdana"/>
      </rPr>
      <t>Nos</t>
    </r>
  </si>
  <si>
    <r>
      <rPr>
        <sz val="8"/>
        <color theme="1"/>
        <rFont val="Verdana"/>
      </rPr>
      <t>MR</t>
    </r>
  </si>
  <si>
    <r>
      <rPr>
        <sz val="8"/>
        <color theme="1"/>
        <rFont val="Verdana"/>
      </rPr>
      <t>Union GZR06L/06SCF</t>
    </r>
  </si>
  <si>
    <r>
      <rPr>
        <sz val="8"/>
        <color theme="1"/>
        <rFont val="Verdana"/>
      </rPr>
      <t>Nos</t>
    </r>
  </si>
  <si>
    <r>
      <rPr>
        <sz val="8"/>
        <color theme="1"/>
        <rFont val="Verdana"/>
      </rPr>
      <t>MR</t>
    </r>
  </si>
  <si>
    <r>
      <rPr>
        <sz val="8"/>
        <color theme="1"/>
        <rFont val="Verdana"/>
      </rPr>
      <t>Adapter M12x1.5 – G1/8</t>
    </r>
  </si>
  <si>
    <r>
      <rPr>
        <sz val="8"/>
        <color theme="1"/>
        <rFont val="Verdana"/>
      </rPr>
      <t>Nos</t>
    </r>
  </si>
  <si>
    <r>
      <rPr>
        <b/>
        <sz val="8"/>
        <color theme="1"/>
        <rFont val="Verdana"/>
      </rPr>
      <t>PRESSURE SWITCH</t>
    </r>
  </si>
  <si>
    <r>
      <rPr>
        <sz val="8"/>
        <color theme="1"/>
        <rFont val="Verdana"/>
      </rPr>
      <t>MR</t>
    </r>
  </si>
  <si>
    <r>
      <rPr>
        <sz val="8"/>
        <color theme="1"/>
        <rFont val="Verdana"/>
      </rPr>
      <t>Limit switch pneumatic operated</t>
    </r>
  </si>
  <si>
    <r>
      <rPr>
        <sz val="8"/>
        <color theme="1"/>
        <rFont val="Verdana"/>
      </rPr>
      <t>Nos</t>
    </r>
  </si>
  <si>
    <r>
      <rPr>
        <sz val="8"/>
        <color theme="1"/>
        <rFont val="Verdana"/>
      </rPr>
      <t>MR</t>
    </r>
  </si>
  <si>
    <r>
      <rPr>
        <sz val="8"/>
        <color theme="1"/>
        <rFont val="Verdana"/>
      </rPr>
      <t>Adapter, 1/4” NPT to M12 x 1.5 Hose</t>
    </r>
  </si>
  <si>
    <r>
      <rPr>
        <sz val="8"/>
        <color theme="1"/>
        <rFont val="Verdana"/>
      </rPr>
      <t>Nos</t>
    </r>
  </si>
  <si>
    <r>
      <rPr>
        <sz val="8"/>
        <color theme="1"/>
        <rFont val="Verdana"/>
      </rPr>
      <t>MR</t>
    </r>
  </si>
  <si>
    <r>
      <rPr>
        <sz val="8"/>
        <color rgb="FF000000"/>
        <rFont val="Verdana"/>
      </rPr>
      <t xml:space="preserve">Adapter, Pressure Switch G 1/4 to M12 x
</t>
    </r>
    <r>
      <rPr>
        <sz val="8"/>
        <color rgb="FF000000"/>
        <rFont val="Verdana"/>
      </rPr>
      <t>1.5 Hose</t>
    </r>
  </si>
  <si>
    <r>
      <rPr>
        <sz val="8"/>
        <color theme="1"/>
        <rFont val="Verdana"/>
      </rPr>
      <t>Nos</t>
    </r>
  </si>
  <si>
    <r>
      <rPr>
        <sz val="8"/>
        <color theme="1"/>
        <rFont val="Verdana"/>
      </rPr>
      <t>MR</t>
    </r>
  </si>
  <si>
    <r>
      <rPr>
        <b/>
        <sz val="8"/>
        <color theme="1"/>
        <rFont val="Verdana"/>
      </rPr>
      <t>DISCHARGE NOZZLE</t>
    </r>
  </si>
  <si>
    <r>
      <rPr>
        <sz val="8"/>
        <color theme="1"/>
        <rFont val="Verdana"/>
      </rPr>
      <t>MR</t>
    </r>
  </si>
  <si>
    <r>
      <rPr>
        <sz val="8"/>
        <color theme="1"/>
        <rFont val="Verdana"/>
      </rPr>
      <t>VN TFI Brass 360 Degree 25mm</t>
    </r>
  </si>
  <si>
    <r>
      <rPr>
        <sz val="8"/>
        <color theme="1"/>
        <rFont val="Verdana"/>
      </rPr>
      <t>Nos</t>
    </r>
  </si>
  <si>
    <r>
      <rPr>
        <sz val="8"/>
        <color theme="1"/>
        <rFont val="Verdana"/>
      </rPr>
      <t>MR</t>
    </r>
  </si>
  <si>
    <r>
      <rPr>
        <sz val="8"/>
        <color rgb="FF000000"/>
        <rFont val="Verdana"/>
      </rPr>
      <t xml:space="preserve">Orifice Plate for 25mm Nozzle (PKT Qty -
</t>
    </r>
    <r>
      <rPr>
        <sz val="8"/>
        <color rgb="FF000000"/>
        <rFont val="Verdana"/>
      </rPr>
      <t>10Nos)</t>
    </r>
  </si>
  <si>
    <r>
      <rPr>
        <sz val="8"/>
        <color theme="1"/>
        <rFont val="Verdana"/>
      </rPr>
      <t>Nos</t>
    </r>
  </si>
  <si>
    <r>
      <rPr>
        <b/>
        <sz val="8"/>
        <color theme="1"/>
        <rFont val="Verdana"/>
      </rPr>
      <t>WARNING STICKER</t>
    </r>
  </si>
  <si>
    <r>
      <rPr>
        <sz val="8"/>
        <color theme="1"/>
        <rFont val="Verdana"/>
      </rPr>
      <t>MR</t>
    </r>
  </si>
  <si>
    <r>
      <rPr>
        <sz val="8"/>
        <color theme="1"/>
        <rFont val="Verdana"/>
      </rPr>
      <t>Warning Sign (Sticker) - DO NOT ENTER</t>
    </r>
  </si>
  <si>
    <r>
      <rPr>
        <sz val="8"/>
        <color theme="1"/>
        <rFont val="Verdana"/>
      </rPr>
      <t>Nos</t>
    </r>
  </si>
  <si>
    <r>
      <rPr>
        <sz val="8"/>
        <color theme="1"/>
        <rFont val="Verdana"/>
      </rPr>
      <t>MR</t>
    </r>
  </si>
  <si>
    <r>
      <rPr>
        <sz val="8"/>
        <color theme="1"/>
        <rFont val="Verdana"/>
      </rPr>
      <t>Warning Sign (Sticker) - VACATE AREA</t>
    </r>
  </si>
  <si>
    <r>
      <rPr>
        <sz val="8"/>
        <color theme="1"/>
        <rFont val="Verdana"/>
      </rPr>
      <t>Nos</t>
    </r>
  </si>
  <si>
    <r>
      <rPr>
        <b/>
        <sz val="8"/>
        <color theme="1"/>
        <rFont val="Verdana"/>
      </rPr>
      <t>TOOLS</t>
    </r>
  </si>
  <si>
    <r>
      <rPr>
        <sz val="8"/>
        <color theme="1"/>
        <rFont val="Verdana"/>
      </rPr>
      <t>MR</t>
    </r>
  </si>
  <si>
    <r>
      <rPr>
        <sz val="8"/>
        <color rgb="FF000000"/>
        <rFont val="Verdana"/>
      </rPr>
      <t xml:space="preserve">Reset Tool QRV ( Only One No. Considered
</t>
    </r>
    <r>
      <rPr>
        <sz val="8"/>
        <color rgb="FF000000"/>
        <rFont val="Verdana"/>
      </rPr>
      <t>for whole system)</t>
    </r>
  </si>
  <si>
    <r>
      <rPr>
        <sz val="8"/>
        <color theme="1"/>
        <rFont val="Verdana"/>
      </rPr>
      <t>Lot</t>
    </r>
  </si>
  <si>
    <r>
      <rPr>
        <b/>
        <sz val="8"/>
        <color theme="1"/>
        <rFont val="Verdana"/>
      </rPr>
      <t>PIPINGS AND DETECTION PART</t>
    </r>
  </si>
  <si>
    <r>
      <rPr>
        <sz val="8"/>
        <color theme="1"/>
        <rFont val="Verdana"/>
      </rPr>
      <t>MR</t>
    </r>
  </si>
  <si>
    <r>
      <rPr>
        <sz val="8"/>
        <color rgb="FF000000"/>
        <rFont val="Verdana"/>
      </rPr>
      <t xml:space="preserve">SCH80/160 , Cylinder Manifold, Manifold
</t>
    </r>
    <r>
      <rPr>
        <sz val="8"/>
        <color rgb="FF000000"/>
        <rFont val="Verdana"/>
      </rPr>
      <t>Coupling, End Cap</t>
    </r>
  </si>
  <si>
    <r>
      <rPr>
        <sz val="8"/>
        <color theme="1"/>
        <rFont val="Verdana"/>
      </rPr>
      <t>Lot</t>
    </r>
  </si>
  <si>
    <r>
      <rPr>
        <sz val="8"/>
        <color theme="1"/>
        <rFont val="Verdana"/>
      </rPr>
      <t>MR</t>
    </r>
  </si>
  <si>
    <r>
      <rPr>
        <sz val="8"/>
        <color theme="1"/>
        <rFont val="Verdana"/>
      </rPr>
      <t>ASTM A53 / A106 Gr.B, Pipes &amp; Fittings</t>
    </r>
  </si>
  <si>
    <r>
      <rPr>
        <sz val="8"/>
        <color theme="1"/>
        <rFont val="Verdana"/>
      </rPr>
      <t>Lot</t>
    </r>
  </si>
  <si>
    <r>
      <rPr>
        <sz val="8"/>
        <color theme="1"/>
        <rFont val="Verdana"/>
      </rPr>
      <t>MR</t>
    </r>
  </si>
  <si>
    <r>
      <rPr>
        <sz val="8"/>
        <color theme="1"/>
        <rFont val="Verdana"/>
      </rPr>
      <t>Pipe support &amp; painting.</t>
    </r>
  </si>
  <si>
    <r>
      <rPr>
        <sz val="8"/>
        <color theme="1"/>
        <rFont val="Verdana"/>
      </rPr>
      <t>Lot</t>
    </r>
  </si>
  <si>
    <r>
      <rPr>
        <sz val="8"/>
        <color theme="1"/>
        <rFont val="Verdana"/>
      </rPr>
      <t>MR</t>
    </r>
  </si>
  <si>
    <r>
      <rPr>
        <sz val="8"/>
        <color theme="1"/>
        <rFont val="Verdana"/>
      </rPr>
      <t>Cylinder Rack supports</t>
    </r>
  </si>
  <si>
    <r>
      <rPr>
        <sz val="8"/>
        <color theme="1"/>
        <rFont val="Verdana"/>
      </rPr>
      <t>Lot</t>
    </r>
  </si>
  <si>
    <r>
      <rPr>
        <sz val="8"/>
        <color theme="1"/>
        <rFont val="Verdana"/>
      </rPr>
      <t>MR</t>
    </r>
  </si>
  <si>
    <r>
      <rPr>
        <sz val="8"/>
        <color theme="1"/>
        <rFont val="Verdana"/>
      </rPr>
      <t>Gas realease panel</t>
    </r>
  </si>
  <si>
    <r>
      <rPr>
        <sz val="8"/>
        <color theme="1"/>
        <rFont val="Verdana"/>
      </rPr>
      <t>Lot</t>
    </r>
  </si>
  <si>
    <r>
      <rPr>
        <sz val="8"/>
        <color theme="1"/>
        <rFont val="Verdana"/>
      </rPr>
      <t>MR</t>
    </r>
  </si>
  <si>
    <r>
      <rPr>
        <sz val="8"/>
        <color theme="1"/>
        <rFont val="Verdana"/>
      </rPr>
      <t>Smoke Detector</t>
    </r>
  </si>
  <si>
    <r>
      <rPr>
        <sz val="8"/>
        <color theme="1"/>
        <rFont val="Verdana"/>
      </rPr>
      <t>Lot</t>
    </r>
  </si>
  <si>
    <r>
      <rPr>
        <sz val="8"/>
        <color theme="1"/>
        <rFont val="Verdana"/>
      </rPr>
      <t>MR</t>
    </r>
  </si>
  <si>
    <r>
      <rPr>
        <sz val="8"/>
        <color theme="1"/>
        <rFont val="Verdana"/>
      </rPr>
      <t>Response Indicator</t>
    </r>
  </si>
  <si>
    <r>
      <rPr>
        <sz val="8"/>
        <color theme="1"/>
        <rFont val="Verdana"/>
      </rPr>
      <t>Lot</t>
    </r>
  </si>
  <si>
    <r>
      <rPr>
        <sz val="8"/>
        <color theme="1"/>
        <rFont val="Verdana"/>
      </rPr>
      <t>MR</t>
    </r>
  </si>
  <si>
    <r>
      <rPr>
        <sz val="8"/>
        <color theme="1"/>
        <rFont val="Verdana"/>
      </rPr>
      <t>Manual Actuator</t>
    </r>
  </si>
  <si>
    <r>
      <rPr>
        <sz val="8"/>
        <color theme="1"/>
        <rFont val="Verdana"/>
      </rPr>
      <t>Lot</t>
    </r>
  </si>
  <si>
    <r>
      <rPr>
        <sz val="8"/>
        <color theme="1"/>
        <rFont val="Verdana"/>
      </rPr>
      <t>MR</t>
    </r>
  </si>
  <si>
    <r>
      <rPr>
        <sz val="8"/>
        <color theme="1"/>
        <rFont val="Verdana"/>
      </rPr>
      <t>Manual Abort</t>
    </r>
  </si>
  <si>
    <r>
      <rPr>
        <sz val="8"/>
        <color theme="1"/>
        <rFont val="Verdana"/>
      </rPr>
      <t>Lot</t>
    </r>
  </si>
  <si>
    <r>
      <rPr>
        <sz val="8"/>
        <color theme="1"/>
        <rFont val="Verdana"/>
      </rPr>
      <t>MR</t>
    </r>
  </si>
  <si>
    <r>
      <rPr>
        <sz val="8"/>
        <color theme="1"/>
        <rFont val="Verdana"/>
      </rPr>
      <t>Sounder cum strobe</t>
    </r>
  </si>
  <si>
    <r>
      <rPr>
        <sz val="8"/>
        <color theme="1"/>
        <rFont val="Verdana"/>
      </rPr>
      <t>Lot</t>
    </r>
  </si>
  <si>
    <r>
      <rPr>
        <sz val="8"/>
        <color theme="1"/>
        <rFont val="Verdana"/>
      </rPr>
      <t>MR</t>
    </r>
  </si>
  <si>
    <r>
      <rPr>
        <sz val="8"/>
        <color theme="1"/>
        <rFont val="Verdana"/>
      </rPr>
      <t>UL flow calculation</t>
    </r>
  </si>
  <si>
    <r>
      <rPr>
        <sz val="8"/>
        <color theme="1"/>
        <rFont val="Verdana"/>
      </rPr>
      <t>Lot</t>
    </r>
  </si>
  <si>
    <r>
      <rPr>
        <b/>
        <sz val="8"/>
        <color theme="1"/>
        <rFont val="Verdana"/>
      </rPr>
      <t>TOTAL CARRIED OVER TO SUMMARY</t>
    </r>
  </si>
  <si>
    <r>
      <rPr>
        <b/>
        <sz val="8"/>
        <color theme="1"/>
        <rFont val="Verdana"/>
      </rPr>
      <t>B HEAD H</t>
    </r>
  </si>
  <si>
    <r>
      <rPr>
        <b/>
        <sz val="8"/>
        <color theme="1"/>
        <rFont val="Verdana"/>
      </rPr>
      <t>KITCHEN HOOD SUPPRESSION</t>
    </r>
  </si>
  <si>
    <r>
      <rPr>
        <sz val="8"/>
        <color theme="1"/>
        <rFont val="Verdana"/>
      </rPr>
      <t>Design,  Engineering,  Supply,  Installation, testing and commissioning of Kitchen Hood Suppression Sysetm as follows:</t>
    </r>
  </si>
  <si>
    <r>
      <rPr>
        <sz val="8"/>
        <color theme="1"/>
        <rFont val="Verdana"/>
      </rPr>
      <t>MR</t>
    </r>
  </si>
  <si>
    <r>
      <rPr>
        <b/>
        <sz val="8"/>
        <color rgb="FF000000"/>
        <rFont val="Verdana"/>
      </rPr>
      <t xml:space="preserve">Extinguishant  :-  9  Ltr  Wet  Chemical Agent      </t>
    </r>
    <r>
      <rPr>
        <sz val="8"/>
        <color rgb="FF000000"/>
        <rFont val="Verdana"/>
      </rPr>
      <t xml:space="preserve">wet   chemical   agent   to protect Commerical Kitchen &amp; protect the class "F" Fire ( Greased Based Fire).
</t>
    </r>
    <r>
      <rPr>
        <b/>
        <sz val="8"/>
        <color rgb="FF000000"/>
        <rFont val="Verdana"/>
      </rPr>
      <t xml:space="preserve">Can </t>
    </r>
    <r>
      <rPr>
        <sz val="8"/>
        <color rgb="FF000000"/>
        <rFont val="Verdana"/>
      </rPr>
      <t>:  S.S, Sheet metal thickness 1.2 mm, 100%  Hydraulic  Pressure  tested,  conform to    EN/PED    standarda.    Can    shall    be manufactured    as    per    IS:15683    and</t>
    </r>
  </si>
  <si>
    <r>
      <rPr>
        <sz val="8"/>
        <color rgb="FF000000"/>
        <rFont val="Verdana"/>
      </rPr>
      <t xml:space="preserve">Tube   for   automatic   fire   detection   and suppression    system    made    by    special modified    Polyamide    (PA),    Color    Grey RAL1018,    High    grade    quality,    Inner
</t>
    </r>
    <r>
      <rPr>
        <sz val="8"/>
        <color rgb="FF000000"/>
        <rFont val="Verdana"/>
      </rPr>
      <t>diameter 4mm, OuterDiameter 6 MM,</t>
    </r>
  </si>
  <si>
    <r>
      <rPr>
        <sz val="8"/>
        <color rgb="FF000000"/>
        <rFont val="Verdana"/>
      </rPr>
      <t xml:space="preserve">Kitchen System Hose, 8 X 1 Tube Adapter,
</t>
    </r>
    <r>
      <rPr>
        <sz val="8"/>
        <color rgb="FF000000"/>
        <rFont val="Verdana"/>
      </rPr>
      <t>Stainless     Steel,     Maximum     Working Pressure 220 Bar at 20°C</t>
    </r>
  </si>
  <si>
    <r>
      <rPr>
        <sz val="8"/>
        <color theme="1"/>
        <rFont val="Verdana"/>
      </rPr>
      <t>SS Tube Fitting G1/4 "</t>
    </r>
  </si>
  <si>
    <r>
      <rPr>
        <sz val="8"/>
        <color rgb="FF000000"/>
        <rFont val="Verdana"/>
      </rPr>
      <t xml:space="preserve">SS Tube Fitting Straight Union for Flexible
</t>
    </r>
    <r>
      <rPr>
        <sz val="8"/>
        <color rgb="FF000000"/>
        <rFont val="Verdana"/>
      </rPr>
      <t>Hose</t>
    </r>
  </si>
  <si>
    <r>
      <rPr>
        <sz val="8"/>
        <color theme="1"/>
        <rFont val="Verdana"/>
      </rPr>
      <t>SS Tube Fitting Elbow</t>
    </r>
  </si>
  <si>
    <r>
      <rPr>
        <sz val="8"/>
        <color theme="1"/>
        <rFont val="Verdana"/>
      </rPr>
      <t>T connector for actuator</t>
    </r>
  </si>
  <si>
    <r>
      <rPr>
        <sz val="8"/>
        <color theme="1"/>
        <rFont val="Verdana"/>
      </rPr>
      <t>SS OD Pipe-8 mm of 1 meter</t>
    </r>
  </si>
  <si>
    <r>
      <rPr>
        <sz val="8"/>
        <color theme="1"/>
        <rFont val="Verdana"/>
      </rPr>
      <t>Pipe Brackets for 8 mm SS Pipe</t>
    </r>
  </si>
  <si>
    <r>
      <rPr>
        <sz val="8"/>
        <color theme="1"/>
        <rFont val="Verdana"/>
      </rPr>
      <t>Straight Fitting for Nozzle</t>
    </r>
  </si>
  <si>
    <r>
      <rPr>
        <sz val="8"/>
        <color rgb="FF000000"/>
        <rFont val="Verdana"/>
      </rPr>
      <t xml:space="preserve">Stainless steel Class F Liquid Agent Nozzle,
</t>
    </r>
    <r>
      <rPr>
        <sz val="8"/>
        <color rgb="FF000000"/>
        <rFont val="Verdana"/>
      </rPr>
      <t>G1/4" Male</t>
    </r>
  </si>
  <si>
    <r>
      <rPr>
        <sz val="8"/>
        <color theme="1"/>
        <rFont val="Verdana"/>
      </rPr>
      <t>Cross Panel Tubing for Detection Tube</t>
    </r>
  </si>
  <si>
    <r>
      <rPr>
        <sz val="8"/>
        <color rgb="FF000000"/>
        <rFont val="Verdana"/>
      </rPr>
      <t xml:space="preserve">Manual  Actuator  include  Pressure  Gauge  , connection  for  filling  adapter  with  yellow
</t>
    </r>
    <r>
      <rPr>
        <sz val="8"/>
        <color rgb="FF000000"/>
        <rFont val="Verdana"/>
      </rPr>
      <t>safety coller</t>
    </r>
  </si>
  <si>
    <r>
      <rPr>
        <sz val="8"/>
        <color rgb="FF000000"/>
        <rFont val="Verdana"/>
      </rPr>
      <t xml:space="preserve">Pressure  Switch  to  monitor  Pressure  drop
</t>
    </r>
    <r>
      <rPr>
        <sz val="8"/>
        <color rgb="FF000000"/>
        <rFont val="Verdana"/>
      </rPr>
      <t>in the tube, switch point 5 Bars.</t>
    </r>
  </si>
  <si>
    <r>
      <rPr>
        <sz val="8"/>
        <color theme="1"/>
        <rFont val="Verdana"/>
      </rPr>
      <t>Wall Brackets For End Line Device</t>
    </r>
  </si>
  <si>
    <r>
      <rPr>
        <sz val="8"/>
        <color theme="1"/>
        <rFont val="Verdana"/>
      </rPr>
      <t>Master Control Unit with hooter</t>
    </r>
  </si>
  <si>
    <r>
      <rPr>
        <sz val="8"/>
        <color theme="1"/>
        <rFont val="Verdana"/>
      </rPr>
      <t>MR</t>
    </r>
  </si>
  <si>
    <r>
      <rPr>
        <sz val="8"/>
        <color rgb="FF001F5F"/>
        <rFont val="Verdana"/>
      </rPr>
      <t>Kitchen  Hood  Suppression  for  Hood  Size: 7500 mm (L) x 1700mm (W) x 550mm (H)</t>
    </r>
  </si>
  <si>
    <r>
      <rPr>
        <sz val="8"/>
        <color theme="1"/>
        <rFont val="Verdana"/>
      </rPr>
      <t>Lot</t>
    </r>
  </si>
  <si>
    <r>
      <rPr>
        <sz val="8"/>
        <color theme="1"/>
        <rFont val="Verdana"/>
      </rPr>
      <t>MR</t>
    </r>
  </si>
  <si>
    <r>
      <rPr>
        <sz val="8"/>
        <color rgb="FF001F5F"/>
        <rFont val="Verdana"/>
      </rPr>
      <t>Kitchen  Hood  Suppression  for  Hood  Size: 8100 mm (L) x 1500mm (W) x 550mm (H)</t>
    </r>
  </si>
  <si>
    <r>
      <rPr>
        <sz val="8"/>
        <color theme="1"/>
        <rFont val="Verdana"/>
      </rPr>
      <t>Lot</t>
    </r>
  </si>
  <si>
    <r>
      <rPr>
        <sz val="8"/>
        <color theme="1"/>
        <rFont val="Verdana"/>
      </rPr>
      <t>MR</t>
    </r>
  </si>
  <si>
    <r>
      <rPr>
        <sz val="8"/>
        <color rgb="FF001F5F"/>
        <rFont val="Verdana"/>
      </rPr>
      <t>Kitchen  Hood  Suppression  for  Hood  Size: 2200 mm (L) x 1200mm (W) x 550mm (H)</t>
    </r>
  </si>
  <si>
    <r>
      <rPr>
        <sz val="8"/>
        <color theme="1"/>
        <rFont val="Verdana"/>
      </rPr>
      <t>Lot</t>
    </r>
  </si>
  <si>
    <r>
      <rPr>
        <sz val="8"/>
        <color theme="1"/>
        <rFont val="Verdana"/>
      </rPr>
      <t>MR</t>
    </r>
  </si>
  <si>
    <r>
      <rPr>
        <sz val="8"/>
        <color rgb="FF001F5F"/>
        <rFont val="Verdana"/>
      </rPr>
      <t>Kitchen  Hood  Suppression  for  Hood  Size: 2000 mm (L) x 1200mm (W) x 550mm (H)</t>
    </r>
  </si>
  <si>
    <r>
      <rPr>
        <sz val="8"/>
        <color theme="1"/>
        <rFont val="Verdana"/>
      </rPr>
      <t>Lot</t>
    </r>
  </si>
  <si>
    <r>
      <rPr>
        <sz val="8"/>
        <color theme="1"/>
        <rFont val="Verdana"/>
      </rPr>
      <t>MR</t>
    </r>
  </si>
  <si>
    <r>
      <rPr>
        <sz val="8"/>
        <color rgb="FF001F5F"/>
        <rFont val="Verdana"/>
      </rPr>
      <t>Kitchen  Hood  Suppression  for  Hood  Size: 5400 mm (L) x 1200mm (W) x 550mm (H)</t>
    </r>
  </si>
  <si>
    <r>
      <rPr>
        <sz val="8"/>
        <color theme="1"/>
        <rFont val="Verdana"/>
      </rPr>
      <t>Lot</t>
    </r>
  </si>
  <si>
    <r>
      <rPr>
        <b/>
        <sz val="8"/>
        <color theme="1"/>
        <rFont val="Verdana"/>
      </rPr>
      <t>TOTAL CARRIED OVER TO SUMMARY</t>
    </r>
  </si>
  <si>
    <r>
      <rPr>
        <b/>
        <sz val="8"/>
        <color theme="1"/>
        <rFont val="Verdana"/>
      </rPr>
      <t>B HEAD I</t>
    </r>
  </si>
  <si>
    <r>
      <rPr>
        <b/>
        <sz val="8"/>
        <color theme="1"/>
        <rFont val="Verdana"/>
      </rPr>
      <t>FIRE CURTAIN</t>
    </r>
  </si>
  <si>
    <r>
      <rPr>
        <sz val="8"/>
        <color theme="1"/>
        <rFont val="Verdana"/>
      </rPr>
      <t>MR</t>
    </r>
  </si>
  <si>
    <r>
      <rPr>
        <sz val="8"/>
        <color rgb="FF000000"/>
        <rFont val="Verdana"/>
      </rPr>
      <t xml:space="preserve">Supply, Installation, testing &amp; comissioning of Automatic Fire Safe 120 fire Curtain with Galv. MS Head Box, Powder Coated Side &amp; Adjustment Channels and Bottom Bars with Motors  for  power  up  operation  fixed  into Steel  rollers  with  woven  glass  fiber  fabric stainless steel glass fiber mesh, reinforced with stainless steel wire having micronized aluminium polymer coating on each side of the   fabric   (silver/grey)   with   its   control panel   and   all   installation   assemblies   &amp; accessories    reuired    to    complete    the installation. The operation shall be suitable for  dedicated  230  Volts  UPS,  50  Hz  AC supply.    Complete    system    tested    in accordance with BS EN-8524-1 for product
</t>
    </r>
    <r>
      <rPr>
        <sz val="8"/>
        <color rgb="FF000000"/>
        <rFont val="Verdana"/>
      </rPr>
      <t>and EN 1634-1 for fire testing (for 120</t>
    </r>
  </si>
  <si>
    <r>
      <rPr>
        <sz val="8"/>
        <color theme="1"/>
        <rFont val="Verdana"/>
      </rPr>
      <t>List of component of Fire Curtains:Top box, Side   Guides,   Curtains,   barrel   including motor,   dummy   end   and   bottom   rail, Individual    Control    Panel    (FC01),    Key switch,Override switch(Egress Switch),etc.</t>
    </r>
  </si>
  <si>
    <r>
      <rPr>
        <sz val="8"/>
        <color theme="1"/>
        <rFont val="Verdana"/>
      </rPr>
      <t>Installation:   The   fire   curtain   has   fixing options    to    suit    all    types    of    ceiling configurations  and  can  be  integrated  into either  a  suspended  or  a  solid  ceiling.  It remains    hidden    until    required.    Upon receiving  a  signal  from  the  fire  detection system or on loss of power with the gravity fail  safe  system,  the  curtain  automatically unwinds   to   its   operational   position   all complete       as       per       manufacturers specifications and direction of Engineer in- Charge.</t>
    </r>
  </si>
  <si>
    <r>
      <rPr>
        <sz val="8"/>
        <color theme="1"/>
        <rFont val="Verdana"/>
      </rPr>
      <t>Note:  Cost  to  include  visit  to  OEM  factory before  delivery  of  materials  at  site  for  a FAT,  process and  quality inspection  of the proposed materials in the tender under this head  for  3  persons  from  user  /  project manager / designer firm.</t>
    </r>
  </si>
  <si>
    <r>
      <rPr>
        <sz val="8"/>
        <color theme="1"/>
        <rFont val="Verdana"/>
      </rPr>
      <t>MR</t>
    </r>
  </si>
  <si>
    <r>
      <rPr>
        <sz val="8"/>
        <color theme="1"/>
        <rFont val="Verdana"/>
      </rPr>
      <t>1800X3000 MM</t>
    </r>
  </si>
  <si>
    <r>
      <rPr>
        <sz val="8"/>
        <color theme="1"/>
        <rFont val="Verdana"/>
      </rPr>
      <t>Each</t>
    </r>
  </si>
  <si>
    <r>
      <rPr>
        <sz val="8"/>
        <color theme="1"/>
        <rFont val="Verdana"/>
      </rPr>
      <t>MR</t>
    </r>
  </si>
  <si>
    <r>
      <rPr>
        <sz val="8"/>
        <color theme="1"/>
        <rFont val="Verdana"/>
      </rPr>
      <t>2000X3000 MM</t>
    </r>
  </si>
  <si>
    <r>
      <rPr>
        <sz val="8"/>
        <color theme="1"/>
        <rFont val="Verdana"/>
      </rPr>
      <t>Each</t>
    </r>
  </si>
  <si>
    <r>
      <rPr>
        <b/>
        <sz val="8"/>
        <color theme="1"/>
        <rFont val="Verdana"/>
      </rPr>
      <t>TOTAL CARRIED OVER TO SUMMARY</t>
    </r>
  </si>
  <si>
    <r>
      <rPr>
        <sz val="8"/>
        <color theme="1"/>
        <rFont val="Verdana"/>
      </rPr>
      <t>MR</t>
    </r>
  </si>
  <si>
    <r>
      <rPr>
        <sz val="8"/>
        <color rgb="FF000000"/>
        <rFont val="Verdana"/>
      </rPr>
      <t xml:space="preserve">Removing of exisiting Upright sprinklers from the existing sprinkler network, providing dummy and storing as per site engineer's instructions.( IDF/SERVER ROOM/UPS &amp; BATTERY ROOM)
</t>
    </r>
    <r>
      <rPr>
        <sz val="8"/>
        <color rgb="FF000000"/>
        <rFont val="Verdana"/>
      </rPr>
      <t>(vendor is responsible for safe handling of sprinklers, if any damage occurs during removing , same shall be procured by vendor and install without extra cost)</t>
    </r>
  </si>
  <si>
    <r>
      <rPr>
        <sz val="8"/>
        <color theme="1"/>
        <rFont val="Verdana"/>
      </rPr>
      <t>Nos.</t>
    </r>
  </si>
  <si>
    <r>
      <rPr>
        <sz val="8"/>
        <color theme="1"/>
        <rFont val="Verdana"/>
      </rPr>
      <t>MR</t>
    </r>
  </si>
  <si>
    <r>
      <rPr>
        <sz val="8"/>
        <color rgb="FF000000"/>
        <rFont val="Verdana"/>
      </rPr>
      <t xml:space="preserve">Cutting , removing, rerouting / providing dummy of existing fire fighting pipes, sizes from 25 to 150mm dia from various places or reroute the existing pipes as per the site requirement ( IDF/SERVER ROOM/UPS &amp; BATTERY ROOM)
</t>
    </r>
    <r>
      <rPr>
        <sz val="8"/>
        <color rgb="FF000000"/>
        <rFont val="Verdana"/>
      </rPr>
      <t>Vendor to visit the site, analyse the quantum of works involved  &amp; quote accordingly.</t>
    </r>
  </si>
  <si>
    <r>
      <rPr>
        <sz val="8"/>
        <color theme="1"/>
        <rFont val="Verdana"/>
      </rPr>
      <t>MR</t>
    </r>
  </si>
  <si>
    <r>
      <rPr>
        <sz val="8"/>
        <color theme="1"/>
        <rFont val="Verdana"/>
      </rPr>
      <t>25mm nominal dia</t>
    </r>
  </si>
  <si>
    <r>
      <rPr>
        <sz val="8"/>
        <color theme="1"/>
        <rFont val="Verdana"/>
      </rPr>
      <t>RM</t>
    </r>
  </si>
  <si>
    <r>
      <rPr>
        <sz val="8"/>
        <color theme="1"/>
        <rFont val="Verdana"/>
      </rPr>
      <t>MR</t>
    </r>
  </si>
  <si>
    <r>
      <rPr>
        <sz val="8"/>
        <color theme="1"/>
        <rFont val="Verdana"/>
      </rPr>
      <t>32mm nominal dia</t>
    </r>
  </si>
  <si>
    <r>
      <rPr>
        <sz val="8"/>
        <color theme="1"/>
        <rFont val="Verdana"/>
      </rPr>
      <t>RM</t>
    </r>
  </si>
  <si>
    <r>
      <rPr>
        <sz val="8"/>
        <color theme="1"/>
        <rFont val="Verdana"/>
      </rPr>
      <t>MR</t>
    </r>
  </si>
  <si>
    <r>
      <rPr>
        <sz val="8"/>
        <color theme="1"/>
        <rFont val="Verdana"/>
      </rPr>
      <t>40mm nominal dia</t>
    </r>
  </si>
  <si>
    <r>
      <rPr>
        <sz val="8"/>
        <color theme="1"/>
        <rFont val="Verdana"/>
      </rPr>
      <t>RM</t>
    </r>
  </si>
  <si>
    <r>
      <rPr>
        <sz val="8"/>
        <color theme="1"/>
        <rFont val="Verdana"/>
      </rPr>
      <t>MR</t>
    </r>
  </si>
  <si>
    <r>
      <rPr>
        <sz val="8"/>
        <color theme="1"/>
        <rFont val="Verdana"/>
      </rPr>
      <t>50mm nominal dia</t>
    </r>
  </si>
  <si>
    <r>
      <rPr>
        <sz val="8"/>
        <color theme="1"/>
        <rFont val="Verdana"/>
      </rPr>
      <t>RM</t>
    </r>
  </si>
  <si>
    <r>
      <rPr>
        <sz val="8"/>
        <color theme="1"/>
        <rFont val="Verdana"/>
      </rPr>
      <t>MR</t>
    </r>
  </si>
  <si>
    <r>
      <rPr>
        <sz val="8"/>
        <color theme="1"/>
        <rFont val="Verdana"/>
      </rPr>
      <t>65mm nominal dia</t>
    </r>
  </si>
  <si>
    <r>
      <rPr>
        <sz val="8"/>
        <color theme="1"/>
        <rFont val="Verdana"/>
      </rPr>
      <t>RM</t>
    </r>
  </si>
  <si>
    <r>
      <rPr>
        <sz val="8"/>
        <color theme="1"/>
        <rFont val="Verdana"/>
      </rPr>
      <t>MR</t>
    </r>
  </si>
  <si>
    <r>
      <rPr>
        <sz val="8"/>
        <color theme="1"/>
        <rFont val="Verdana"/>
      </rPr>
      <t>80mm nominal dia</t>
    </r>
  </si>
  <si>
    <r>
      <rPr>
        <sz val="8"/>
        <color theme="1"/>
        <rFont val="Verdana"/>
      </rPr>
      <t>RM</t>
    </r>
  </si>
  <si>
    <r>
      <rPr>
        <sz val="8"/>
        <color theme="1"/>
        <rFont val="Verdana"/>
      </rPr>
      <t>MR</t>
    </r>
  </si>
  <si>
    <r>
      <rPr>
        <sz val="8"/>
        <color theme="1"/>
        <rFont val="Verdana"/>
      </rPr>
      <t>100mm nominal dia</t>
    </r>
  </si>
  <si>
    <r>
      <rPr>
        <sz val="8"/>
        <color theme="1"/>
        <rFont val="Verdana"/>
      </rPr>
      <t>RM</t>
    </r>
  </si>
  <si>
    <r>
      <rPr>
        <sz val="8"/>
        <color theme="1"/>
        <rFont val="Verdana"/>
      </rPr>
      <t>MR</t>
    </r>
  </si>
  <si>
    <r>
      <rPr>
        <sz val="8"/>
        <color theme="1"/>
        <rFont val="Verdana"/>
      </rPr>
      <t>150mm nominal dia</t>
    </r>
  </si>
  <si>
    <r>
      <rPr>
        <sz val="8"/>
        <color theme="1"/>
        <rFont val="Verdana"/>
      </rPr>
      <t>RM</t>
    </r>
  </si>
  <si>
    <r>
      <rPr>
        <sz val="8"/>
        <color theme="1"/>
        <rFont val="Verdana"/>
      </rPr>
      <t>MR</t>
    </r>
  </si>
  <si>
    <r>
      <rPr>
        <sz val="8"/>
        <color rgb="FF000000"/>
        <rFont val="Verdana"/>
      </rPr>
      <t xml:space="preserve">Relocating of existing sprinklers to new positions as per site including a few meters of MS Class 'C' Pipe taking care not to damage/break the glass bulb, including all necessary supports, pipe jointing as
</t>
    </r>
    <r>
      <rPr>
        <sz val="8"/>
        <color rgb="FF000000"/>
        <rFont val="Verdana"/>
      </rPr>
      <t>required</t>
    </r>
  </si>
  <si>
    <r>
      <rPr>
        <sz val="8"/>
        <color theme="1"/>
        <rFont val="Verdana"/>
      </rPr>
      <t>Nos</t>
    </r>
  </si>
  <si>
    <r>
      <rPr>
        <sz val="8"/>
        <color theme="1"/>
        <rFont val="Verdana"/>
      </rPr>
      <t>MR</t>
    </r>
  </si>
  <si>
    <r>
      <rPr>
        <sz val="8"/>
        <color rgb="FF000000"/>
        <rFont val="Verdana"/>
      </rPr>
      <t xml:space="preserve">Modification in existing sprinkler network as per the drawing attached
</t>
    </r>
    <r>
      <rPr>
        <sz val="8"/>
        <color rgb="FF000000"/>
        <rFont val="Verdana"/>
      </rPr>
      <t xml:space="preserve">Work involves cutting the existing entier branch from main header and relocate as per the drawing item shall inclusive of removing the existing branch with bulbs and refixing the same with required
</t>
    </r>
    <r>
      <rPr>
        <sz val="8"/>
        <color rgb="FF000000"/>
        <rFont val="Verdana"/>
      </rPr>
      <t>supports.</t>
    </r>
  </si>
  <si>
    <r>
      <rPr>
        <sz val="8"/>
        <color theme="1"/>
        <rFont val="Verdana"/>
      </rPr>
      <t>MR</t>
    </r>
  </si>
  <si>
    <r>
      <rPr>
        <sz val="8"/>
        <color theme="1"/>
        <rFont val="Verdana"/>
      </rPr>
      <t>25mm nominal dia</t>
    </r>
  </si>
  <si>
    <r>
      <rPr>
        <sz val="8"/>
        <color theme="1"/>
        <rFont val="Verdana"/>
      </rPr>
      <t>RM</t>
    </r>
  </si>
  <si>
    <r>
      <rPr>
        <sz val="8"/>
        <color theme="1"/>
        <rFont val="Verdana"/>
      </rPr>
      <t>MR</t>
    </r>
  </si>
  <si>
    <r>
      <rPr>
        <sz val="8"/>
        <color theme="1"/>
        <rFont val="Verdana"/>
      </rPr>
      <t>32mm nominal dia</t>
    </r>
  </si>
  <si>
    <r>
      <rPr>
        <sz val="8"/>
        <color theme="1"/>
        <rFont val="Verdana"/>
      </rPr>
      <t>RM</t>
    </r>
  </si>
  <si>
    <r>
      <rPr>
        <sz val="8"/>
        <color theme="1"/>
        <rFont val="Verdana"/>
      </rPr>
      <t>MR</t>
    </r>
  </si>
  <si>
    <r>
      <rPr>
        <sz val="8"/>
        <color theme="1"/>
        <rFont val="Verdana"/>
      </rPr>
      <t>40mm nominal dia</t>
    </r>
  </si>
  <si>
    <r>
      <rPr>
        <sz val="8"/>
        <color theme="1"/>
        <rFont val="Verdana"/>
      </rPr>
      <t>RM</t>
    </r>
  </si>
  <si>
    <r>
      <rPr>
        <sz val="8"/>
        <color theme="1"/>
        <rFont val="Verdana"/>
      </rPr>
      <t>MR</t>
    </r>
  </si>
  <si>
    <r>
      <rPr>
        <sz val="8"/>
        <color theme="1"/>
        <rFont val="Verdana"/>
      </rPr>
      <t>50mm nominal dia</t>
    </r>
  </si>
  <si>
    <r>
      <rPr>
        <sz val="8"/>
        <color theme="1"/>
        <rFont val="Verdana"/>
      </rPr>
      <t>RM</t>
    </r>
  </si>
  <si>
    <r>
      <rPr>
        <sz val="8"/>
        <color theme="1"/>
        <rFont val="Verdana"/>
      </rPr>
      <t>MR</t>
    </r>
  </si>
  <si>
    <r>
      <rPr>
        <sz val="8"/>
        <color theme="1"/>
        <rFont val="Verdana"/>
      </rPr>
      <t>65mm nominal dia</t>
    </r>
  </si>
  <si>
    <r>
      <rPr>
        <sz val="8"/>
        <color theme="1"/>
        <rFont val="Verdana"/>
      </rPr>
      <t>RM</t>
    </r>
  </si>
  <si>
    <r>
      <rPr>
        <sz val="8"/>
        <color theme="1"/>
        <rFont val="Verdana"/>
      </rPr>
      <t>MR</t>
    </r>
  </si>
  <si>
    <r>
      <rPr>
        <sz val="8"/>
        <color theme="1"/>
        <rFont val="Verdana"/>
      </rPr>
      <t>80mm nominal dia</t>
    </r>
  </si>
  <si>
    <r>
      <rPr>
        <sz val="8"/>
        <color theme="1"/>
        <rFont val="Verdana"/>
      </rPr>
      <t>RM</t>
    </r>
  </si>
  <si>
    <r>
      <rPr>
        <sz val="8"/>
        <color theme="1"/>
        <rFont val="Verdana"/>
      </rPr>
      <t>MR</t>
    </r>
  </si>
  <si>
    <r>
      <rPr>
        <sz val="8"/>
        <color theme="1"/>
        <rFont val="Verdana"/>
      </rPr>
      <t>100mm nominal dia</t>
    </r>
  </si>
  <si>
    <r>
      <rPr>
        <sz val="8"/>
        <color theme="1"/>
        <rFont val="Verdana"/>
      </rPr>
      <t>RM</t>
    </r>
  </si>
  <si>
    <r>
      <rPr>
        <sz val="8"/>
        <color theme="1"/>
        <rFont val="Verdana"/>
      </rPr>
      <t>MR</t>
    </r>
  </si>
  <si>
    <r>
      <rPr>
        <sz val="8"/>
        <color theme="1"/>
        <rFont val="Verdana"/>
      </rPr>
      <t>150mm nominal dia</t>
    </r>
  </si>
  <si>
    <r>
      <rPr>
        <sz val="8"/>
        <color theme="1"/>
        <rFont val="Verdana"/>
      </rPr>
      <t>RM</t>
    </r>
  </si>
  <si>
    <r>
      <rPr>
        <b/>
        <sz val="8"/>
        <color theme="1"/>
        <rFont val="Verdana"/>
      </rPr>
      <t>TOTAL CARRIED OVER TO SUMMARY</t>
    </r>
  </si>
  <si>
    <r>
      <rPr>
        <b/>
        <i/>
        <sz val="10"/>
        <color rgb="FF000000"/>
        <rFont val="Verdana"/>
      </rPr>
      <t xml:space="preserve">Name of Project: “Interior Fit-out work in the office space of Power Finance Corporation Limited, Tower-H,
</t>
    </r>
    <r>
      <rPr>
        <b/>
        <i/>
        <sz val="10"/>
        <color rgb="FF000000"/>
        <rFont val="Verdana"/>
      </rPr>
      <t>World Trade Centre, Nauroji Nagar, New Delhi-110029 including Operation &amp; Maintenance for 06 years”</t>
    </r>
  </si>
  <si>
    <t>SUMMARY OF HVAC WORK</t>
  </si>
  <si>
    <r>
      <rPr>
        <b/>
        <sz val="10"/>
        <color theme="1"/>
        <rFont val="Verdana"/>
      </rPr>
      <t>SECTION</t>
    </r>
  </si>
  <si>
    <r>
      <rPr>
        <b/>
        <sz val="10"/>
        <color theme="1"/>
        <rFont val="Verdana"/>
      </rPr>
      <t>DESCRIPTION</t>
    </r>
  </si>
  <si>
    <r>
      <rPr>
        <b/>
        <sz val="10"/>
        <color theme="1"/>
        <rFont val="Verdana"/>
      </rPr>
      <t>Amount (In Rs.)</t>
    </r>
  </si>
  <si>
    <r>
      <rPr>
        <b/>
        <sz val="10"/>
        <color theme="1"/>
        <rFont val="Verdana"/>
      </rPr>
      <t>DSR</t>
    </r>
  </si>
  <si>
    <r>
      <rPr>
        <b/>
        <sz val="10"/>
        <color theme="1"/>
        <rFont val="Verdana"/>
      </rPr>
      <t>Non DSR</t>
    </r>
  </si>
  <si>
    <r>
      <rPr>
        <b/>
        <sz val="10"/>
        <color theme="1"/>
        <rFont val="Verdana"/>
      </rPr>
      <t>TOTAL</t>
    </r>
  </si>
  <si>
    <r>
      <rPr>
        <sz val="10"/>
        <color theme="1"/>
        <rFont val="Verdana"/>
      </rPr>
      <t>SUB HEAD A</t>
    </r>
  </si>
  <si>
    <r>
      <rPr>
        <sz val="10"/>
        <color theme="1"/>
        <rFont val="Verdana"/>
      </rPr>
      <t>PLUMBING -PIPING &amp; VALVES</t>
    </r>
  </si>
  <si>
    <r>
      <rPr>
        <sz val="10"/>
        <color theme="1"/>
        <rFont val="Verdana"/>
      </rPr>
      <t>SUB HEAD B</t>
    </r>
  </si>
  <si>
    <r>
      <rPr>
        <sz val="10"/>
        <color rgb="FF000000"/>
        <rFont val="Verdana"/>
      </rPr>
      <t xml:space="preserve">AIR DISTRIBUTION  - DUCTING, GRILLES,
</t>
    </r>
    <r>
      <rPr>
        <sz val="10"/>
        <color rgb="FF000000"/>
        <rFont val="Verdana"/>
      </rPr>
      <t>THARMAFUSERS ETC.</t>
    </r>
  </si>
  <si>
    <r>
      <rPr>
        <sz val="10"/>
        <color theme="1"/>
        <rFont val="Verdana"/>
      </rPr>
      <t>SUB HEAD C</t>
    </r>
  </si>
  <si>
    <r>
      <rPr>
        <sz val="10"/>
        <color theme="1"/>
        <rFont val="Verdana"/>
      </rPr>
      <t>HVAC EQUIPMENTS</t>
    </r>
  </si>
  <si>
    <r>
      <rPr>
        <sz val="10"/>
        <color theme="1"/>
        <rFont val="Verdana"/>
      </rPr>
      <t>SUB HEAD D</t>
    </r>
  </si>
  <si>
    <r>
      <rPr>
        <sz val="10"/>
        <color theme="1"/>
        <rFont val="Verdana"/>
      </rPr>
      <t>CHILLERS</t>
    </r>
  </si>
  <si>
    <r>
      <rPr>
        <sz val="10"/>
        <color theme="1"/>
        <rFont val="Verdana"/>
      </rPr>
      <t>SUB HEAD E</t>
    </r>
  </si>
  <si>
    <r>
      <rPr>
        <sz val="10"/>
        <color theme="1"/>
        <rFont val="Verdana"/>
      </rPr>
      <t>AHU, FCU &amp; TFA</t>
    </r>
  </si>
  <si>
    <r>
      <rPr>
        <sz val="10"/>
        <color theme="1"/>
        <rFont val="Verdana"/>
      </rPr>
      <t>SUB HEAD F</t>
    </r>
  </si>
  <si>
    <r>
      <rPr>
        <sz val="10"/>
        <color theme="1"/>
        <rFont val="Verdana"/>
      </rPr>
      <t>EVAPORATIVE COOLING - AIR WASHER</t>
    </r>
  </si>
  <si>
    <r>
      <rPr>
        <sz val="10"/>
        <color theme="1"/>
        <rFont val="Verdana"/>
      </rPr>
      <t>SUB HEAD G</t>
    </r>
  </si>
  <si>
    <r>
      <rPr>
        <sz val="10"/>
        <color theme="1"/>
        <rFont val="Verdana"/>
      </rPr>
      <t>HI - WALL SPLIT SYSTEMS</t>
    </r>
  </si>
  <si>
    <r>
      <rPr>
        <sz val="10"/>
        <color theme="1"/>
        <rFont val="Verdana"/>
      </rPr>
      <t>SUB HEAD H</t>
    </r>
  </si>
  <si>
    <r>
      <rPr>
        <sz val="10"/>
        <color theme="1"/>
        <rFont val="Verdana"/>
      </rPr>
      <t>BMS  (BUILDING MANAGEMENT SYSTEM)</t>
    </r>
  </si>
  <si>
    <r>
      <rPr>
        <b/>
        <sz val="10"/>
        <color theme="1"/>
        <rFont val="Verdana"/>
      </rPr>
      <t>TOTAL</t>
    </r>
  </si>
  <si>
    <r>
      <rPr>
        <b/>
        <sz val="10"/>
        <color theme="1"/>
        <rFont val="Verdana"/>
      </rPr>
      <t>Total DSR</t>
    </r>
  </si>
  <si>
    <r>
      <rPr>
        <b/>
        <sz val="10"/>
        <color theme="1"/>
        <rFont val="Verdana"/>
      </rPr>
      <t>Total Cost ( Carried Forward) in Rs.</t>
    </r>
  </si>
  <si>
    <r>
      <rPr>
        <b/>
        <i/>
        <sz val="10"/>
        <color theme="1"/>
        <rFont val="Verdana"/>
      </rPr>
      <t>Bill of Quantities</t>
    </r>
  </si>
  <si>
    <r>
      <rPr>
        <b/>
        <i/>
        <sz val="10"/>
        <color rgb="FF000000"/>
        <rFont val="Verdana"/>
      </rPr>
      <t xml:space="preserve">Name of Project: “Interior Fit-out work in the office space of Power Finance Corporation Limited, Tower-H, World Trade Centre, Nauroji Nagar, New Delhi-110029 including Operation &amp;
</t>
    </r>
    <r>
      <rPr>
        <b/>
        <i/>
        <sz val="10"/>
        <color rgb="FF000000"/>
        <rFont val="Verdana"/>
      </rPr>
      <t>Maintenance for 06 years”</t>
    </r>
  </si>
  <si>
    <r>
      <rPr>
        <b/>
        <i/>
        <sz val="10"/>
        <color theme="1"/>
        <rFont val="Verdana"/>
      </rPr>
      <t>Name of Work :  HVAC WORK</t>
    </r>
  </si>
  <si>
    <r>
      <rPr>
        <b/>
        <sz val="10"/>
        <color theme="1"/>
        <rFont val="Verdana"/>
      </rPr>
      <t>ITEM NO.</t>
    </r>
  </si>
  <si>
    <r>
      <rPr>
        <b/>
        <sz val="10"/>
        <color theme="1"/>
        <rFont val="Verdana"/>
      </rPr>
      <t>DSR / NDSR (MR)</t>
    </r>
  </si>
  <si>
    <r>
      <rPr>
        <b/>
        <sz val="10"/>
        <color theme="1"/>
        <rFont val="Verdana"/>
      </rPr>
      <t>ITEM DESCRIPTIONS</t>
    </r>
  </si>
  <si>
    <r>
      <rPr>
        <b/>
        <sz val="10"/>
        <color theme="1"/>
        <rFont val="Verdana"/>
      </rPr>
      <t>UNIT</t>
    </r>
  </si>
  <si>
    <r>
      <rPr>
        <b/>
        <sz val="10"/>
        <color theme="1"/>
        <rFont val="Verdana"/>
      </rPr>
      <t>Total Qty</t>
    </r>
  </si>
  <si>
    <r>
      <rPr>
        <b/>
        <sz val="10"/>
        <color theme="1"/>
        <rFont val="Verdana"/>
      </rPr>
      <t>Rate (In Rs.)</t>
    </r>
  </si>
  <si>
    <r>
      <rPr>
        <b/>
        <sz val="10"/>
        <color theme="1"/>
        <rFont val="Verdana"/>
      </rPr>
      <t>Amount (In Rs.)</t>
    </r>
  </si>
  <si>
    <r>
      <rPr>
        <b/>
        <sz val="10"/>
        <color theme="1"/>
        <rFont val="Verdana"/>
      </rPr>
      <t>DSR</t>
    </r>
  </si>
  <si>
    <r>
      <rPr>
        <b/>
        <sz val="10"/>
        <color theme="1"/>
        <rFont val="Verdana"/>
      </rPr>
      <t>Non-DSR</t>
    </r>
  </si>
  <si>
    <r>
      <rPr>
        <b/>
        <sz val="10"/>
        <color theme="1"/>
        <rFont val="Verdana"/>
      </rPr>
      <t>DSR</t>
    </r>
  </si>
  <si>
    <r>
      <rPr>
        <b/>
        <sz val="10"/>
        <color theme="1"/>
        <rFont val="Verdana"/>
      </rPr>
      <t>Non-DSR</t>
    </r>
  </si>
  <si>
    <r>
      <rPr>
        <b/>
        <sz val="10"/>
        <color theme="1"/>
        <rFont val="Verdana"/>
      </rPr>
      <t>SUB HEAD A</t>
    </r>
  </si>
  <si>
    <r>
      <rPr>
        <b/>
        <sz val="10"/>
        <color theme="1"/>
        <rFont val="Verdana"/>
      </rPr>
      <t>PLUMBING -PIPING &amp; VALVES</t>
    </r>
  </si>
  <si>
    <r>
      <rPr>
        <sz val="10"/>
        <color theme="1"/>
        <rFont val="Verdana"/>
      </rPr>
      <t>INSULATED CHILLED WATER PIPING (Nitrile rubber insulation)</t>
    </r>
  </si>
  <si>
    <r>
      <rPr>
        <sz val="10"/>
        <color theme="1"/>
        <rFont val="Verdana"/>
      </rPr>
      <t>Supplying, laying/ fixing, testing and commissioning of following nominal sizes  of  chilled  water  piping  inside  the  building  (with  necessary  clamps, vibration isolators and fittings but excluding valves, strainers, gauges etc.) duly  insulated  with  following  closed  cell  elastomeric  nitrile  rubber  of minimum  45  Kg  /  cum  density,  thermal  conductivity   0.037  W/MK  or better at 20 deg mean temperature class 'O'  Nitrile insulation applied by suitable  adhesive complete including repairing of damage to building etc. as per specifications and as required complete in all respect.</t>
    </r>
  </si>
  <si>
    <r>
      <rPr>
        <sz val="10"/>
        <color theme="1"/>
        <rFont val="Verdana"/>
      </rPr>
      <t>Note:-The Pipes of sizes 150mm &amp; below shall be M.S. 'C' class as per IS : 1239 and pipes size above 150mm shall be welded black steel pipe heavy class as per IS: 3589, from minimum 6.35mm thick M.S. Sheet for pipes upto 350 mm dia. and from minimum 7mm thick MS sheet for pipes of 400 mm dia and above.</t>
    </r>
  </si>
  <si>
    <r>
      <rPr>
        <sz val="10"/>
        <color theme="1"/>
        <rFont val="Verdana"/>
      </rPr>
      <t>125mm dia.(32 mm thick insulation)</t>
    </r>
  </si>
  <si>
    <r>
      <rPr>
        <sz val="10"/>
        <color theme="1"/>
        <rFont val="Verdana"/>
      </rPr>
      <t>Meter</t>
    </r>
  </si>
  <si>
    <r>
      <rPr>
        <sz val="10"/>
        <color theme="1"/>
        <rFont val="Verdana"/>
      </rPr>
      <t>100mm dia. (32 mm thick insulation)</t>
    </r>
  </si>
  <si>
    <r>
      <rPr>
        <sz val="10"/>
        <color theme="1"/>
        <rFont val="Verdana"/>
      </rPr>
      <t>Meter</t>
    </r>
  </si>
  <si>
    <r>
      <rPr>
        <sz val="10"/>
        <color theme="1"/>
        <rFont val="Verdana"/>
      </rPr>
      <t>80mm dia.(32 mm thick insulation)</t>
    </r>
  </si>
  <si>
    <r>
      <rPr>
        <sz val="10"/>
        <color theme="1"/>
        <rFont val="Verdana"/>
      </rPr>
      <t>Meter</t>
    </r>
  </si>
  <si>
    <r>
      <rPr>
        <sz val="10"/>
        <color theme="1"/>
        <rFont val="Verdana"/>
      </rPr>
      <t>65mm dia(32 mm thick insulation)</t>
    </r>
  </si>
  <si>
    <r>
      <rPr>
        <sz val="10"/>
        <color theme="1"/>
        <rFont val="Verdana"/>
      </rPr>
      <t>Meter</t>
    </r>
  </si>
  <si>
    <r>
      <rPr>
        <sz val="10"/>
        <color theme="1"/>
        <rFont val="Verdana"/>
      </rPr>
      <t>50mm dia(32 mm thick insulation)</t>
    </r>
  </si>
  <si>
    <r>
      <rPr>
        <sz val="10"/>
        <color theme="1"/>
        <rFont val="Verdana"/>
      </rPr>
      <t>Meter</t>
    </r>
  </si>
  <si>
    <r>
      <rPr>
        <sz val="10"/>
        <color theme="1"/>
        <rFont val="Verdana"/>
      </rPr>
      <t>40mm dia. (32 mm thick insulation)</t>
    </r>
  </si>
  <si>
    <r>
      <rPr>
        <sz val="10"/>
        <color theme="1"/>
        <rFont val="Verdana"/>
      </rPr>
      <t>Meter</t>
    </r>
  </si>
  <si>
    <r>
      <rPr>
        <sz val="10"/>
        <color theme="1"/>
        <rFont val="Verdana"/>
      </rPr>
      <t>32 mm dia(19 mm thick insulation)</t>
    </r>
  </si>
  <si>
    <r>
      <rPr>
        <sz val="10"/>
        <color theme="1"/>
        <rFont val="Verdana"/>
      </rPr>
      <t>Meter</t>
    </r>
  </si>
  <si>
    <r>
      <rPr>
        <sz val="10"/>
        <color theme="1"/>
        <rFont val="Verdana"/>
      </rPr>
      <t>25 mm dia(19 mm thick insulation)</t>
    </r>
  </si>
  <si>
    <r>
      <rPr>
        <sz val="10"/>
        <color theme="1"/>
        <rFont val="Verdana"/>
      </rPr>
      <t>Meter</t>
    </r>
  </si>
  <si>
    <r>
      <rPr>
        <sz val="10"/>
        <color theme="1"/>
        <rFont val="Verdana"/>
      </rPr>
      <t>CIVIL 18.8</t>
    </r>
  </si>
  <si>
    <r>
      <rPr>
        <sz val="10"/>
        <color rgb="FF000000"/>
        <rFont val="Verdana"/>
      </rPr>
      <t xml:space="preserve">Providing and fixing sound insulated </t>
    </r>
    <r>
      <rPr>
        <b/>
        <sz val="10"/>
        <color rgb="FF000000"/>
        <rFont val="Verdana"/>
      </rPr>
      <t xml:space="preserve">Polyproplene </t>
    </r>
    <r>
      <rPr>
        <sz val="10"/>
        <color rgb="FF000000"/>
        <rFont val="Verdana"/>
      </rPr>
      <t>piping system as per EN 12056 Part Providing and fixing Chlorinated Polyvinyl Chloride (CPVC) pipes,  having  thermal stability  for  hot  &amp;  cold  water  supply,  including  all CPVC  plain  &amp;  brass  threaded  fittings and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 For drain pipe.</t>
    </r>
  </si>
  <si>
    <r>
      <rPr>
        <sz val="10"/>
        <color theme="1"/>
        <rFont val="Verdana"/>
      </rPr>
      <t>CIVIL 18.7.5</t>
    </r>
  </si>
  <si>
    <r>
      <rPr>
        <sz val="10"/>
        <color theme="1"/>
        <rFont val="Verdana"/>
      </rPr>
      <t>40 mm dia</t>
    </r>
  </si>
  <si>
    <r>
      <rPr>
        <sz val="10"/>
        <color theme="1"/>
        <rFont val="Verdana"/>
      </rPr>
      <t>Meter</t>
    </r>
  </si>
  <si>
    <r>
      <rPr>
        <sz val="10"/>
        <color theme="1"/>
        <rFont val="Verdana"/>
      </rPr>
      <t>CIVIL 18.8.4</t>
    </r>
  </si>
  <si>
    <r>
      <rPr>
        <sz val="10"/>
        <color theme="1"/>
        <rFont val="Verdana"/>
      </rPr>
      <t>32 mm dia</t>
    </r>
  </si>
  <si>
    <r>
      <rPr>
        <sz val="10"/>
        <color theme="1"/>
        <rFont val="Verdana"/>
      </rPr>
      <t>Meter</t>
    </r>
  </si>
  <si>
    <r>
      <rPr>
        <sz val="10"/>
        <color theme="1"/>
        <rFont val="Verdana"/>
      </rPr>
      <t>CIVIL 18.8.3</t>
    </r>
  </si>
  <si>
    <r>
      <rPr>
        <sz val="10"/>
        <color theme="1"/>
        <rFont val="Verdana"/>
      </rPr>
      <t>25 mm dia</t>
    </r>
  </si>
  <si>
    <r>
      <rPr>
        <sz val="10"/>
        <color theme="1"/>
        <rFont val="Verdana"/>
      </rPr>
      <t>Meter</t>
    </r>
  </si>
  <si>
    <r>
      <rPr>
        <sz val="10"/>
        <color theme="1"/>
        <rFont val="Verdana"/>
      </rPr>
      <t>Supplying, laying, fixing, testing and commissioning of following thickness closed  cell  elastrometric  nitrile  rubber  of  class  'O'  applied  by  suitable adhesive, as per specifications and as required complete in all respect.</t>
    </r>
  </si>
  <si>
    <r>
      <rPr>
        <sz val="10"/>
        <color theme="1"/>
        <rFont val="Verdana"/>
      </rPr>
      <t>32mm</t>
    </r>
  </si>
  <si>
    <r>
      <rPr>
        <sz val="10"/>
        <color theme="1"/>
        <rFont val="Verdana"/>
      </rPr>
      <t>Sq.M</t>
    </r>
  </si>
  <si>
    <r>
      <rPr>
        <sz val="10"/>
        <color theme="1"/>
        <rFont val="Verdana"/>
      </rPr>
      <t>19mm</t>
    </r>
  </si>
  <si>
    <r>
      <rPr>
        <sz val="10"/>
        <color theme="1"/>
        <rFont val="Verdana"/>
      </rPr>
      <t>Sq.M</t>
    </r>
  </si>
  <si>
    <r>
      <rPr>
        <sz val="10"/>
        <color theme="1"/>
        <rFont val="Verdana"/>
      </rPr>
      <t>INSULATED VALVES</t>
    </r>
  </si>
  <si>
    <r>
      <rPr>
        <sz val="10"/>
        <color rgb="FF000000"/>
        <rFont val="Verdana"/>
      </rPr>
      <t xml:space="preserve">Supplying, fixing, testing and commissioning of following valves, strainers,
</t>
    </r>
    <r>
      <rPr>
        <sz val="10"/>
        <color rgb="FF000000"/>
        <rFont val="Verdana"/>
      </rPr>
      <t>gauges   in   the   chilled   water   plumbing   duly   insulated   to   the   same specifications  as  the  connected  piping  and  adequately  supported  as  per specifications.</t>
    </r>
  </si>
  <si>
    <r>
      <rPr>
        <sz val="10"/>
        <color rgb="FF000000"/>
        <rFont val="Verdana"/>
      </rPr>
      <t xml:space="preserve">BUTTERFLY VALVE (MANUAL) with C I body SS Disc, Nitrile Rubber Seal &amp; O- Ring  PN 16 pressure rating  for chilled  water/hot eater  circulation as
</t>
    </r>
    <r>
      <rPr>
        <sz val="10"/>
        <color rgb="FF000000"/>
        <rFont val="Verdana"/>
      </rPr>
      <t>specified.</t>
    </r>
  </si>
  <si>
    <r>
      <rPr>
        <sz val="10"/>
        <color theme="1"/>
        <rFont val="Verdana"/>
      </rPr>
      <t>4.1.1</t>
    </r>
  </si>
  <si>
    <r>
      <rPr>
        <sz val="10"/>
        <color theme="1"/>
        <rFont val="Verdana"/>
      </rPr>
      <t>30.7.1.5</t>
    </r>
  </si>
  <si>
    <r>
      <rPr>
        <sz val="10"/>
        <color theme="1"/>
        <rFont val="Verdana"/>
      </rPr>
      <t>80   mm dia</t>
    </r>
  </si>
  <si>
    <r>
      <rPr>
        <sz val="10"/>
        <color theme="1"/>
        <rFont val="Verdana"/>
      </rPr>
      <t>Each</t>
    </r>
  </si>
  <si>
    <r>
      <rPr>
        <sz val="10"/>
        <color theme="1"/>
        <rFont val="Verdana"/>
      </rPr>
      <t>4.1.2</t>
    </r>
  </si>
  <si>
    <r>
      <rPr>
        <sz val="10"/>
        <color theme="1"/>
        <rFont val="Verdana"/>
      </rPr>
      <t>30.7.1.6</t>
    </r>
  </si>
  <si>
    <r>
      <rPr>
        <sz val="10"/>
        <color theme="1"/>
        <rFont val="Verdana"/>
      </rPr>
      <t>65   mm dia</t>
    </r>
  </si>
  <si>
    <r>
      <rPr>
        <sz val="10"/>
        <color theme="1"/>
        <rFont val="Verdana"/>
      </rPr>
      <t>Each</t>
    </r>
  </si>
  <si>
    <r>
      <rPr>
        <sz val="10"/>
        <color theme="1"/>
        <rFont val="Verdana"/>
      </rPr>
      <t>4.1.3</t>
    </r>
  </si>
  <si>
    <r>
      <rPr>
        <sz val="10"/>
        <color theme="1"/>
        <rFont val="Verdana"/>
      </rPr>
      <t>30.7.1.7</t>
    </r>
  </si>
  <si>
    <r>
      <rPr>
        <sz val="10"/>
        <color theme="1"/>
        <rFont val="Verdana"/>
      </rPr>
      <t>50   mm dia</t>
    </r>
  </si>
  <si>
    <r>
      <rPr>
        <sz val="10"/>
        <color theme="1"/>
        <rFont val="Verdana"/>
      </rPr>
      <t>Each</t>
    </r>
  </si>
  <si>
    <r>
      <rPr>
        <sz val="10"/>
        <color theme="1"/>
        <rFont val="Verdana"/>
      </rPr>
      <t>4.1.4</t>
    </r>
  </si>
  <si>
    <r>
      <rPr>
        <sz val="10"/>
        <color theme="1"/>
        <rFont val="Verdana"/>
      </rPr>
      <t>30.7.1.8</t>
    </r>
  </si>
  <si>
    <r>
      <rPr>
        <sz val="10"/>
        <color theme="1"/>
        <rFont val="Verdana"/>
      </rPr>
      <t>40   mm dia</t>
    </r>
  </si>
  <si>
    <r>
      <rPr>
        <sz val="10"/>
        <color theme="1"/>
        <rFont val="Verdana"/>
      </rPr>
      <t>Each</t>
    </r>
  </si>
  <si>
    <r>
      <rPr>
        <sz val="10"/>
        <color rgb="FF000000"/>
        <rFont val="Verdana"/>
      </rPr>
      <t xml:space="preserve">BALANCING  VALVE  WITH  BUILT  IN  MEASURING
</t>
    </r>
    <r>
      <rPr>
        <sz val="10"/>
        <color rgb="FF000000"/>
        <rFont val="Verdana"/>
      </rPr>
      <t>FACILITY with CI body flanged construction with EPDM coated  disc  with long  pitch  with  protected  out pipe insulation &amp; PN 16 pressure rating for chilled / hot water circulation as specified.</t>
    </r>
  </si>
  <si>
    <r>
      <rPr>
        <sz val="10"/>
        <color theme="1"/>
        <rFont val="Verdana"/>
      </rPr>
      <t>4.2.1</t>
    </r>
  </si>
  <si>
    <r>
      <rPr>
        <sz val="10"/>
        <color theme="1"/>
        <rFont val="Verdana"/>
      </rPr>
      <t>30.7.2.5</t>
    </r>
  </si>
  <si>
    <r>
      <rPr>
        <sz val="10"/>
        <color theme="1"/>
        <rFont val="Verdana"/>
      </rPr>
      <t>80   mm dia</t>
    </r>
  </si>
  <si>
    <r>
      <rPr>
        <sz val="10"/>
        <color theme="1"/>
        <rFont val="Verdana"/>
      </rPr>
      <t>Each</t>
    </r>
  </si>
  <si>
    <r>
      <rPr>
        <sz val="10"/>
        <color theme="1"/>
        <rFont val="Verdana"/>
      </rPr>
      <t>4.2.2</t>
    </r>
  </si>
  <si>
    <r>
      <rPr>
        <sz val="10"/>
        <color theme="1"/>
        <rFont val="Verdana"/>
      </rPr>
      <t>30.7.2.6</t>
    </r>
  </si>
  <si>
    <r>
      <rPr>
        <sz val="10"/>
        <color theme="1"/>
        <rFont val="Verdana"/>
      </rPr>
      <t>65   mm dia</t>
    </r>
  </si>
  <si>
    <r>
      <rPr>
        <sz val="10"/>
        <color theme="1"/>
        <rFont val="Verdana"/>
      </rPr>
      <t>Each</t>
    </r>
  </si>
  <si>
    <r>
      <rPr>
        <sz val="10"/>
        <color theme="1"/>
        <rFont val="Verdana"/>
      </rPr>
      <t>4.2.3</t>
    </r>
  </si>
  <si>
    <r>
      <rPr>
        <sz val="10"/>
        <color theme="1"/>
        <rFont val="Verdana"/>
      </rPr>
      <t>30.7.2.8</t>
    </r>
  </si>
  <si>
    <r>
      <rPr>
        <sz val="10"/>
        <color theme="1"/>
        <rFont val="Verdana"/>
      </rPr>
      <t>40   mm dia</t>
    </r>
  </si>
  <si>
    <r>
      <rPr>
        <sz val="10"/>
        <color theme="1"/>
        <rFont val="Verdana"/>
      </rPr>
      <t>Each</t>
    </r>
  </si>
  <si>
    <r>
      <rPr>
        <sz val="10"/>
        <color theme="1"/>
        <rFont val="Verdana"/>
      </rPr>
      <t>4.2.4</t>
    </r>
  </si>
  <si>
    <r>
      <rPr>
        <sz val="10"/>
        <color theme="1"/>
        <rFont val="Verdana"/>
      </rPr>
      <t>MR</t>
    </r>
  </si>
  <si>
    <r>
      <rPr>
        <sz val="10"/>
        <color theme="1"/>
        <rFont val="Verdana"/>
      </rPr>
      <t>32   mm dia</t>
    </r>
  </si>
  <si>
    <r>
      <rPr>
        <sz val="10"/>
        <color theme="1"/>
        <rFont val="Verdana"/>
      </rPr>
      <t>Each</t>
    </r>
  </si>
  <si>
    <r>
      <rPr>
        <sz val="10"/>
        <color rgb="FF000000"/>
        <rFont val="Verdana"/>
      </rPr>
      <t xml:space="preserve">NON  - RETURN VALVE  with  duel plate  of C I body SS  plates vulcanized
</t>
    </r>
    <r>
      <rPr>
        <sz val="10"/>
        <color rgb="FF000000"/>
        <rFont val="Verdana"/>
      </rPr>
      <t>NBR  seal  flanged  end  &amp;  PN  16   pressure  rating  for  chilled  /  hot  water circulation including insulation as specified.</t>
    </r>
  </si>
  <si>
    <r>
      <rPr>
        <sz val="10"/>
        <color theme="1"/>
        <rFont val="Verdana"/>
      </rPr>
      <t>4.3.1</t>
    </r>
  </si>
  <si>
    <r>
      <rPr>
        <sz val="10"/>
        <color theme="1"/>
        <rFont val="Verdana"/>
      </rPr>
      <t>30.7.3.5</t>
    </r>
  </si>
  <si>
    <r>
      <rPr>
        <sz val="10"/>
        <color theme="1"/>
        <rFont val="Verdana"/>
      </rPr>
      <t>80   mm dia</t>
    </r>
  </si>
  <si>
    <r>
      <rPr>
        <sz val="10"/>
        <color theme="1"/>
        <rFont val="Verdana"/>
      </rPr>
      <t>Each</t>
    </r>
  </si>
  <si>
    <r>
      <rPr>
        <sz val="10"/>
        <color theme="1"/>
        <rFont val="Verdana"/>
      </rPr>
      <t>Y  -  STRAINER   of   Ductile   CI   Body   flanged   ends   with  stainless  steel strainer for chilled / hot water circulation including insulation as specified.</t>
    </r>
  </si>
  <si>
    <r>
      <rPr>
        <sz val="10"/>
        <color theme="1"/>
        <rFont val="Verdana"/>
      </rPr>
      <t>4.4.1</t>
    </r>
  </si>
  <si>
    <r>
      <rPr>
        <sz val="10"/>
        <color theme="1"/>
        <rFont val="Verdana"/>
      </rPr>
      <t>30.7.4.5</t>
    </r>
  </si>
  <si>
    <r>
      <rPr>
        <sz val="10"/>
        <color theme="1"/>
        <rFont val="Verdana"/>
      </rPr>
      <t>80   mm dia</t>
    </r>
  </si>
  <si>
    <r>
      <rPr>
        <sz val="10"/>
        <color theme="1"/>
        <rFont val="Verdana"/>
      </rPr>
      <t>Each</t>
    </r>
  </si>
  <si>
    <r>
      <rPr>
        <sz val="10"/>
        <color theme="1"/>
        <rFont val="Verdana"/>
      </rPr>
      <t>4.4.2</t>
    </r>
  </si>
  <si>
    <r>
      <rPr>
        <sz val="10"/>
        <color theme="1"/>
        <rFont val="Verdana"/>
      </rPr>
      <t>30.7.4.6</t>
    </r>
  </si>
  <si>
    <r>
      <rPr>
        <sz val="10"/>
        <color theme="1"/>
        <rFont val="Verdana"/>
      </rPr>
      <t>65   mm dia</t>
    </r>
  </si>
  <si>
    <r>
      <rPr>
        <sz val="10"/>
        <color theme="1"/>
        <rFont val="Verdana"/>
      </rPr>
      <t>Each</t>
    </r>
  </si>
  <si>
    <r>
      <rPr>
        <sz val="10"/>
        <color theme="1"/>
        <rFont val="Verdana"/>
      </rPr>
      <t>4.4.3</t>
    </r>
  </si>
  <si>
    <r>
      <rPr>
        <sz val="10"/>
        <color theme="1"/>
        <rFont val="Verdana"/>
      </rPr>
      <t>30.7.4.7</t>
    </r>
  </si>
  <si>
    <r>
      <rPr>
        <sz val="10"/>
        <color theme="1"/>
        <rFont val="Verdana"/>
      </rPr>
      <t>50 mm dia</t>
    </r>
  </si>
  <si>
    <r>
      <rPr>
        <sz val="10"/>
        <color theme="1"/>
        <rFont val="Verdana"/>
      </rPr>
      <t>Each</t>
    </r>
  </si>
  <si>
    <r>
      <rPr>
        <sz val="10"/>
        <color theme="1"/>
        <rFont val="Verdana"/>
      </rPr>
      <t>4.4.4</t>
    </r>
  </si>
  <si>
    <r>
      <rPr>
        <sz val="10"/>
        <color theme="1"/>
        <rFont val="Verdana"/>
      </rPr>
      <t>30.7.4.8</t>
    </r>
  </si>
  <si>
    <r>
      <rPr>
        <sz val="10"/>
        <color theme="1"/>
        <rFont val="Verdana"/>
      </rPr>
      <t>40 mm dia</t>
    </r>
  </si>
  <si>
    <r>
      <rPr>
        <sz val="10"/>
        <color theme="1"/>
        <rFont val="Verdana"/>
      </rPr>
      <t>Each</t>
    </r>
  </si>
  <si>
    <r>
      <rPr>
        <sz val="10"/>
        <color theme="1"/>
        <rFont val="Verdana"/>
      </rPr>
      <t>4.4.5</t>
    </r>
  </si>
  <si>
    <r>
      <rPr>
        <sz val="10"/>
        <color theme="1"/>
        <rFont val="Verdana"/>
      </rPr>
      <t>MR</t>
    </r>
  </si>
  <si>
    <r>
      <rPr>
        <sz val="10"/>
        <color theme="1"/>
        <rFont val="Verdana"/>
      </rPr>
      <t>32 mm dia</t>
    </r>
  </si>
  <si>
    <r>
      <rPr>
        <sz val="10"/>
        <color theme="1"/>
        <rFont val="Verdana"/>
      </rPr>
      <t>Each</t>
    </r>
  </si>
  <si>
    <r>
      <rPr>
        <sz val="10"/>
        <color theme="1"/>
        <rFont val="Verdana"/>
      </rPr>
      <t>4.4.6</t>
    </r>
  </si>
  <si>
    <r>
      <rPr>
        <sz val="10"/>
        <color theme="1"/>
        <rFont val="Verdana"/>
      </rPr>
      <t>MR</t>
    </r>
  </si>
  <si>
    <r>
      <rPr>
        <sz val="10"/>
        <color theme="1"/>
        <rFont val="Verdana"/>
      </rPr>
      <t>25 mm dia</t>
    </r>
  </si>
  <si>
    <r>
      <rPr>
        <sz val="10"/>
        <color theme="1"/>
        <rFont val="Verdana"/>
      </rPr>
      <t>Each</t>
    </r>
  </si>
  <si>
    <r>
      <rPr>
        <sz val="10"/>
        <color rgb="FF000000"/>
        <rFont val="Verdana"/>
      </rPr>
      <t xml:space="preserve">Providing and fixing in position industrial type pressure gauges with gun
</t>
    </r>
    <r>
      <rPr>
        <sz val="10"/>
        <color rgb="FF000000"/>
        <rFont val="Verdana"/>
      </rPr>
      <t>metal / brass valves complete etc. as required</t>
    </r>
  </si>
  <si>
    <r>
      <rPr>
        <sz val="10"/>
        <color theme="1"/>
        <rFont val="Verdana"/>
      </rPr>
      <t>Each</t>
    </r>
  </si>
  <si>
    <r>
      <rPr>
        <sz val="10"/>
        <color rgb="FF000000"/>
        <rFont val="Verdana"/>
      </rPr>
      <t xml:space="preserve">Providing   &amp;   fixing   in   position   industrial   type   mercury  thermometers
</t>
    </r>
    <r>
      <rPr>
        <sz val="10"/>
        <color rgb="FF000000"/>
        <rFont val="Verdana"/>
      </rPr>
      <t>complete etc. as required.</t>
    </r>
  </si>
  <si>
    <r>
      <rPr>
        <sz val="10"/>
        <color theme="1"/>
        <rFont val="Verdana"/>
      </rPr>
      <t>Each</t>
    </r>
  </si>
  <si>
    <r>
      <rPr>
        <sz val="10"/>
        <color theme="1"/>
        <rFont val="Verdana"/>
      </rPr>
      <t>VALVES WITHOUT INSULATION</t>
    </r>
  </si>
  <si>
    <r>
      <rPr>
        <sz val="10"/>
        <color theme="1"/>
        <rFont val="Verdana"/>
      </rPr>
      <t>Supplying,  fixing,  testing  and  commissioning  of following  valves,  gauges and strainers for condenser water circulation as per specifications.</t>
    </r>
  </si>
  <si>
    <r>
      <rPr>
        <sz val="10"/>
        <color rgb="FF000000"/>
        <rFont val="Verdana"/>
      </rPr>
      <t xml:space="preserve">Supplying,   fixing,   testing   and   commissioning   of   following   Motorised
</t>
    </r>
    <r>
      <rPr>
        <sz val="10"/>
        <color rgb="FF000000"/>
        <rFont val="Verdana"/>
      </rPr>
      <t>Butterfly  valves  with  C.I  body,  SS  Disc,O-ring  and  minimum  PN-16 pressure  rating,confirming  to  BS  5155,IS  13095,with  IP-55  actuator, capable  of  accepting  upto  10V  DC,and  upto  20  mA  electric  signal  and providing   similar   transduced   feedback   output   to   control   system   as required.</t>
    </r>
  </si>
  <si>
    <r>
      <rPr>
        <sz val="10"/>
        <color theme="1"/>
        <rFont val="Verdana"/>
      </rPr>
      <t>5.1.1</t>
    </r>
  </si>
  <si>
    <r>
      <rPr>
        <sz val="10"/>
        <color theme="1"/>
        <rFont val="Verdana"/>
      </rPr>
      <t>30.11.3.8</t>
    </r>
  </si>
  <si>
    <r>
      <rPr>
        <sz val="10"/>
        <color theme="1"/>
        <rFont val="Verdana"/>
      </rPr>
      <t>80   mm dia</t>
    </r>
  </si>
  <si>
    <r>
      <rPr>
        <sz val="10"/>
        <color theme="1"/>
        <rFont val="Verdana"/>
      </rPr>
      <t>Each</t>
    </r>
  </si>
  <si>
    <r>
      <rPr>
        <sz val="10"/>
        <color theme="1"/>
        <rFont val="Verdana"/>
      </rPr>
      <t>5.1.2</t>
    </r>
  </si>
  <si>
    <r>
      <rPr>
        <sz val="10"/>
        <color theme="1"/>
        <rFont val="Verdana"/>
      </rPr>
      <t>30.11.3.9</t>
    </r>
  </si>
  <si>
    <r>
      <rPr>
        <sz val="10"/>
        <color theme="1"/>
        <rFont val="Verdana"/>
      </rPr>
      <t>65   mm dia</t>
    </r>
  </si>
  <si>
    <r>
      <rPr>
        <sz val="10"/>
        <color theme="1"/>
        <rFont val="Verdana"/>
      </rPr>
      <t>Each</t>
    </r>
  </si>
  <si>
    <r>
      <rPr>
        <sz val="10"/>
        <color theme="1"/>
        <rFont val="Verdana"/>
      </rPr>
      <t>5.1.3</t>
    </r>
  </si>
  <si>
    <r>
      <rPr>
        <sz val="10"/>
        <color theme="1"/>
        <rFont val="Verdana"/>
      </rPr>
      <t>30.11.3.10</t>
    </r>
  </si>
  <si>
    <r>
      <rPr>
        <sz val="10"/>
        <color theme="1"/>
        <rFont val="Verdana"/>
      </rPr>
      <t>50 mm dia</t>
    </r>
  </si>
  <si>
    <r>
      <rPr>
        <sz val="10"/>
        <color theme="1"/>
        <rFont val="Verdana"/>
      </rPr>
      <t>Each</t>
    </r>
  </si>
  <si>
    <r>
      <rPr>
        <sz val="10"/>
        <color theme="1"/>
        <rFont val="Verdana"/>
      </rPr>
      <t>Supplying, fixing, testing and commissioning of  following sizes electronic, self-balancing, pressure  independent  type  dynamic balancing  valve with integrated 2 way  modulating control valves in a single body.The actuator shall be capable of accepting upto 10 V DC and upto 20 mA electric signal and   shall   provide   similar   transduced   feedback   output   to   control system.Maximum close off pressure shall not ne less than 6 Bar for upto 50 mm valves and 7 Bar for 65mm &amp; above.Valves should have pressure rating of 25 Bar monimum.</t>
    </r>
  </si>
  <si>
    <r>
      <rPr>
        <sz val="10"/>
        <color theme="1"/>
        <rFont val="Verdana"/>
      </rPr>
      <t>5.2.1</t>
    </r>
  </si>
  <si>
    <r>
      <rPr>
        <sz val="10"/>
        <color theme="1"/>
        <rFont val="Verdana"/>
      </rPr>
      <t>30.11.4.4</t>
    </r>
  </si>
  <si>
    <r>
      <rPr>
        <sz val="10"/>
        <color theme="1"/>
        <rFont val="Verdana"/>
      </rPr>
      <t>80   mm dia</t>
    </r>
  </si>
  <si>
    <r>
      <rPr>
        <sz val="10"/>
        <color theme="1"/>
        <rFont val="Verdana"/>
      </rPr>
      <t>Each</t>
    </r>
  </si>
  <si>
    <r>
      <rPr>
        <sz val="10"/>
        <color theme="1"/>
        <rFont val="Verdana"/>
      </rPr>
      <t>5.2.2</t>
    </r>
  </si>
  <si>
    <r>
      <rPr>
        <sz val="10"/>
        <color theme="1"/>
        <rFont val="Verdana"/>
      </rPr>
      <t>30.11.4.5</t>
    </r>
  </si>
  <si>
    <r>
      <rPr>
        <sz val="10"/>
        <color theme="1"/>
        <rFont val="Verdana"/>
      </rPr>
      <t>65   mm dia</t>
    </r>
  </si>
  <si>
    <r>
      <rPr>
        <sz val="10"/>
        <color theme="1"/>
        <rFont val="Verdana"/>
      </rPr>
      <t>Each</t>
    </r>
  </si>
  <si>
    <r>
      <rPr>
        <sz val="10"/>
        <color theme="1"/>
        <rFont val="Verdana"/>
      </rPr>
      <t>5.2.3</t>
    </r>
  </si>
  <si>
    <r>
      <rPr>
        <sz val="10"/>
        <color theme="1"/>
        <rFont val="Verdana"/>
      </rPr>
      <t>30.11.4.6</t>
    </r>
  </si>
  <si>
    <r>
      <rPr>
        <sz val="10"/>
        <color theme="1"/>
        <rFont val="Verdana"/>
      </rPr>
      <t>50 mm dia</t>
    </r>
  </si>
  <si>
    <r>
      <rPr>
        <sz val="10"/>
        <color theme="1"/>
        <rFont val="Verdana"/>
      </rPr>
      <t>Each</t>
    </r>
  </si>
  <si>
    <r>
      <rPr>
        <sz val="10"/>
        <color theme="1"/>
        <rFont val="Verdana"/>
      </rPr>
      <t>5.2.4</t>
    </r>
  </si>
  <si>
    <r>
      <rPr>
        <sz val="10"/>
        <color theme="1"/>
        <rFont val="Verdana"/>
      </rPr>
      <t>30.11.4.7</t>
    </r>
  </si>
  <si>
    <r>
      <rPr>
        <sz val="10"/>
        <color theme="1"/>
        <rFont val="Verdana"/>
      </rPr>
      <t>40 mm dia</t>
    </r>
  </si>
  <si>
    <r>
      <rPr>
        <sz val="10"/>
        <color theme="1"/>
        <rFont val="Verdana"/>
      </rPr>
      <t>Each</t>
    </r>
  </si>
  <si>
    <r>
      <rPr>
        <sz val="10"/>
        <color theme="1"/>
        <rFont val="Verdana"/>
      </rPr>
      <t>5.2.5</t>
    </r>
  </si>
  <si>
    <r>
      <rPr>
        <sz val="10"/>
        <color theme="1"/>
        <rFont val="Verdana"/>
      </rPr>
      <t>30.11.4.8</t>
    </r>
  </si>
  <si>
    <r>
      <rPr>
        <sz val="10"/>
        <color theme="1"/>
        <rFont val="Verdana"/>
      </rPr>
      <t>32 mm dia</t>
    </r>
  </si>
  <si>
    <r>
      <rPr>
        <sz val="10"/>
        <color theme="1"/>
        <rFont val="Verdana"/>
      </rPr>
      <t>Each</t>
    </r>
  </si>
  <si>
    <r>
      <rPr>
        <sz val="10"/>
        <color theme="1"/>
        <rFont val="Verdana"/>
      </rPr>
      <t>5.2.6</t>
    </r>
  </si>
  <si>
    <r>
      <rPr>
        <sz val="10"/>
        <color theme="1"/>
        <rFont val="Verdana"/>
      </rPr>
      <t>30.11.4.9</t>
    </r>
  </si>
  <si>
    <r>
      <rPr>
        <sz val="10"/>
        <color theme="1"/>
        <rFont val="Verdana"/>
      </rPr>
      <t>25 mm dia</t>
    </r>
  </si>
  <si>
    <r>
      <rPr>
        <sz val="10"/>
        <color theme="1"/>
        <rFont val="Verdana"/>
      </rPr>
      <t>Each</t>
    </r>
  </si>
  <si>
    <r>
      <rPr>
        <sz val="10"/>
        <color theme="1"/>
        <rFont val="Verdana"/>
      </rPr>
      <t>CIVIL 18.17</t>
    </r>
  </si>
  <si>
    <r>
      <rPr>
        <sz val="10"/>
        <color rgb="FF000000"/>
        <rFont val="Verdana"/>
      </rPr>
      <t xml:space="preserve">Providing and fixing gun metal gate valve / Ball Valve with C.I. wheel of
</t>
    </r>
    <r>
      <rPr>
        <sz val="10"/>
        <color rgb="FF000000"/>
        <rFont val="Verdana"/>
      </rPr>
      <t>approved quality (screwed end):</t>
    </r>
  </si>
  <si>
    <r>
      <rPr>
        <sz val="10"/>
        <color theme="1"/>
        <rFont val="Verdana"/>
      </rPr>
      <t>5.3.1</t>
    </r>
  </si>
  <si>
    <r>
      <rPr>
        <sz val="10"/>
        <color theme="1"/>
        <rFont val="Verdana"/>
      </rPr>
      <t>CIVIL 18.17.1</t>
    </r>
  </si>
  <si>
    <r>
      <rPr>
        <sz val="10"/>
        <color theme="1"/>
        <rFont val="Verdana"/>
      </rPr>
      <t>25 mm nominal bore</t>
    </r>
  </si>
  <si>
    <r>
      <rPr>
        <sz val="10"/>
        <color theme="1"/>
        <rFont val="Verdana"/>
      </rPr>
      <t>Each</t>
    </r>
  </si>
  <si>
    <r>
      <rPr>
        <sz val="10"/>
        <color theme="1"/>
        <rFont val="Verdana"/>
      </rPr>
      <t>5.3.2</t>
    </r>
  </si>
  <si>
    <r>
      <rPr>
        <sz val="10"/>
        <color theme="1"/>
        <rFont val="Verdana"/>
      </rPr>
      <t>CIVIL  18.17.2</t>
    </r>
  </si>
  <si>
    <r>
      <rPr>
        <sz val="10"/>
        <color theme="1"/>
        <rFont val="Verdana"/>
      </rPr>
      <t>32 mm nominal bore</t>
    </r>
  </si>
  <si>
    <r>
      <rPr>
        <sz val="10"/>
        <color theme="1"/>
        <rFont val="Verdana"/>
      </rPr>
      <t>Each</t>
    </r>
  </si>
  <si>
    <r>
      <rPr>
        <sz val="10"/>
        <color theme="1"/>
        <rFont val="Verdana"/>
      </rPr>
      <t>MR</t>
    </r>
  </si>
  <si>
    <r>
      <rPr>
        <b/>
        <sz val="10"/>
        <color theme="1"/>
        <rFont val="Verdana"/>
      </rPr>
      <t>Flexible Pipe Connections/Bellows.</t>
    </r>
  </si>
  <si>
    <r>
      <rPr>
        <sz val="10"/>
        <color theme="1"/>
        <rFont val="Verdana"/>
      </rPr>
      <t>Supply,  installation,  testing  and  commissioning  of insulated  Flexible Pipe Connections at chiller (inlet &amp; oulet) &amp; chilled water pumps (inlet &amp; outlet) and  as  per  specifications.  Flexible  connections/bellows  shall be  complete with mating flanges, nuts and bolts and gaskets:</t>
    </r>
  </si>
  <si>
    <r>
      <rPr>
        <b/>
        <sz val="10"/>
        <color theme="1"/>
        <rFont val="Verdana"/>
      </rPr>
      <t>PN16 RATED</t>
    </r>
  </si>
  <si>
    <r>
      <rPr>
        <sz val="10"/>
        <color theme="1"/>
        <rFont val="Verdana"/>
      </rPr>
      <t>MR</t>
    </r>
  </si>
  <si>
    <r>
      <rPr>
        <sz val="10"/>
        <color theme="1"/>
        <rFont val="Verdana"/>
      </rPr>
      <t>80mm NB</t>
    </r>
  </si>
  <si>
    <r>
      <rPr>
        <sz val="10"/>
        <color theme="1"/>
        <rFont val="Verdana"/>
      </rPr>
      <t>Each</t>
    </r>
  </si>
  <si>
    <r>
      <rPr>
        <b/>
        <sz val="10"/>
        <color theme="1"/>
        <rFont val="Verdana"/>
      </rPr>
      <t>Note:</t>
    </r>
  </si>
  <si>
    <r>
      <rPr>
        <b/>
        <sz val="10"/>
        <color theme="1"/>
        <rFont val="Verdana"/>
      </rPr>
      <t>All the piping &amp; Accessories shall be Pre-Cleaning &amp; Descaling to be done by before the commissioning of chilled water system.</t>
    </r>
  </si>
  <si>
    <r>
      <rPr>
        <b/>
        <sz val="10"/>
        <color theme="1"/>
        <rFont val="Verdana"/>
      </rPr>
      <t>TOTAL CARRIED OVER TO SUMMARY</t>
    </r>
  </si>
  <si>
    <r>
      <rPr>
        <b/>
        <sz val="10"/>
        <color theme="1"/>
        <rFont val="Verdana"/>
      </rPr>
      <t>B HEAD B</t>
    </r>
  </si>
  <si>
    <r>
      <rPr>
        <b/>
        <sz val="10"/>
        <color theme="1"/>
        <rFont val="Verdana"/>
      </rPr>
      <t>AIR DISTRIBUTION  - DUCTING, GRILLES, THARMAFUSERS ETC.</t>
    </r>
  </si>
  <si>
    <r>
      <rPr>
        <sz val="10"/>
        <color theme="1"/>
        <rFont val="Verdana"/>
      </rPr>
      <t>DUCTING, GRILLS,DIFFUSER AND INSULATION</t>
    </r>
  </si>
  <si>
    <r>
      <rPr>
        <sz val="10"/>
        <color rgb="FF000000"/>
        <rFont val="Verdana"/>
      </rPr>
      <t xml:space="preserve">Supplying,    installation,    balancing    and    commissioning    of    </t>
    </r>
    <r>
      <rPr>
        <b/>
        <sz val="10"/>
        <color rgb="FF000000"/>
        <rFont val="Verdana"/>
      </rPr>
      <t xml:space="preserve">factory fabricated  </t>
    </r>
    <r>
      <rPr>
        <sz val="10"/>
        <color rgb="FF000000"/>
        <rFont val="Verdana"/>
      </rPr>
      <t>GSS  sheet  metal  rectangular/  round/oval  ducting  complete with neoprene rubber gaskets, elbows, splitter dampers, vanes, hangers, supports,  bends,  transitions,  reducers,  end  caps,  collars  etc  as  required complete in all respect in confirmation to IS : 655 and approved drawings and specifications of following sheet thickness complete as required.</t>
    </r>
  </si>
  <si>
    <r>
      <rPr>
        <b/>
        <i/>
        <sz val="10"/>
        <color theme="1"/>
        <rFont val="Verdana"/>
      </rPr>
      <t>FACTORY FABRICATED RECTANGULAR DUCT</t>
    </r>
  </si>
  <si>
    <r>
      <rPr>
        <sz val="10"/>
        <color theme="1"/>
        <rFont val="Verdana"/>
      </rPr>
      <t>30.12.1.1</t>
    </r>
  </si>
  <si>
    <r>
      <rPr>
        <sz val="10"/>
        <color theme="1"/>
        <rFont val="Verdana"/>
      </rPr>
      <t>Thickness 0.63 mm sheet</t>
    </r>
  </si>
  <si>
    <r>
      <rPr>
        <sz val="10"/>
        <color theme="1"/>
        <rFont val="Verdana"/>
      </rPr>
      <t>Sq.M</t>
    </r>
  </si>
  <si>
    <r>
      <rPr>
        <sz val="10"/>
        <color theme="1"/>
        <rFont val="Verdana"/>
      </rPr>
      <t>30.12.1.2</t>
    </r>
  </si>
  <si>
    <r>
      <rPr>
        <sz val="10"/>
        <color theme="1"/>
        <rFont val="Verdana"/>
      </rPr>
      <t>Thickness 0.80 mm sheet</t>
    </r>
  </si>
  <si>
    <r>
      <rPr>
        <sz val="10"/>
        <color theme="1"/>
        <rFont val="Verdana"/>
      </rPr>
      <t>Sq.M</t>
    </r>
  </si>
  <si>
    <r>
      <rPr>
        <sz val="10"/>
        <color theme="1"/>
        <rFont val="Verdana"/>
      </rPr>
      <t>30.12.1.3</t>
    </r>
  </si>
  <si>
    <r>
      <rPr>
        <sz val="10"/>
        <color theme="1"/>
        <rFont val="Verdana"/>
      </rPr>
      <t>Thickness 1.00 mm sheet</t>
    </r>
  </si>
  <si>
    <r>
      <rPr>
        <sz val="10"/>
        <color theme="1"/>
        <rFont val="Verdana"/>
      </rPr>
      <t>Sq.M</t>
    </r>
  </si>
  <si>
    <r>
      <rPr>
        <sz val="10"/>
        <color theme="1"/>
        <rFont val="Verdana"/>
      </rPr>
      <t>30.12.1.4</t>
    </r>
  </si>
  <si>
    <r>
      <rPr>
        <sz val="10"/>
        <color theme="1"/>
        <rFont val="Verdana"/>
      </rPr>
      <t>Thickness 1.25 mm sheet</t>
    </r>
  </si>
  <si>
    <r>
      <rPr>
        <sz val="10"/>
        <color theme="1"/>
        <rFont val="Verdana"/>
      </rPr>
      <t>Sq.M</t>
    </r>
  </si>
  <si>
    <r>
      <rPr>
        <b/>
        <i/>
        <sz val="10"/>
        <color theme="1"/>
        <rFont val="Verdana"/>
      </rPr>
      <t>OVAL DUCT</t>
    </r>
  </si>
  <si>
    <r>
      <rPr>
        <sz val="10"/>
        <color theme="1"/>
        <rFont val="Verdana"/>
      </rPr>
      <t>30.12.1.2</t>
    </r>
  </si>
  <si>
    <r>
      <rPr>
        <sz val="10"/>
        <color theme="1"/>
        <rFont val="Verdana"/>
      </rPr>
      <t>Upto 600 mm dia / 22G (0.80mm)</t>
    </r>
  </si>
  <si>
    <r>
      <rPr>
        <sz val="10"/>
        <color theme="1"/>
        <rFont val="Verdana"/>
      </rPr>
      <t>Sqm</t>
    </r>
  </si>
  <si>
    <r>
      <rPr>
        <sz val="10"/>
        <color theme="1"/>
        <rFont val="Verdana"/>
      </rPr>
      <t>30.12.1.3</t>
    </r>
  </si>
  <si>
    <r>
      <rPr>
        <sz val="10"/>
        <color theme="1"/>
        <rFont val="Verdana"/>
      </rPr>
      <t>601-1200 mm dia / 20G (1.00mm)</t>
    </r>
  </si>
  <si>
    <r>
      <rPr>
        <sz val="10"/>
        <color theme="1"/>
        <rFont val="Verdana"/>
      </rPr>
      <t>Sqm</t>
    </r>
  </si>
  <si>
    <r>
      <rPr>
        <sz val="10"/>
        <color theme="1"/>
        <rFont val="Verdana"/>
      </rPr>
      <t>MR</t>
    </r>
  </si>
  <si>
    <r>
      <rPr>
        <b/>
        <sz val="10"/>
        <color theme="1"/>
        <rFont val="Verdana"/>
      </rPr>
      <t>Extra for internaly thermaly lined with 9mm thick Nitrile rubber insulation fixed with adhesive in duct under fabrication in factory complete as per directior of Engineer in charge (Rate of factory fabricated duct to be paid in above mentioned DSR item)</t>
    </r>
  </si>
  <si>
    <r>
      <rPr>
        <sz val="10"/>
        <color theme="1"/>
        <rFont val="Verdana"/>
      </rPr>
      <t>Sqm</t>
    </r>
  </si>
  <si>
    <r>
      <rPr>
        <sz val="10"/>
        <color theme="1"/>
        <rFont val="Verdana"/>
      </rPr>
      <t>Supplying, installation, balancing and commissioning of fabricated at site GSS  sheet  metal  rectangular/  round  ducting  complete  with  neoprene rubber  gaskets,  elbows,  splitter  dampers,  vanes,  hangers,  supports, bends, transitions, reducers, end caps, collars etc as required complete in all  respect  in  confirmation  with  IS  :  655  and  approved  drawings  and specifications of following sheet thickness complete as required.</t>
    </r>
  </si>
  <si>
    <r>
      <rPr>
        <sz val="10"/>
        <color theme="1"/>
        <rFont val="Verdana"/>
      </rPr>
      <t>30.12.2.1</t>
    </r>
  </si>
  <si>
    <r>
      <rPr>
        <sz val="10"/>
        <color theme="1"/>
        <rFont val="Verdana"/>
      </rPr>
      <t>Thickness 0.63 mm sheet</t>
    </r>
  </si>
  <si>
    <r>
      <rPr>
        <sz val="10"/>
        <color theme="1"/>
        <rFont val="Verdana"/>
      </rPr>
      <t>Sq.M</t>
    </r>
  </si>
  <si>
    <r>
      <rPr>
        <sz val="10"/>
        <color theme="1"/>
        <rFont val="Verdana"/>
      </rPr>
      <t>30.12.2.2</t>
    </r>
  </si>
  <si>
    <r>
      <rPr>
        <sz val="10"/>
        <color theme="1"/>
        <rFont val="Verdana"/>
      </rPr>
      <t>Thickness 0.80 mm sheet</t>
    </r>
  </si>
  <si>
    <r>
      <rPr>
        <sz val="10"/>
        <color theme="1"/>
        <rFont val="Verdana"/>
      </rPr>
      <t>Sq.M</t>
    </r>
  </si>
  <si>
    <r>
      <rPr>
        <sz val="10"/>
        <color rgb="FF000000"/>
        <rFont val="Verdana"/>
      </rPr>
      <t xml:space="preserve">Supplying,  installation,  testing  and  commissioning  of  GI  volume  control
</t>
    </r>
    <r>
      <rPr>
        <sz val="10"/>
        <color rgb="FF000000"/>
        <rFont val="Verdana"/>
      </rPr>
      <t>duct damper complete with neoprene rubber gaskets, nuts, bolts, screws linkages,   flanges   etc   in   confirmation   to   SMACNA/IS   and   as   per specifications complete etc. as required.</t>
    </r>
  </si>
  <si>
    <r>
      <rPr>
        <sz val="10"/>
        <color theme="1"/>
        <rFont val="Verdana"/>
      </rPr>
      <t>Sq.M</t>
    </r>
  </si>
  <si>
    <r>
      <rPr>
        <sz val="10"/>
        <color theme="1"/>
        <rFont val="Verdana"/>
      </rPr>
      <t>Supplying &amp; fixing of powder coated extruded aluminium Return Air Grills with louvers but without volume control dampers complete in confirmation to SMACNA/IS and as per specifications complete etc. as required.</t>
    </r>
  </si>
  <si>
    <r>
      <rPr>
        <sz val="10"/>
        <color theme="1"/>
        <rFont val="Verdana"/>
      </rPr>
      <t>Sq.M</t>
    </r>
  </si>
  <si>
    <r>
      <rPr>
        <sz val="10"/>
        <color theme="1"/>
        <rFont val="Verdana"/>
      </rPr>
      <t>Supplying,  Fixing,  installation,  testing  and  commissioning  of  thermal insulated flexible duct of following sizes duly supported at regular interval as  per  site  requirement  etc.  in  confirmation  to  SMACNA/IS  and  as  per specifications complete etc. as required.</t>
    </r>
  </si>
  <si>
    <r>
      <rPr>
        <sz val="10"/>
        <color theme="1"/>
        <rFont val="Verdana"/>
      </rPr>
      <t>30.19.1</t>
    </r>
  </si>
  <si>
    <r>
      <rPr>
        <sz val="10"/>
        <color theme="1"/>
        <rFont val="Verdana"/>
      </rPr>
      <t>200mm dia</t>
    </r>
  </si>
  <si>
    <r>
      <rPr>
        <sz val="10"/>
        <color theme="1"/>
        <rFont val="Verdana"/>
      </rPr>
      <t>Meter</t>
    </r>
  </si>
  <si>
    <r>
      <rPr>
        <sz val="10"/>
        <color theme="1"/>
        <rFont val="Verdana"/>
      </rPr>
      <t>30.19.1</t>
    </r>
  </si>
  <si>
    <r>
      <rPr>
        <sz val="10"/>
        <color theme="1"/>
        <rFont val="Verdana"/>
      </rPr>
      <t>150mm dia</t>
    </r>
  </si>
  <si>
    <r>
      <rPr>
        <sz val="10"/>
        <color theme="1"/>
        <rFont val="Verdana"/>
      </rPr>
      <t>Meter</t>
    </r>
  </si>
  <si>
    <r>
      <rPr>
        <sz val="10"/>
        <color theme="1"/>
        <rFont val="Verdana"/>
      </rPr>
      <t>Supplying, Fixing, testing and commissioning of fire dampers of minimum 90 minutes fire rated in supply air duct/main branch and return air path as and where required of required sizes i/c control wiring, the damper shall be motorized and spring return so as to close the damper in the event of power  failure  automatically  and  open  the  same  in  case  of  power  being restored.  The  spring  return  action  shall  be  inbuilt  mechanism  and  not externally mounted. The damper shall also be closed in the event of fire signal and, in confirmation to IS and as per specifications complete etc.  as required.</t>
    </r>
  </si>
  <si>
    <r>
      <rPr>
        <sz val="10"/>
        <color theme="1"/>
        <rFont val="Verdana"/>
      </rPr>
      <t>30.20.1</t>
    </r>
  </si>
  <si>
    <r>
      <rPr>
        <sz val="10"/>
        <color theme="1"/>
        <rFont val="Verdana"/>
      </rPr>
      <t>Fire Damper</t>
    </r>
  </si>
  <si>
    <r>
      <rPr>
        <sz val="10"/>
        <color theme="1"/>
        <rFont val="Verdana"/>
      </rPr>
      <t>Sq.M</t>
    </r>
  </si>
  <si>
    <r>
      <rPr>
        <sz val="10"/>
        <color theme="1"/>
        <rFont val="Verdana"/>
      </rPr>
      <t>30.20.2</t>
    </r>
  </si>
  <si>
    <r>
      <rPr>
        <sz val="10"/>
        <color theme="1"/>
        <rFont val="Verdana"/>
      </rPr>
      <t>Actuator</t>
    </r>
  </si>
  <si>
    <r>
      <rPr>
        <sz val="10"/>
        <color theme="1"/>
        <rFont val="Verdana"/>
      </rPr>
      <t>Each</t>
    </r>
  </si>
  <si>
    <r>
      <rPr>
        <sz val="10"/>
        <color theme="1"/>
        <rFont val="Verdana"/>
      </rPr>
      <t>Supplying and fixing of acoustic lining of supply air duct and plenum with 25/15 mm thick resin bonded glass wool having density of  32 kg/m³, with 25 mm X 25 mm GI section of 1.25 mm thick, at 600 mm centre to centre covered with Reinforced Plastic tissue paper and 0.5 mm thick  perforated aluminium sheet fixed to inside surface of ducts with cadmium plated nuts, bolts, stick pins, CPRX compound  in confirmation to SMACNA/IS and as per specifications complete etc. as required.</t>
    </r>
  </si>
  <si>
    <r>
      <rPr>
        <sz val="10"/>
        <color theme="1"/>
        <rFont val="Verdana"/>
      </rPr>
      <t>25mm</t>
    </r>
  </si>
  <si>
    <r>
      <rPr>
        <sz val="10"/>
        <color theme="1"/>
        <rFont val="Verdana"/>
      </rPr>
      <t>Sq.M</t>
    </r>
  </si>
  <si>
    <r>
      <rPr>
        <sz val="10"/>
        <color theme="1"/>
        <rFont val="Verdana"/>
      </rPr>
      <t>MR</t>
    </r>
  </si>
  <si>
    <r>
      <rPr>
        <sz val="10"/>
        <color theme="1"/>
        <rFont val="Verdana"/>
      </rPr>
      <t>15mm for Z-Piece</t>
    </r>
  </si>
  <si>
    <r>
      <rPr>
        <sz val="10"/>
        <color theme="1"/>
        <rFont val="Verdana"/>
      </rPr>
      <t>Sq.M</t>
    </r>
  </si>
  <si>
    <r>
      <rPr>
        <sz val="10"/>
        <color theme="1"/>
        <rFont val="Verdana"/>
      </rPr>
      <t>Supplying and fixing of following thickness duly laminated aluminium foil of mat finish closed cell Nitrile rubber (Class "O") insulation on existing duct after  applying  suitable  adhesive  for  Nitrile  rubber.  The  joints  shall  be sealed with 50 mm wide and 3 mm thick self adhesive nitrile rubber tape insulation complete as per specifications and as required.</t>
    </r>
  </si>
  <si>
    <r>
      <rPr>
        <sz val="10"/>
        <color theme="1"/>
        <rFont val="Verdana"/>
      </rPr>
      <t>30.23.1</t>
    </r>
  </si>
  <si>
    <r>
      <rPr>
        <sz val="10"/>
        <color theme="1"/>
        <rFont val="Verdana"/>
      </rPr>
      <t>19mm</t>
    </r>
  </si>
  <si>
    <r>
      <rPr>
        <sz val="10"/>
        <color theme="1"/>
        <rFont val="Verdana"/>
      </rPr>
      <t>Sq.M</t>
    </r>
  </si>
  <si>
    <r>
      <rPr>
        <sz val="10"/>
        <color theme="1"/>
        <rFont val="Verdana"/>
      </rPr>
      <t>30.23.2</t>
    </r>
  </si>
  <si>
    <r>
      <rPr>
        <sz val="10"/>
        <color theme="1"/>
        <rFont val="Verdana"/>
      </rPr>
      <t>25mm</t>
    </r>
  </si>
  <si>
    <r>
      <rPr>
        <sz val="10"/>
        <color theme="1"/>
        <rFont val="Verdana"/>
      </rPr>
      <t>Sq.M</t>
    </r>
  </si>
  <si>
    <r>
      <rPr>
        <sz val="10"/>
        <color theme="1"/>
        <rFont val="Verdana"/>
      </rPr>
      <t>MR</t>
    </r>
  </si>
  <si>
    <r>
      <rPr>
        <sz val="10"/>
        <color rgb="FF000000"/>
        <rFont val="Verdana"/>
      </rPr>
      <t xml:space="preserve">24  X  7  AC  ROOMS,  CRITICAL  ROOMS  (SERVER,  DATA  CENTRE,  UPS, BATTERIES,  NETWORK  &amp;  HUB  ROOMS)  FLOOR  &amp;  CEILING  THERMAL
</t>
    </r>
    <r>
      <rPr>
        <sz val="10"/>
        <color rgb="FF000000"/>
        <rFont val="Verdana"/>
      </rPr>
      <t>INSULATION (NOT EXPOSED TO SUN)</t>
    </r>
  </si>
  <si>
    <r>
      <rPr>
        <sz val="10"/>
        <color theme="1"/>
        <rFont val="Verdana"/>
      </rPr>
      <t>Supply &amp; Installation of floor / ceiling insulation with 10mm thick closed cell elastomeric rubber EPDM ,50kg/cub.m density , Rohs compliant, Class 'O'  insulation  faced   with  7ml   glass  cloth  &amp;  secured  with  manufacturer approved  adhesive.  The  insulation  shall  be  No  smoke,  self  extingushing type and with vapour barrier quality.</t>
    </r>
  </si>
  <si>
    <r>
      <rPr>
        <sz val="10"/>
        <color theme="1"/>
        <rFont val="Verdana"/>
      </rPr>
      <t>Sq.M</t>
    </r>
  </si>
  <si>
    <r>
      <rPr>
        <sz val="10"/>
        <color theme="1"/>
        <rFont val="Verdana"/>
      </rPr>
      <t>MR</t>
    </r>
  </si>
  <si>
    <r>
      <rPr>
        <b/>
        <sz val="10"/>
        <color theme="1"/>
        <rFont val="Verdana"/>
      </rPr>
      <t>SLOT DIFFUSERS</t>
    </r>
  </si>
  <si>
    <r>
      <rPr>
        <sz val="10"/>
        <color theme="1"/>
        <rFont val="Verdana"/>
      </rPr>
      <t>Supply,   installation,   testing   &amp;   commissioning   of   High   Quality   (High Throw/Jet  Throw)  Extruded  Aluminium  powder  coated  Supply  Air  Slot Diffusers   with  adjustable  air  pattern  controllers,  with  factory  fabricated accoustically lined with mineral fibre supply air 22G Aluminium plenum and with  sliding  type  GI  hit  &amp;  miss  damper  in  matt  black  finish.  Supply  air plenum shall have factory fitted spigot connector.</t>
    </r>
  </si>
  <si>
    <r>
      <rPr>
        <sz val="10"/>
        <color rgb="FF000000"/>
        <rFont val="Verdana"/>
      </rPr>
      <t xml:space="preserve">2 Slot (25mm air gap) ovear all width with flanges - 125mm, opening in
</t>
    </r>
    <r>
      <rPr>
        <sz val="10"/>
        <color rgb="FF000000"/>
        <rFont val="Verdana"/>
      </rPr>
      <t>false ceiling-104mm width</t>
    </r>
  </si>
  <si>
    <r>
      <rPr>
        <sz val="10"/>
        <color theme="1"/>
        <rFont val="Verdana"/>
      </rPr>
      <t>Meter</t>
    </r>
  </si>
  <si>
    <r>
      <rPr>
        <b/>
        <sz val="10"/>
        <color rgb="FF000000"/>
        <rFont val="Verdana"/>
      </rPr>
      <t xml:space="preserve">SQUARE  DIFFUSERS  MULTI  CONE  SUITABLE  FOR  GRID  CEILING (600  x  600)  WITH  ACOUSTICALY  LINED  PLENUM  -  FOR  SUPPLY
</t>
    </r>
    <r>
      <rPr>
        <b/>
        <sz val="10"/>
        <color rgb="FF000000"/>
        <rFont val="Verdana"/>
      </rPr>
      <t>AIR / RETTURN</t>
    </r>
  </si>
  <si>
    <r>
      <rPr>
        <sz val="10"/>
        <color rgb="FF000000"/>
        <rFont val="Verdana"/>
      </rPr>
      <t xml:space="preserve">Supplying,  Fixing,  installation,  testing  and   commissioning  of   supply  air
</t>
    </r>
    <r>
      <rPr>
        <sz val="10"/>
        <color rgb="FF000000"/>
        <rFont val="Verdana"/>
      </rPr>
      <t xml:space="preserve">diffusers of powder
</t>
    </r>
    <r>
      <rPr>
        <sz val="10"/>
        <color rgb="FF000000"/>
        <rFont val="Verdana"/>
      </rPr>
      <t>coated  aluminium  with  aluminium  volume  control  dampers  with  anti smudge ring &amp; removable core  in  confirmation to SMACNA/IS and as per specifications complete etc. as required.</t>
    </r>
  </si>
  <si>
    <r>
      <rPr>
        <sz val="10"/>
        <color theme="1"/>
        <rFont val="Verdana"/>
      </rPr>
      <t>Supply Air Diffusers with  lined plenum &amp; with volume control damper:</t>
    </r>
  </si>
  <si>
    <r>
      <rPr>
        <sz val="10"/>
        <color theme="1"/>
        <rFont val="Verdana"/>
      </rPr>
      <t>Neck Size                             Overall size</t>
    </r>
  </si>
  <si>
    <r>
      <rPr>
        <sz val="10"/>
        <color theme="1"/>
        <rFont val="Verdana"/>
      </rPr>
      <t>250mm x 250mm               595mm x 595mm</t>
    </r>
  </si>
  <si>
    <r>
      <rPr>
        <sz val="10"/>
        <color theme="1"/>
        <rFont val="Verdana"/>
      </rPr>
      <t>Sqmt</t>
    </r>
  </si>
  <si>
    <r>
      <rPr>
        <sz val="10"/>
        <color theme="1"/>
        <rFont val="Verdana"/>
      </rPr>
      <t>300mm x 300mm               595mm x 595mm</t>
    </r>
  </si>
  <si>
    <r>
      <rPr>
        <sz val="10"/>
        <color theme="1"/>
        <rFont val="Verdana"/>
      </rPr>
      <t>Sqmt</t>
    </r>
  </si>
  <si>
    <r>
      <rPr>
        <sz val="10"/>
        <color theme="1"/>
        <rFont val="Verdana"/>
      </rPr>
      <t>595mm x 595mm               595mm x 595mm</t>
    </r>
  </si>
  <si>
    <r>
      <rPr>
        <sz val="10"/>
        <color theme="1"/>
        <rFont val="Verdana"/>
      </rPr>
      <t>Sqmt</t>
    </r>
  </si>
  <si>
    <r>
      <rPr>
        <b/>
        <sz val="10"/>
        <color theme="1"/>
        <rFont val="Verdana"/>
      </rPr>
      <t>ROUND / CIRCULAR MULTI-CONE DIFFUSER</t>
    </r>
  </si>
  <si>
    <r>
      <rPr>
        <sz val="10"/>
        <color rgb="FF000000"/>
        <rFont val="Verdana"/>
      </rPr>
      <t xml:space="preserve">Supply, installation, testing and balancing of round / circular Aluminium powder coated ceiling diffuser, flush type with inner removable core.
</t>
    </r>
    <r>
      <rPr>
        <sz val="10"/>
        <color rgb="FF000000"/>
        <rFont val="Verdana"/>
      </rPr>
      <t>Diffuser shall have 18G Aluminium 2 Blade butterfly key operated volume control damper for supply air (damper cost inclusive), Diffusers frame material shall be 18G Extruded Aluminium (Flat Type) and blade material shall be 0.9mm removable core (Aluminium sheet core):</t>
    </r>
  </si>
  <si>
    <r>
      <rPr>
        <b/>
        <sz val="10"/>
        <color theme="1"/>
        <rFont val="Verdana"/>
      </rPr>
      <t>Supply air diffusers with volume control damper:</t>
    </r>
  </si>
  <si>
    <r>
      <rPr>
        <sz val="10"/>
        <color theme="1"/>
        <rFont val="Verdana"/>
      </rPr>
      <t>Outer Dia</t>
    </r>
  </si>
  <si>
    <r>
      <rPr>
        <sz val="10"/>
        <color theme="1"/>
        <rFont val="Verdana"/>
      </rPr>
      <t>a.</t>
    </r>
  </si>
  <si>
    <r>
      <rPr>
        <sz val="10"/>
        <color theme="1"/>
        <rFont val="Verdana"/>
      </rPr>
      <t>600mm</t>
    </r>
  </si>
  <si>
    <r>
      <rPr>
        <sz val="10"/>
        <color theme="1"/>
        <rFont val="Verdana"/>
      </rPr>
      <t>Sqmt</t>
    </r>
  </si>
  <si>
    <r>
      <rPr>
        <sz val="10"/>
        <color theme="1"/>
        <rFont val="Verdana"/>
      </rPr>
      <t>MR</t>
    </r>
  </si>
  <si>
    <r>
      <rPr>
        <b/>
        <sz val="10"/>
        <color theme="1"/>
        <rFont val="Verdana"/>
      </rPr>
      <t>VAV BOXES:</t>
    </r>
  </si>
  <si>
    <r>
      <rPr>
        <b/>
        <sz val="10"/>
        <color rgb="FF000000"/>
        <rFont val="Verdana"/>
      </rPr>
      <t xml:space="preserve">SUPPLY OF VARIABLE AIR VOLUME BOXES (VAV'S) Installation,
</t>
    </r>
    <r>
      <rPr>
        <b/>
        <sz val="10"/>
        <color rgb="FF000000"/>
        <rFont val="Verdana"/>
      </rPr>
      <t xml:space="preserve">Testing and Commissioning of VAV  boxes complete with factory
</t>
    </r>
    <r>
      <rPr>
        <b/>
        <sz val="10"/>
        <color rgb="FF000000"/>
        <rFont val="Verdana"/>
      </rPr>
      <t>fabricated GI supports and fixing arrangement of the following capacities of VAV Boxes.</t>
    </r>
  </si>
  <si>
    <r>
      <rPr>
        <sz val="10"/>
        <color theme="1"/>
        <rFont val="Verdana"/>
      </rPr>
      <t>Quoted prices to include cost of equipment including,  Packing, Forwarding charges, Transport Charges, Transit insurance &amp; Testing etc.</t>
    </r>
  </si>
  <si>
    <r>
      <rPr>
        <sz val="10"/>
        <color rgb="FF000000"/>
        <rFont val="Verdana"/>
      </rPr>
      <t xml:space="preserve">VAVs shall be pressure independent type &amp; low velocity type, cooling only
</t>
    </r>
    <r>
      <rPr>
        <sz val="10"/>
        <color rgb="FF000000"/>
        <rFont val="Verdana"/>
      </rPr>
      <t>(Without heating coils / strips)</t>
    </r>
  </si>
  <si>
    <r>
      <rPr>
        <sz val="10"/>
        <color theme="1"/>
        <rFont val="Verdana"/>
      </rPr>
      <t>VAV Boxes shall be slow reacting type capable of delivering variable air volume type by the action of opposed blade volume control damper</t>
    </r>
  </si>
  <si>
    <r>
      <rPr>
        <sz val="10"/>
        <color theme="1"/>
        <rFont val="Verdana"/>
      </rPr>
      <t>VAV boxes shall be supplied with end flanges for attachment to flanged duct ends and shall be complete with all internal Acoustic treatment.</t>
    </r>
  </si>
  <si>
    <r>
      <rPr>
        <sz val="10"/>
        <color theme="1"/>
        <rFont val="Verdana"/>
      </rPr>
      <t>The casing shall be double skin type of Galvanized sheet steel construction with a completely sealed, easily removable. The access shall be provided  in the bottom side only. VAV boxes shall be factorty accousticaly lined. The complete VAV box , actuator and controller shall be factory assembled.</t>
    </r>
  </si>
  <si>
    <r>
      <rPr>
        <sz val="10"/>
        <color rgb="FF000000"/>
        <rFont val="Verdana"/>
      </rPr>
      <t xml:space="preserve">VAV shall be electronically controlled networkable controller type complete
</t>
    </r>
    <r>
      <rPr>
        <sz val="10"/>
        <color rgb="FF000000"/>
        <rFont val="Verdana"/>
      </rPr>
      <t>with low leakage damper actuator, Microprocessor unit, wall / ceiling mounted temperature sensor with ON/OFF Switch, control transformer, unit hander brackets etc.</t>
    </r>
  </si>
  <si>
    <r>
      <rPr>
        <sz val="10"/>
        <color rgb="FF000000"/>
        <rFont val="Verdana"/>
      </rPr>
      <t xml:space="preserve">VAV Boxes shall also be able to reset any air flow between zero and the maximum air quantity that the boxes can handle without changing orifices or other parts, but the boxes shall be factory set at 20% of the maximum flow as minimum flow.
</t>
    </r>
    <r>
      <rPr>
        <sz val="10"/>
        <color rgb="FF000000"/>
        <rFont val="Verdana"/>
      </rPr>
      <t>VAV controller shall be BTL certified, support dual protocol natively with a mimimum torque of 8Nm (70 in- lb) with built in minimum of 2 AI, 2 DI and 2 AO as a standard for future integration. Add-on modules to increase capacity shall not be preferred</t>
    </r>
  </si>
  <si>
    <r>
      <rPr>
        <sz val="10"/>
        <color rgb="FF000000"/>
        <rFont val="Verdana"/>
      </rPr>
      <t xml:space="preserve">Controller shall come with built in RT clock and support BACnet Schedule.
</t>
    </r>
    <r>
      <rPr>
        <sz val="10"/>
        <color rgb="FF000000"/>
        <rFont val="Verdana"/>
      </rPr>
      <t xml:space="preserve">It should also incorporate as a
</t>
    </r>
    <r>
      <rPr>
        <sz val="10"/>
        <color rgb="FF000000"/>
        <rFont val="Verdana"/>
      </rPr>
      <t>default, energy saving programs that may be activated at a later date without the need of additional programming or download of software.</t>
    </r>
  </si>
  <si>
    <r>
      <rPr>
        <sz val="10"/>
        <color theme="1"/>
        <rFont val="Verdana"/>
      </rPr>
      <t>The noise level from the VAV boxes shall not exceed 35dbA</t>
    </r>
  </si>
  <si>
    <r>
      <rPr>
        <sz val="10"/>
        <color theme="1"/>
        <rFont val="Verdana"/>
      </rPr>
      <t>The quoted price shall be inclusive of the temperature sensor for each VAV unit &amp; associated cable required for the functioning of the VAV system</t>
    </r>
  </si>
  <si>
    <r>
      <rPr>
        <sz val="10"/>
        <color rgb="FF000000"/>
        <rFont val="Verdana"/>
      </rPr>
      <t xml:space="preserve">LCD Thermostat should double as a calibration and programming tool without the need for additional programming software or tools. The thermostat at the minimum shall be able to perform the below functions
</t>
    </r>
    <r>
      <rPr>
        <sz val="10"/>
        <color rgb="FF000000"/>
        <rFont val="Verdana"/>
      </rPr>
      <t xml:space="preserve">1.&amp;Enter K Factor, Design Flows
</t>
    </r>
    <r>
      <rPr>
        <sz val="10"/>
        <color rgb="FF000000"/>
        <rFont val="Verdana"/>
      </rPr>
      <t xml:space="preserve">2.&amp;Balancing Option of VAV
</t>
    </r>
    <r>
      <rPr>
        <sz val="10"/>
        <color rgb="FF000000"/>
        <rFont val="Verdana"/>
      </rPr>
      <t xml:space="preserve">3.&amp;Override Damper from Thermostat
</t>
    </r>
    <r>
      <rPr>
        <sz val="10"/>
        <color rgb="FF000000"/>
        <rFont val="Verdana"/>
      </rPr>
      <t xml:space="preserve">4.&amp;Display Current CFM, Target Flow and Damper Position
</t>
    </r>
    <r>
      <rPr>
        <sz val="10"/>
        <color rgb="FF000000"/>
        <rFont val="Verdana"/>
      </rPr>
      <t>5.&amp;Password protected menu to display the Differtial Pressure reading sensed by the Controller</t>
    </r>
  </si>
  <si>
    <r>
      <rPr>
        <sz val="10"/>
        <color theme="1"/>
        <rFont val="Verdana"/>
      </rPr>
      <t>VAV box shall be complete with its termostat and wiring. Thermostat of VAV boxes shall be digital and it shall allow temperature presets to be adjustable from the room/space and as well as by the BMS.</t>
    </r>
  </si>
  <si>
    <r>
      <rPr>
        <sz val="10"/>
        <color theme="1"/>
        <rFont val="Verdana"/>
      </rPr>
      <t>UL Listed &amp; AHRI certified VAV Boxes only to be considered.</t>
    </r>
  </si>
  <si>
    <r>
      <rPr>
        <sz val="10"/>
        <color theme="1"/>
        <rFont val="Verdana"/>
      </rPr>
      <t>Note:-</t>
    </r>
  </si>
  <si>
    <r>
      <rPr>
        <sz val="10"/>
        <color theme="1"/>
        <rFont val="Verdana"/>
      </rPr>
      <t>The Velocity through inlet of VAV inlet of VAV should not exceed 2000FPM</t>
    </r>
  </si>
  <si>
    <r>
      <rPr>
        <sz val="10"/>
        <color rgb="FF000000"/>
        <rFont val="Verdana"/>
      </rPr>
      <t xml:space="preserve">The capacities of the Rectangular units with the above specification are as
</t>
    </r>
    <r>
      <rPr>
        <sz val="10"/>
        <color rgb="FF000000"/>
        <rFont val="Verdana"/>
      </rPr>
      <t>follows:</t>
    </r>
  </si>
  <si>
    <r>
      <rPr>
        <b/>
        <sz val="10"/>
        <color theme="1"/>
        <rFont val="Verdana"/>
      </rPr>
      <t>i.</t>
    </r>
  </si>
  <si>
    <r>
      <rPr>
        <b/>
        <sz val="10"/>
        <color theme="1"/>
        <rFont val="Verdana"/>
      </rPr>
      <t>Rectangular VAV</t>
    </r>
  </si>
  <si>
    <r>
      <rPr>
        <sz val="10"/>
        <color theme="1"/>
        <rFont val="Verdana"/>
      </rPr>
      <t>a.</t>
    </r>
  </si>
  <si>
    <r>
      <rPr>
        <sz val="10"/>
        <color theme="1"/>
        <rFont val="Verdana"/>
      </rPr>
      <t>MR</t>
    </r>
  </si>
  <si>
    <r>
      <rPr>
        <sz val="10"/>
        <color theme="1"/>
        <rFont val="Verdana"/>
      </rPr>
      <t>0-230CFM</t>
    </r>
  </si>
  <si>
    <r>
      <rPr>
        <sz val="10"/>
        <color theme="1"/>
        <rFont val="Verdana"/>
      </rPr>
      <t>Nos</t>
    </r>
  </si>
  <si>
    <r>
      <rPr>
        <sz val="10"/>
        <color theme="1"/>
        <rFont val="Verdana"/>
      </rPr>
      <t>b.</t>
    </r>
  </si>
  <si>
    <r>
      <rPr>
        <sz val="10"/>
        <color theme="1"/>
        <rFont val="Verdana"/>
      </rPr>
      <t>MR</t>
    </r>
  </si>
  <si>
    <r>
      <rPr>
        <sz val="10"/>
        <color theme="1"/>
        <rFont val="Verdana"/>
      </rPr>
      <t>231-360CFM</t>
    </r>
  </si>
  <si>
    <r>
      <rPr>
        <sz val="10"/>
        <color theme="1"/>
        <rFont val="Verdana"/>
      </rPr>
      <t>Nos</t>
    </r>
  </si>
  <si>
    <r>
      <rPr>
        <sz val="10"/>
        <color theme="1"/>
        <rFont val="Verdana"/>
      </rPr>
      <t>c.</t>
    </r>
  </si>
  <si>
    <r>
      <rPr>
        <sz val="10"/>
        <color theme="1"/>
        <rFont val="Verdana"/>
      </rPr>
      <t>MR</t>
    </r>
  </si>
  <si>
    <r>
      <rPr>
        <sz val="10"/>
        <color theme="1"/>
        <rFont val="Verdana"/>
      </rPr>
      <t>361-520CFM</t>
    </r>
  </si>
  <si>
    <r>
      <rPr>
        <sz val="10"/>
        <color theme="1"/>
        <rFont val="Verdana"/>
      </rPr>
      <t>Nos</t>
    </r>
  </si>
  <si>
    <r>
      <rPr>
        <sz val="10"/>
        <color theme="1"/>
        <rFont val="Verdana"/>
      </rPr>
      <t>d.</t>
    </r>
  </si>
  <si>
    <r>
      <rPr>
        <sz val="10"/>
        <color theme="1"/>
        <rFont val="Verdana"/>
      </rPr>
      <t>MR</t>
    </r>
  </si>
  <si>
    <r>
      <rPr>
        <sz val="10"/>
        <color theme="1"/>
        <rFont val="Verdana"/>
      </rPr>
      <t>521-710CFM</t>
    </r>
  </si>
  <si>
    <r>
      <rPr>
        <sz val="10"/>
        <color theme="1"/>
        <rFont val="Verdana"/>
      </rPr>
      <t>Nos</t>
    </r>
  </si>
  <si>
    <r>
      <rPr>
        <sz val="10"/>
        <color theme="1"/>
        <rFont val="Verdana"/>
      </rPr>
      <t>e.</t>
    </r>
  </si>
  <si>
    <r>
      <rPr>
        <sz val="10"/>
        <color theme="1"/>
        <rFont val="Verdana"/>
      </rPr>
      <t>MR</t>
    </r>
  </si>
  <si>
    <r>
      <rPr>
        <sz val="10"/>
        <color theme="1"/>
        <rFont val="Verdana"/>
      </rPr>
      <t>711-925CFM</t>
    </r>
  </si>
  <si>
    <r>
      <rPr>
        <sz val="10"/>
        <color theme="1"/>
        <rFont val="Verdana"/>
      </rPr>
      <t>Nos</t>
    </r>
  </si>
  <si>
    <r>
      <rPr>
        <sz val="10"/>
        <color theme="1"/>
        <rFont val="Verdana"/>
      </rPr>
      <t>f.</t>
    </r>
  </si>
  <si>
    <r>
      <rPr>
        <sz val="10"/>
        <color theme="1"/>
        <rFont val="Verdana"/>
      </rPr>
      <t>MR</t>
    </r>
  </si>
  <si>
    <r>
      <rPr>
        <sz val="10"/>
        <color theme="1"/>
        <rFont val="Verdana"/>
      </rPr>
      <t>926-1450CFM</t>
    </r>
  </si>
  <si>
    <r>
      <rPr>
        <sz val="10"/>
        <color theme="1"/>
        <rFont val="Verdana"/>
      </rPr>
      <t>Nos</t>
    </r>
  </si>
  <si>
    <r>
      <rPr>
        <sz val="10"/>
        <color theme="1"/>
        <rFont val="Verdana"/>
      </rPr>
      <t>g.</t>
    </r>
  </si>
  <si>
    <r>
      <rPr>
        <sz val="10"/>
        <color theme="1"/>
        <rFont val="Verdana"/>
      </rPr>
      <t>MR</t>
    </r>
  </si>
  <si>
    <r>
      <rPr>
        <sz val="10"/>
        <color theme="1"/>
        <rFont val="Verdana"/>
      </rPr>
      <t>1451-2100CFM</t>
    </r>
  </si>
  <si>
    <r>
      <rPr>
        <sz val="10"/>
        <color theme="1"/>
        <rFont val="Verdana"/>
      </rPr>
      <t>Nos</t>
    </r>
  </si>
  <si>
    <r>
      <rPr>
        <b/>
        <sz val="10"/>
        <color theme="1"/>
        <rFont val="Verdana"/>
      </rPr>
      <t>ii.</t>
    </r>
  </si>
  <si>
    <r>
      <rPr>
        <b/>
        <sz val="10"/>
        <color theme="1"/>
        <rFont val="Verdana"/>
      </rPr>
      <t>Oval VAV</t>
    </r>
  </si>
  <si>
    <r>
      <rPr>
        <sz val="10"/>
        <color theme="1"/>
        <rFont val="Verdana"/>
      </rPr>
      <t>h.</t>
    </r>
  </si>
  <si>
    <r>
      <rPr>
        <sz val="10"/>
        <color theme="1"/>
        <rFont val="Verdana"/>
      </rPr>
      <t>MR</t>
    </r>
  </si>
  <si>
    <r>
      <rPr>
        <sz val="10"/>
        <color theme="1"/>
        <rFont val="Verdana"/>
      </rPr>
      <t>45-450CFM</t>
    </r>
  </si>
  <si>
    <r>
      <rPr>
        <sz val="10"/>
        <color theme="1"/>
        <rFont val="Verdana"/>
      </rPr>
      <t>Nos</t>
    </r>
  </si>
  <si>
    <r>
      <rPr>
        <sz val="10"/>
        <color theme="1"/>
        <rFont val="Verdana"/>
      </rPr>
      <t>i.</t>
    </r>
  </si>
  <si>
    <r>
      <rPr>
        <sz val="10"/>
        <color theme="1"/>
        <rFont val="Verdana"/>
      </rPr>
      <t>MR</t>
    </r>
  </si>
  <si>
    <r>
      <rPr>
        <sz val="10"/>
        <color theme="1"/>
        <rFont val="Verdana"/>
      </rPr>
      <t>80-800CFM</t>
    </r>
  </si>
  <si>
    <r>
      <rPr>
        <sz val="10"/>
        <color theme="1"/>
        <rFont val="Verdana"/>
      </rPr>
      <t>Nos</t>
    </r>
  </si>
  <si>
    <r>
      <rPr>
        <sz val="10"/>
        <color theme="1"/>
        <rFont val="Verdana"/>
      </rPr>
      <t>j.</t>
    </r>
  </si>
  <si>
    <r>
      <rPr>
        <sz val="10"/>
        <color theme="1"/>
        <rFont val="Verdana"/>
      </rPr>
      <t>MR</t>
    </r>
  </si>
  <si>
    <r>
      <rPr>
        <sz val="10"/>
        <color theme="1"/>
        <rFont val="Verdana"/>
      </rPr>
      <t>125-1250CFM</t>
    </r>
  </si>
  <si>
    <r>
      <rPr>
        <sz val="10"/>
        <color theme="1"/>
        <rFont val="Verdana"/>
      </rPr>
      <t>Nos</t>
    </r>
  </si>
  <si>
    <r>
      <rPr>
        <sz val="10"/>
        <color theme="1"/>
        <rFont val="Verdana"/>
      </rPr>
      <t>k.</t>
    </r>
  </si>
  <si>
    <r>
      <rPr>
        <sz val="10"/>
        <color theme="1"/>
        <rFont val="Verdana"/>
      </rPr>
      <t>MR</t>
    </r>
  </si>
  <si>
    <r>
      <rPr>
        <sz val="10"/>
        <color theme="1"/>
        <rFont val="Verdana"/>
      </rPr>
      <t>200-2000CFM</t>
    </r>
  </si>
  <si>
    <r>
      <rPr>
        <sz val="10"/>
        <color theme="1"/>
        <rFont val="Verdana"/>
      </rPr>
      <t>Nos</t>
    </r>
  </si>
  <si>
    <r>
      <rPr>
        <sz val="10"/>
        <color theme="1"/>
        <rFont val="Verdana"/>
      </rPr>
      <t>l.</t>
    </r>
  </si>
  <si>
    <r>
      <rPr>
        <sz val="10"/>
        <color theme="1"/>
        <rFont val="Verdana"/>
      </rPr>
      <t>MR</t>
    </r>
  </si>
  <si>
    <r>
      <rPr>
        <sz val="10"/>
        <color theme="1"/>
        <rFont val="Verdana"/>
      </rPr>
      <t>300-3000CFM</t>
    </r>
  </si>
  <si>
    <r>
      <rPr>
        <sz val="10"/>
        <color theme="1"/>
        <rFont val="Verdana"/>
      </rPr>
      <t>Nos</t>
    </r>
  </si>
  <si>
    <r>
      <rPr>
        <sz val="10"/>
        <color theme="1"/>
        <rFont val="Verdana"/>
      </rPr>
      <t>MR</t>
    </r>
  </si>
  <si>
    <r>
      <rPr>
        <sz val="10"/>
        <color rgb="FF000000"/>
        <rFont val="Verdana"/>
      </rPr>
      <t xml:space="preserve">Integrators for the above VAVs to connect with the BMS system to read and modify the parameters. Integrator should release open protocol BACnet / MODBUS to integrate with third party BMS System.
</t>
    </r>
    <r>
      <rPr>
        <b/>
        <sz val="10"/>
        <color rgb="FF000000"/>
        <rFont val="Verdana"/>
      </rPr>
      <t>1 Set of intigrator for Two AHU.</t>
    </r>
  </si>
  <si>
    <r>
      <rPr>
        <sz val="10"/>
        <color theme="1"/>
        <rFont val="Verdana"/>
      </rPr>
      <t>Set</t>
    </r>
  </si>
  <si>
    <r>
      <rPr>
        <sz val="10"/>
        <color theme="1"/>
        <rFont val="Verdana"/>
      </rPr>
      <t>MR</t>
    </r>
  </si>
  <si>
    <r>
      <rPr>
        <b/>
        <sz val="10"/>
        <color rgb="FF000000"/>
        <rFont val="Verdana"/>
      </rPr>
      <t xml:space="preserve">Communication cable and conduit work: 2C x 1.5 sq.mm copper
</t>
    </r>
    <r>
      <rPr>
        <b/>
        <sz val="10"/>
        <color rgb="FF000000"/>
        <rFont val="Verdana"/>
      </rPr>
      <t>conductor shielded cable</t>
    </r>
  </si>
  <si>
    <r>
      <rPr>
        <sz val="10"/>
        <color theme="1"/>
        <rFont val="Verdana"/>
      </rPr>
      <t>Supply, laying , testing and commissioning of 2C x 1.5 sq.mm copper conductor shielded cable in existing conduit. (Communication cable)</t>
    </r>
  </si>
  <si>
    <r>
      <rPr>
        <sz val="10"/>
        <color theme="1"/>
        <rFont val="Verdana"/>
      </rPr>
      <t>RM</t>
    </r>
  </si>
  <si>
    <r>
      <rPr>
        <b/>
        <sz val="10"/>
        <color theme="1"/>
        <rFont val="Verdana"/>
      </rPr>
      <t>25 mm dia 16G MS conduit</t>
    </r>
  </si>
  <si>
    <r>
      <rPr>
        <sz val="10"/>
        <color theme="1"/>
        <rFont val="Verdana"/>
      </rPr>
      <t>1.20.2</t>
    </r>
  </si>
  <si>
    <r>
      <rPr>
        <sz val="10"/>
        <color theme="1"/>
        <rFont val="Verdana"/>
      </rPr>
      <t>Supplying and fixing of following sizes of steel conduit along with accessories in surface/recess including painting in case of surface conduit, or cutting the wall and making good the same in case of recessed conduit as required. : (Conduit for communication cable).</t>
    </r>
  </si>
  <si>
    <r>
      <rPr>
        <sz val="10"/>
        <color theme="1"/>
        <rFont val="Verdana"/>
      </rPr>
      <t>1.20.2</t>
    </r>
  </si>
  <si>
    <r>
      <rPr>
        <sz val="10"/>
        <color theme="1"/>
        <rFont val="Verdana"/>
      </rPr>
      <t>25mm dia</t>
    </r>
  </si>
  <si>
    <r>
      <rPr>
        <sz val="10"/>
        <color theme="1"/>
        <rFont val="Verdana"/>
      </rPr>
      <t>RM</t>
    </r>
  </si>
  <si>
    <r>
      <rPr>
        <sz val="10"/>
        <color theme="1"/>
        <rFont val="Verdana"/>
      </rPr>
      <t>MR</t>
    </r>
  </si>
  <si>
    <r>
      <rPr>
        <b/>
        <sz val="10"/>
        <color theme="1"/>
        <rFont val="Verdana"/>
      </rPr>
      <t>FIRE RESISTANT FLEXIBLE CANVASS CONNECTIONS</t>
    </r>
  </si>
  <si>
    <r>
      <rPr>
        <sz val="10"/>
        <color rgb="FF000000"/>
        <rFont val="Verdana"/>
      </rPr>
      <t xml:space="preserve">Supply,   fabrication,   installation   and   testing   of   the   flexible   canvass
</t>
    </r>
    <r>
      <rPr>
        <sz val="10"/>
        <color rgb="FF000000"/>
        <rFont val="Verdana"/>
      </rPr>
      <t>connections constructed out of fire resistant double canvas sleeve as per the approved shop drawings. It shall be complete with flanges, nuts and bolts and fire sealant</t>
    </r>
  </si>
  <si>
    <r>
      <rPr>
        <sz val="10"/>
        <color theme="1"/>
        <rFont val="Verdana"/>
      </rPr>
      <t>Sqm</t>
    </r>
  </si>
  <si>
    <r>
      <rPr>
        <sz val="10"/>
        <color theme="1"/>
        <rFont val="Verdana"/>
      </rPr>
      <t>MR</t>
    </r>
  </si>
  <si>
    <r>
      <rPr>
        <b/>
        <sz val="10"/>
        <color rgb="FF000000"/>
        <rFont val="Verdana"/>
      </rPr>
      <t xml:space="preserve">MS   WELDED   DUCTING   FOR   KITCHEN   EXHAUST/SCRUBBER   -
</t>
    </r>
    <r>
      <rPr>
        <b/>
        <sz val="10"/>
        <color rgb="FF000000"/>
        <rFont val="Verdana"/>
      </rPr>
      <t>EXHAUST</t>
    </r>
  </si>
  <si>
    <r>
      <rPr>
        <sz val="10"/>
        <color rgb="FF000000"/>
        <rFont val="Verdana"/>
      </rPr>
      <t xml:space="preserve">Supply, fabrication, Installation, testing and commissioning  of 16 G CRCA MS  Sheet  metal  ducts  </t>
    </r>
    <r>
      <rPr>
        <u/>
        <sz val="10"/>
        <color rgb="FF000000"/>
        <rFont val="Verdana"/>
      </rPr>
      <t>(welded)</t>
    </r>
    <r>
      <rPr>
        <sz val="10"/>
        <color rgb="FF000000"/>
        <rFont val="Verdana"/>
      </rPr>
      <t xml:space="preserve">  in  accordance  with  the  approved  shop drawings and complete with supporting arrangement as per specifications. Ducts shall be painted with fire resistant paint and shall be suitable for 250 Deg  C  and  the  supporting  arrangement  shall  be  strong  enough  to  with stand fire conditions.
</t>
    </r>
    <r>
      <rPr>
        <sz val="10"/>
        <color rgb="FF000000"/>
        <rFont val="Verdana"/>
      </rPr>
      <t xml:space="preserve">Duct supporting arrangement shall be  factory fabricated Modular Hanging
</t>
    </r>
    <r>
      <rPr>
        <sz val="10"/>
        <color rgb="FF000000"/>
        <rFont val="Verdana"/>
      </rPr>
      <t>/ Supporting system comprising Channel, Threaded rods &amp; Clamps system NOTE:   DUCTING   SUPPORTING   SYSTEM   TO   BE   DESIGNED   BY   A COMPETENT   AGENCY   TO   ENSURE   SAFETY   OF   THE   INSTALLATION, BUILDING  AND  THE  PERSONS.   CONTRACTOR  TO  HIRE  A  SPECIALISED AGENCY  FOR  DESIGN  AND  INSTALLATION  OF  THE  DUCT  SUPPORT SYSTEM AND ASSUME COMPLETE RESPONSIBILTY ON ADEQUACY OF THE SUPPORT  SYSTEM.  CONTRACTOR  TO  SUBMIT  A  CERTICATE  FROM  THE STRUCTUAL  CONSULTANT  ALONG  WITH  THE  DESIGN  AND  DRAWINGS SUBMITTED TO THE CLIENT/PMC.</t>
    </r>
  </si>
  <si>
    <r>
      <rPr>
        <sz val="10"/>
        <color theme="1"/>
        <rFont val="Verdana"/>
      </rPr>
      <t>Sq.M</t>
    </r>
  </si>
  <si>
    <r>
      <rPr>
        <sz val="10"/>
        <color theme="1"/>
        <rFont val="Verdana"/>
      </rPr>
      <t>MR</t>
    </r>
  </si>
  <si>
    <r>
      <rPr>
        <b/>
        <sz val="10"/>
        <color theme="1"/>
        <rFont val="Verdana"/>
      </rPr>
      <t>FIRE RATED PAINT - KITCHEN EXTRACT DUCTS:</t>
    </r>
  </si>
  <si>
    <r>
      <rPr>
        <sz val="10"/>
        <color theme="1"/>
        <rFont val="Verdana"/>
      </rPr>
      <t>Supply and application of Fire-Retardant Ductwork. Ducts shall be coated with Fire Resistance Coating of minimum 600–700-micron (DFT) thickness applied  over  ducts  to  provide  2  hours  Fire  Rating.  The  Fire-Resistance Coating shall be tested as per requirements of BS 476: Part 6 ‘Class O’ and  Part  7  ‘Class  1’  and  BS  476  Part  24  (Type  A  and  B)  to  analyze Stability, Integrity, and Insulation performance for 2 hours, the duct sheet shall also conform to performance criteria (stability, integrity, insulation) without insulation for 2 hours. The average and maximum temperature of unexposed faces with or without insulation shall not exceed 140 deg. Cel and  180  deg.  Cel  respectively  to  ensure  the  insulation  performance criteria. The coating shall be free or has minimum toxic elements such as lead,  mercury,  arsenic  and  has  low  VOC  less  than  50  gm/liter.  Coated Ducts  shall  be  treated  externally  with  48  Kg/m3,  50  mm  thick  mineral wool Insulation laminated with aluminium foil.</t>
    </r>
  </si>
  <si>
    <r>
      <rPr>
        <sz val="10"/>
        <color theme="1"/>
        <rFont val="Verdana"/>
      </rPr>
      <t>Sqm</t>
    </r>
  </si>
  <si>
    <r>
      <rPr>
        <sz val="10"/>
        <color theme="1"/>
        <rFont val="Verdana"/>
      </rPr>
      <t>MR</t>
    </r>
  </si>
  <si>
    <r>
      <rPr>
        <b/>
        <sz val="10"/>
        <color theme="1"/>
        <rFont val="Verdana"/>
      </rPr>
      <t>With Resin Bonded Fibre Glass Wool</t>
    </r>
  </si>
  <si>
    <r>
      <rPr>
        <sz val="10"/>
        <color rgb="FF000000"/>
        <rFont val="Verdana"/>
      </rPr>
      <t xml:space="preserve">Kitchen Exhaust Air Duct
</t>
    </r>
    <r>
      <rPr>
        <sz val="10"/>
        <color rgb="FF000000"/>
        <rFont val="Verdana"/>
      </rPr>
      <t>Supply and installation of 50 mm   thick Glasswool insulation with factory laminated Aluminium facing and  black glass tissue on the other side for supply air duct of  density 32 kg/m3, 2 layer 7ml UV cloth and protective coating    foster/starbond    30-36/chemxcoat,    2    coats     as    per    the specification, fixed with adhesive   as approved by the manufacturer.</t>
    </r>
  </si>
  <si>
    <r>
      <rPr>
        <sz val="10"/>
        <color theme="1"/>
        <rFont val="Verdana"/>
      </rPr>
      <t>Sqm</t>
    </r>
  </si>
  <si>
    <r>
      <rPr>
        <b/>
        <sz val="10"/>
        <color theme="1"/>
        <rFont val="Verdana"/>
      </rPr>
      <t>TOTAL CARRIED OVER TO SUMMARY</t>
    </r>
  </si>
  <si>
    <r>
      <rPr>
        <b/>
        <sz val="10"/>
        <color theme="1"/>
        <rFont val="Verdana"/>
      </rPr>
      <t>B HEAD C</t>
    </r>
  </si>
  <si>
    <r>
      <rPr>
        <b/>
        <sz val="10"/>
        <color theme="1"/>
        <rFont val="Verdana"/>
      </rPr>
      <t>HVAC EQUIPMENTS</t>
    </r>
  </si>
  <si>
    <r>
      <rPr>
        <b/>
        <sz val="10"/>
        <color theme="1"/>
        <rFont val="Verdana"/>
      </rPr>
      <t>MR</t>
    </r>
  </si>
  <si>
    <r>
      <rPr>
        <b/>
        <sz val="10"/>
        <color rgb="FF000000"/>
        <rFont val="Verdana"/>
      </rPr>
      <t xml:space="preserve">PUMPS  -  VERTICAL  INLINE  TYPE  (FOR  ALL  VERTICAL  INLINE
</t>
    </r>
    <r>
      <rPr>
        <b/>
        <sz val="10"/>
        <color rgb="FF000000"/>
        <rFont val="Verdana"/>
      </rPr>
      <t>PUMPS)</t>
    </r>
  </si>
  <si>
    <r>
      <rPr>
        <sz val="10"/>
        <color rgb="FF000000"/>
        <rFont val="Verdana"/>
      </rPr>
      <t xml:space="preserve">Design &amp; Supply, Installation, Testing and Commissioning  of Centrifugal pumps of Vertical Inline design split coupled with TEFC squirrel cage 4-pole induction  motor  with  IP55  protection,  class  F  insulation,  factory  skid mounted  on  a  common  base  frame.  Pump  set  shall  be  flexible  long- coupled type and with OSHA-compliant coupling guard. Pump set shall be provided   with   CI   Casing   (BS1452   Grade   220)/Ductile   Iron   casing, Gunmetal  Bronze  (BS1400  LG2C)   impeller,  SS  (BS970  416)  Shaft, mechanical seal, inertia base &amp; vibration isolation springs. Motor shall be suitable for 415V ± 10%, 50Hz ± 3%, 3-phase AC supply. Motor shall be suitable  for VFD  operation i.e.  motor suitable  for any  low voltage  &amp; low frequency range due to speed reduction / variation through VFD without heating and noise generation.
</t>
    </r>
    <r>
      <rPr>
        <sz val="10"/>
        <color rgb="FF000000"/>
        <rFont val="Verdana"/>
      </rPr>
      <t xml:space="preserve">Suction  side  :  Suction  pipe,  manual  butterfly  isolating  valve  &amp;  suction guide with strainer.
</t>
    </r>
    <r>
      <rPr>
        <sz val="10"/>
        <color rgb="FF000000"/>
        <rFont val="Verdana"/>
      </rPr>
      <t xml:space="preserve">Discharge Side:- Discharge pipe, triple duty valve comprising check valve (NRV), manual butterfly isolating valve &amp; manual balancing valve.
</t>
    </r>
    <r>
      <rPr>
        <sz val="10"/>
        <color rgb="FF000000"/>
        <rFont val="Verdana"/>
      </rPr>
      <t xml:space="preserve">Pressure gauges including ports at suction &amp; discharge.
</t>
    </r>
    <r>
      <rPr>
        <sz val="10"/>
        <color rgb="FF000000"/>
        <rFont val="Verdana"/>
      </rPr>
      <t>All these items shall be factory fitted &amp; assembled at pump manufacturer's plant.</t>
    </r>
  </si>
  <si>
    <r>
      <rPr>
        <sz val="10"/>
        <color theme="1"/>
        <rFont val="Verdana"/>
      </rPr>
      <t>Motors shall be TEFC, IP55 rated &amp; Class F Insulation.</t>
    </r>
  </si>
  <si>
    <r>
      <rPr>
        <sz val="10"/>
        <color rgb="FF000000"/>
        <rFont val="Verdana"/>
      </rPr>
      <t xml:space="preserve">Motor Effeciency shall be as per ECBC+ 2017:
</t>
    </r>
    <r>
      <rPr>
        <sz val="10"/>
        <color rgb="FF000000"/>
        <rFont val="Verdana"/>
      </rPr>
      <t>ECBC+: IE3</t>
    </r>
  </si>
  <si>
    <r>
      <rPr>
        <sz val="10"/>
        <color rgb="FF000000"/>
        <rFont val="Verdana"/>
      </rPr>
      <t xml:space="preserve">Pump Mechanical Efficiency: As per ECBC+: 2017:
</t>
    </r>
    <r>
      <rPr>
        <sz val="10"/>
        <color rgb="FF000000"/>
        <rFont val="Verdana"/>
      </rPr>
      <t>ECBC+: 75%</t>
    </r>
  </si>
  <si>
    <r>
      <rPr>
        <sz val="10"/>
        <color rgb="FF000000"/>
        <rFont val="Verdana"/>
      </rPr>
      <t xml:space="preserve">Motor for VFD driven pumps shall be suitable for VFD operation with higher grade  of  winding  insulation  to  take  care  of  heating  due  to  operation  at
</t>
    </r>
    <r>
      <rPr>
        <sz val="10"/>
        <color rgb="FF000000"/>
        <rFont val="Verdana"/>
      </rPr>
      <t>lower frequencies &amp; lower voltages.</t>
    </r>
  </si>
  <si>
    <r>
      <rPr>
        <sz val="10"/>
        <color rgb="FF000000"/>
        <rFont val="Verdana"/>
      </rPr>
      <t xml:space="preserve">Necessary civil work such as pump foundation etc are excluded from the scope of work. But necessary foundation nuts/ bolts &amp; vibration isolation
</t>
    </r>
    <r>
      <rPr>
        <sz val="10"/>
        <color rgb="FF000000"/>
        <rFont val="Verdana"/>
      </rPr>
      <t>pads to be provided.</t>
    </r>
  </si>
  <si>
    <r>
      <rPr>
        <sz val="10"/>
        <color theme="1"/>
        <rFont val="Verdana"/>
      </rPr>
      <t>Pump  Motor’s  Local  Power  Off  Locable  Push  Button  to  be  provided  with each pump set as part of pump cost as explained below:</t>
    </r>
  </si>
  <si>
    <r>
      <rPr>
        <sz val="10"/>
        <color theme="1"/>
        <rFont val="Verdana"/>
      </rPr>
      <t>●  Each  pump  motor  shall  have  a  local  OFF  push  button  station  with lockable off, fixed on the pump  cable tray drop or at a  suitable location , but near the pump for disconnection of power locally.</t>
    </r>
  </si>
  <si>
    <r>
      <rPr>
        <sz val="10"/>
        <color rgb="FF000000"/>
        <rFont val="Verdana"/>
      </rPr>
      <t xml:space="preserve">●  Cost  of supply &amp;  installation of required OFF push button  station with
</t>
    </r>
    <r>
      <rPr>
        <sz val="10"/>
        <color rgb="FF000000"/>
        <rFont val="Verdana"/>
      </rPr>
      <t>lockable OFF shall be deemed to be inclusive in the cost of the pump set in this item / sub-head.</t>
    </r>
  </si>
  <si>
    <r>
      <rPr>
        <sz val="10"/>
        <color theme="1"/>
        <rFont val="Verdana"/>
      </rPr>
      <t>● Necessary control cabling from the local isolator to pump starter / VFD in the panel shall be accounted separately on the electrical cabling sub head.</t>
    </r>
  </si>
  <si>
    <r>
      <rPr>
        <sz val="10"/>
        <color theme="1"/>
        <rFont val="Verdana"/>
      </rPr>
      <t>● Refer specifications &amp; sketches for power isolators.</t>
    </r>
  </si>
  <si>
    <r>
      <rPr>
        <sz val="10"/>
        <color theme="1"/>
        <rFont val="Verdana"/>
      </rPr>
      <t>Note: This item shall not be required with pump mounted VFD’s.</t>
    </r>
  </si>
  <si>
    <r>
      <rPr>
        <sz val="10"/>
        <color rgb="FF000000"/>
        <rFont val="Verdana"/>
      </rPr>
      <t xml:space="preserve">PUMP  MOUNTED  VED  TO  BE  PROVIDED  (ONLY  IN  CASE  OF  VARIABLE
</t>
    </r>
    <r>
      <rPr>
        <sz val="10"/>
        <color rgb="FF000000"/>
        <rFont val="Verdana"/>
      </rPr>
      <t>PUMPING SYSTEM)*:</t>
    </r>
  </si>
  <si>
    <r>
      <rPr>
        <sz val="10"/>
        <color rgb="FF000000"/>
        <rFont val="Verdana"/>
      </rPr>
      <t xml:space="preserve">Pump  mounted VFD  with disconnect  switch for  variable  flow pumps .i.e.
</t>
    </r>
    <r>
      <rPr>
        <b/>
        <sz val="10"/>
        <color rgb="FF000000"/>
        <rFont val="Verdana"/>
      </rPr>
      <t>Note:   Pump  mounted  VFD  shall  be  complete  with  the  following AND To be provided as part of the pump package and shall consist of:</t>
    </r>
  </si>
  <si>
    <r>
      <rPr>
        <sz val="10"/>
        <color theme="1"/>
        <rFont val="Verdana"/>
      </rPr>
      <t>Pump Mounted IP 55 VFD with disconnect switch.</t>
    </r>
  </si>
  <si>
    <r>
      <rPr>
        <sz val="10"/>
        <color theme="1"/>
        <rFont val="Verdana"/>
      </rPr>
      <t>VFD to have THDI not more than 40%</t>
    </r>
  </si>
  <si>
    <r>
      <rPr>
        <sz val="10"/>
        <color theme="1"/>
        <rFont val="Verdana"/>
      </rPr>
      <t>Output cabling from pump mounted VFD to Pump motor.</t>
    </r>
  </si>
  <si>
    <r>
      <rPr>
        <sz val="10"/>
        <color rgb="FF000000"/>
        <rFont val="Verdana"/>
      </rPr>
      <t xml:space="preserve">VFD shall have display of all the necessary electrical parameters and pump
</t>
    </r>
    <r>
      <rPr>
        <sz val="10"/>
        <color rgb="FF000000"/>
        <rFont val="Verdana"/>
      </rPr>
      <t>flow &amp; head.</t>
    </r>
  </si>
  <si>
    <r>
      <rPr>
        <sz val="10"/>
        <color theme="1"/>
        <rFont val="Verdana"/>
      </rPr>
      <t>EMC &amp;  RFI FILTRATION</t>
    </r>
  </si>
  <si>
    <r>
      <rPr>
        <sz val="10"/>
        <color rgb="FF000000"/>
        <rFont val="Verdana"/>
      </rPr>
      <t xml:space="preserve">VFD’s  for  sensitive  installations   where  life  critical  data  communications are of importance ,like:
</t>
    </r>
    <r>
      <rPr>
        <sz val="10"/>
        <color rgb="FF000000"/>
        <rFont val="Verdana"/>
      </rPr>
      <t xml:space="preserve">• Hospitals
</t>
    </r>
    <r>
      <rPr>
        <sz val="10"/>
        <color rgb="FF000000"/>
        <rFont val="Verdana"/>
      </rPr>
      <t xml:space="preserve">• Airports
</t>
    </r>
    <r>
      <rPr>
        <sz val="10"/>
        <color rgb="FF000000"/>
        <rFont val="Verdana"/>
      </rPr>
      <t xml:space="preserve">• Electronic Industry
</t>
    </r>
    <r>
      <rPr>
        <sz val="10"/>
        <color rgb="FF000000"/>
        <rFont val="Verdana"/>
      </rPr>
      <t xml:space="preserve">• Data centres
</t>
    </r>
    <r>
      <rPr>
        <sz val="10"/>
        <color rgb="FF000000"/>
        <rFont val="Verdana"/>
      </rPr>
      <t xml:space="preserve">• Communication centres
</t>
    </r>
    <r>
      <rPr>
        <sz val="10"/>
        <color rgb="FF000000"/>
        <rFont val="Verdana"/>
      </rPr>
      <t xml:space="preserve">These  installations  Must  have  ‘C1’  category  of  RFI &amp;  EMC  filters  for  50
</t>
    </r>
    <r>
      <rPr>
        <sz val="10"/>
        <color rgb="FF000000"/>
        <rFont val="Verdana"/>
      </rPr>
      <t xml:space="preserve">meters of cable length. These are applicable to all the VFD’s of pumps .
</t>
    </r>
    <r>
      <rPr>
        <sz val="10"/>
        <color rgb="FF000000"/>
        <rFont val="Verdana"/>
      </rPr>
      <t xml:space="preserve">For these above mentioned critical applications, if  pump motors are more
</t>
    </r>
    <r>
      <rPr>
        <sz val="10"/>
        <color rgb="FF000000"/>
        <rFont val="Verdana"/>
      </rPr>
      <t xml:space="preserve">than 90Kw, then ‘C2’ category of filters to be used if ‘ C1’ is not available.
</t>
    </r>
    <r>
      <rPr>
        <sz val="10"/>
        <color rgb="FF000000"/>
        <rFont val="Verdana"/>
      </rPr>
      <t xml:space="preserve">VFD’s for normal buildings and others similar installations  shall have ‘C3’
</t>
    </r>
    <r>
      <rPr>
        <sz val="10"/>
        <color rgb="FF000000"/>
        <rFont val="Verdana"/>
      </rPr>
      <t>category of RFI &amp;  EMC filter for pumps.</t>
    </r>
  </si>
  <si>
    <r>
      <rPr>
        <sz val="10"/>
        <color rgb="FF000000"/>
        <rFont val="Verdana"/>
      </rPr>
      <t xml:space="preserve">MICROPROCESSOR  BASED  PUMP  CONTROLLER  (Pump  mounted  /  wall mounted   pump   controller)   (ONLY   IN   CASE   OF   VARIABLE   PUMPING
</t>
    </r>
    <r>
      <rPr>
        <sz val="10"/>
        <color rgb="FF000000"/>
        <rFont val="Verdana"/>
      </rPr>
      <t>SYSTEM)*</t>
    </r>
  </si>
  <si>
    <r>
      <rPr>
        <sz val="10"/>
        <color theme="1"/>
        <rFont val="Verdana"/>
      </rPr>
      <t>Pump Controller With parallel pumping software to manage :</t>
    </r>
  </si>
  <si>
    <r>
      <rPr>
        <sz val="10"/>
        <color theme="1"/>
        <rFont val="Verdana"/>
      </rPr>
      <t>sequential operation of pumps</t>
    </r>
  </si>
  <si>
    <r>
      <rPr>
        <sz val="10"/>
        <color theme="1"/>
        <rFont val="Verdana"/>
      </rPr>
      <t>Equal run hour of pumps</t>
    </r>
  </si>
  <si>
    <r>
      <rPr>
        <sz val="10"/>
        <color theme="1"/>
        <rFont val="Verdana"/>
      </rPr>
      <t>To have necessary 'DO', 'DI', 'AI', 'AO' to receive input from pressure / temperature sensors &amp; to modulate / to give command to pumps.</t>
    </r>
  </si>
  <si>
    <r>
      <rPr>
        <sz val="10"/>
        <color theme="1"/>
        <rFont val="Verdana"/>
      </rPr>
      <t>Should be BMS compatible.</t>
    </r>
  </si>
  <si>
    <r>
      <rPr>
        <sz val="10"/>
        <color rgb="FF000000"/>
        <rFont val="Verdana"/>
      </rPr>
      <t xml:space="preserve">Pressure   sensors   /   temperature   sensors   with   necessary   cabling   &amp;
</t>
    </r>
    <r>
      <rPr>
        <sz val="10"/>
        <color rgb="FF000000"/>
        <rFont val="Verdana"/>
      </rPr>
      <t>conduiting</t>
    </r>
  </si>
  <si>
    <r>
      <rPr>
        <sz val="10"/>
        <color theme="1"/>
        <rFont val="Verdana"/>
      </rPr>
      <t>Pumps shall be selected for following performance characteristics.</t>
    </r>
  </si>
  <si>
    <r>
      <rPr>
        <sz val="10"/>
        <color rgb="FF000000"/>
        <rFont val="Verdana"/>
      </rPr>
      <t xml:space="preserve">Note: Cost to include visit to  OEM factory before delivery of materials at
</t>
    </r>
    <r>
      <rPr>
        <sz val="10"/>
        <color rgb="FF000000"/>
        <rFont val="Verdana"/>
      </rPr>
      <t xml:space="preserve">site for a FAT, process and quality inspection of the proposed materials in
</t>
    </r>
    <r>
      <rPr>
        <sz val="10"/>
        <color rgb="FF000000"/>
        <rFont val="Verdana"/>
      </rPr>
      <t>the tender under this head for 3 persons from user / project manager / designer firm.</t>
    </r>
  </si>
  <si>
    <r>
      <rPr>
        <sz val="10"/>
        <color theme="1"/>
        <rFont val="Verdana"/>
      </rPr>
      <t>MR</t>
    </r>
  </si>
  <si>
    <r>
      <rPr>
        <b/>
        <sz val="10"/>
        <color rgb="FF000000"/>
        <rFont val="Verdana"/>
      </rPr>
      <t xml:space="preserve">PRIMARY CHILLED WATER PUMPS - VARIABLE FLOW - VARIABLE
</t>
    </r>
    <r>
      <rPr>
        <b/>
        <sz val="10"/>
        <color rgb="FF000000"/>
        <rFont val="Verdana"/>
      </rPr>
      <t>SPEED (Terrace floor)</t>
    </r>
  </si>
  <si>
    <r>
      <rPr>
        <sz val="10"/>
        <color theme="1"/>
        <rFont val="Verdana"/>
      </rPr>
      <t>Chilled water flow  144USGPM</t>
    </r>
  </si>
  <si>
    <r>
      <rPr>
        <sz val="10"/>
        <color theme="1"/>
        <rFont val="Verdana"/>
      </rPr>
      <t>Head  35 Mtr</t>
    </r>
  </si>
  <si>
    <r>
      <rPr>
        <sz val="10"/>
        <color theme="1"/>
        <rFont val="Verdana"/>
      </rPr>
      <t>Motor  20HP (Approx.)</t>
    </r>
  </si>
  <si>
    <r>
      <rPr>
        <sz val="10"/>
        <color theme="1"/>
        <rFont val="Verdana"/>
      </rPr>
      <t>Working Pressure 175 PSI (12 Bar = 12 kg / Cm²)</t>
    </r>
  </si>
  <si>
    <r>
      <rPr>
        <sz val="10"/>
        <color theme="1"/>
        <rFont val="Verdana"/>
      </rPr>
      <t>Pump to be  complete with Pump mounted VFD.</t>
    </r>
  </si>
  <si>
    <r>
      <rPr>
        <sz val="10"/>
        <color theme="1"/>
        <rFont val="Verdana"/>
      </rPr>
      <t>Chilled water pumps with VFD as described above. (3W + 1S)</t>
    </r>
  </si>
  <si>
    <r>
      <rPr>
        <sz val="10"/>
        <color theme="1"/>
        <rFont val="Verdana"/>
      </rPr>
      <t>Nos.</t>
    </r>
  </si>
  <si>
    <r>
      <rPr>
        <b/>
        <sz val="10"/>
        <color theme="1"/>
        <rFont val="Verdana"/>
      </rPr>
      <t>MR</t>
    </r>
  </si>
  <si>
    <r>
      <rPr>
        <b/>
        <sz val="10"/>
        <color rgb="FF000000"/>
        <rFont val="Verdana"/>
      </rPr>
      <t xml:space="preserve">MICROPROCESSOR BASED PUMP CONTROLLER (ONLY IN CASE OF
</t>
    </r>
    <r>
      <rPr>
        <b/>
        <sz val="10"/>
        <color rgb="FF000000"/>
        <rFont val="Verdana"/>
      </rPr>
      <t>VARIABLE PUMPING SYSTEM)</t>
    </r>
  </si>
  <si>
    <r>
      <rPr>
        <sz val="10"/>
        <color theme="1"/>
        <rFont val="Verdana"/>
      </rPr>
      <t>Set</t>
    </r>
  </si>
  <si>
    <r>
      <rPr>
        <sz val="10"/>
        <color theme="1"/>
        <rFont val="Verdana"/>
      </rPr>
      <t>Pump Controller With parallel pumping software to manage :</t>
    </r>
  </si>
  <si>
    <r>
      <rPr>
        <sz val="10"/>
        <color theme="1"/>
        <rFont val="Verdana"/>
      </rPr>
      <t>sequential operation of pumps</t>
    </r>
  </si>
  <si>
    <r>
      <rPr>
        <sz val="10"/>
        <color theme="1"/>
        <rFont val="Verdana"/>
      </rPr>
      <t>Equal run hour of pumps</t>
    </r>
  </si>
  <si>
    <r>
      <rPr>
        <sz val="10"/>
        <color theme="1"/>
        <rFont val="Verdana"/>
      </rPr>
      <t>To have necessary 'DO', 'DI', 'AI', 'AO' to receive input from pressure / temperature sensors &amp; to modulate / to give command to pumps.</t>
    </r>
  </si>
  <si>
    <r>
      <rPr>
        <sz val="10"/>
        <color theme="1"/>
        <rFont val="Verdana"/>
      </rPr>
      <t>Should be BMS compatible.</t>
    </r>
  </si>
  <si>
    <r>
      <rPr>
        <sz val="10"/>
        <color rgb="FF000000"/>
        <rFont val="Verdana"/>
      </rPr>
      <t xml:space="preserve">Pressure   sensors   /   temperature   sensors   with   necessary   cabling   &amp;
</t>
    </r>
    <r>
      <rPr>
        <sz val="10"/>
        <color rgb="FF000000"/>
        <rFont val="Verdana"/>
      </rPr>
      <t>conduiting</t>
    </r>
  </si>
  <si>
    <r>
      <rPr>
        <b/>
        <sz val="10"/>
        <color theme="1"/>
        <rFont val="Verdana"/>
      </rPr>
      <t>MR</t>
    </r>
  </si>
  <si>
    <r>
      <rPr>
        <b/>
        <sz val="10"/>
        <color theme="1"/>
        <rFont val="Verdana"/>
      </rPr>
      <t>AIR FILTRATION</t>
    </r>
  </si>
  <si>
    <r>
      <rPr>
        <b/>
        <sz val="10"/>
        <color theme="1"/>
        <rFont val="Verdana"/>
      </rPr>
      <t>Active Air Purification (Bipolar Ionization)</t>
    </r>
  </si>
  <si>
    <r>
      <rPr>
        <sz val="10"/>
        <color rgb="FF000000"/>
        <rFont val="Verdana"/>
      </rPr>
      <t xml:space="preserve">Supply, Installation, Testing, and Commissioning of Plasma Air Ionizer to improve   Indoor   air   quality   by   using   Bi-polar   Ionization   technology, producing  equal  amounts  of  positive  and  negative  oxygen  ions.  The system kills microorganism and pathogens, remove Odour, and VOC and reduce  dust  particle  /particulate  matter  /  PM2.5  /PM  10.The  product should UL / Intertek listed.
</t>
    </r>
    <r>
      <rPr>
        <sz val="10"/>
        <color rgb="FF000000"/>
        <rFont val="Verdana"/>
      </rPr>
      <t>The  product  has  minimal  or  negligible  pressure  drop  &amp;amp;  low  power consumption.  The  life  of the  Tube  should  be  17,600* hours.  The power consumption  of  3000  CFM  units  should  not  exceed  8  watts.  The  power consumption  of 5000 CFM units should not exceed 16 watts. The power consumption  of  10000  CFM  units  should  not  exceed  50  watts.  The  unit shall  be  installed  inside  on  Supply  Duct  utilizing  a  contractor-supply mounting bracket. Power to the ionization unit should be interlocked with the  system  fan  operation.  A  five-position  ion  level control knob  shall be their to vary the ion output between 50% and 100%.Tube-Based Model Should  be  Underwriters  Laboratories  Inc.Standards  UL867.  Classified  as plenum rated per UL 2043.</t>
    </r>
  </si>
  <si>
    <r>
      <rPr>
        <sz val="10"/>
        <color theme="1"/>
        <rFont val="Verdana"/>
      </rPr>
      <t>2.1.1</t>
    </r>
  </si>
  <si>
    <r>
      <rPr>
        <sz val="10"/>
        <color theme="1"/>
        <rFont val="Verdana"/>
      </rPr>
      <t>MR</t>
    </r>
  </si>
  <si>
    <r>
      <rPr>
        <sz val="10"/>
        <color theme="1"/>
        <rFont val="Verdana"/>
      </rPr>
      <t>upto 2000 CFM</t>
    </r>
  </si>
  <si>
    <r>
      <rPr>
        <sz val="10"/>
        <color theme="1"/>
        <rFont val="Verdana"/>
      </rPr>
      <t>Nos.</t>
    </r>
  </si>
  <si>
    <r>
      <rPr>
        <sz val="10"/>
        <color theme="1"/>
        <rFont val="Verdana"/>
      </rPr>
      <t>2.1.2</t>
    </r>
  </si>
  <si>
    <r>
      <rPr>
        <sz val="10"/>
        <color theme="1"/>
        <rFont val="Verdana"/>
      </rPr>
      <t>MR</t>
    </r>
  </si>
  <si>
    <r>
      <rPr>
        <sz val="10"/>
        <color theme="1"/>
        <rFont val="Verdana"/>
      </rPr>
      <t>2001 CFM to 6500 CFM</t>
    </r>
  </si>
  <si>
    <r>
      <rPr>
        <sz val="10"/>
        <color theme="1"/>
        <rFont val="Verdana"/>
      </rPr>
      <t>Nos.</t>
    </r>
  </si>
  <si>
    <r>
      <rPr>
        <sz val="10"/>
        <color theme="1"/>
        <rFont val="Verdana"/>
      </rPr>
      <t>2.1.3</t>
    </r>
  </si>
  <si>
    <r>
      <rPr>
        <sz val="10"/>
        <color theme="1"/>
        <rFont val="Verdana"/>
      </rPr>
      <t>MR</t>
    </r>
  </si>
  <si>
    <r>
      <rPr>
        <sz val="10"/>
        <color theme="1"/>
        <rFont val="Verdana"/>
      </rPr>
      <t>6501 CFM to 18000 CFM</t>
    </r>
  </si>
  <si>
    <r>
      <rPr>
        <sz val="10"/>
        <color theme="1"/>
        <rFont val="Verdana"/>
      </rPr>
      <t>Nos.</t>
    </r>
  </si>
  <si>
    <r>
      <rPr>
        <sz val="10"/>
        <color theme="1"/>
        <rFont val="Verdana"/>
      </rPr>
      <t>2.1.4</t>
    </r>
  </si>
  <si>
    <r>
      <rPr>
        <sz val="10"/>
        <color theme="1"/>
        <rFont val="Verdana"/>
      </rPr>
      <t>MR</t>
    </r>
  </si>
  <si>
    <r>
      <rPr>
        <sz val="10"/>
        <color theme="1"/>
        <rFont val="Verdana"/>
      </rPr>
      <t>18001 CFM to 28000 CFM</t>
    </r>
  </si>
  <si>
    <r>
      <rPr>
        <sz val="10"/>
        <color theme="1"/>
        <rFont val="Verdana"/>
      </rPr>
      <t>Nos.</t>
    </r>
  </si>
  <si>
    <r>
      <rPr>
        <b/>
        <sz val="10"/>
        <color theme="1"/>
        <rFont val="Verdana"/>
      </rPr>
      <t>Chemical Biological &amp; Radiological (CBR) Filter</t>
    </r>
  </si>
  <si>
    <r>
      <rPr>
        <sz val="10"/>
        <color rgb="FF000000"/>
        <rFont val="Verdana"/>
      </rPr>
      <t xml:space="preserve">Biological  &amp;  Radiological  (CBR)  Filtration  System  suitable  for  installation inside AHU / TFA / Ventilation Cabinet, complete with factory assembled housing, mounting frames, sealing gaskets and all necessary accessories. The unit shall comprise pre-filter section, electrostatic particle charging / ionization section (non-ozone generating type), high efficiency particulate filtration   media   (minimum   H13   as   per   EN   1822   /   ISO   29463   or equivalent),  and  gas  phase  filtration  section  with  activated  carbon  / impregnated media for removal of gaseous contaminants (VOC, SOx, NOx etc.), with antimicrobial treated filter media.
</t>
    </r>
    <r>
      <rPr>
        <sz val="10"/>
        <color rgb="FF000000"/>
        <rFont val="Verdana"/>
      </rPr>
      <t xml:space="preserve">Technical Requirements:
</t>
    </r>
    <r>
      <rPr>
        <sz val="10"/>
        <color rgb="FF000000"/>
        <rFont val="Verdana"/>
      </rPr>
      <t xml:space="preserve">• Suitable for 1000 / 2000 CFM (as per schedule).
</t>
    </r>
    <r>
      <rPr>
        <sz val="10"/>
        <color rgb="FF000000"/>
        <rFont val="Verdana"/>
      </rPr>
      <t xml:space="preserve">• Filtration efficiency as per relevant EN / ISO standards.
</t>
    </r>
    <r>
      <rPr>
        <sz val="10"/>
        <color rgb="FF000000"/>
        <rFont val="Verdana"/>
      </rPr>
      <t xml:space="preserve">•  Initial  pressure  drop  as  per  manufacturer’s  standard  design  at  rated airflow.
</t>
    </r>
    <r>
      <rPr>
        <sz val="10"/>
        <color rgb="FF000000"/>
        <rFont val="Verdana"/>
      </rPr>
      <t xml:space="preserve">• Filter depth minimum 350 mm.
</t>
    </r>
    <r>
      <rPr>
        <sz val="10"/>
        <color rgb="FF000000"/>
        <rFont val="Verdana"/>
      </rPr>
      <t xml:space="preserve">WELL Compliance Requirement:
</t>
    </r>
    <r>
      <rPr>
        <sz val="10"/>
        <color rgb="FF000000"/>
        <rFont val="Verdana"/>
      </rPr>
      <t>The filtration system shall be capable of supporting compliance with WELL Building   Standard   air   quality   performance   requirements   including particulate  matter  reduction  (PM2.5,  PM10)  and  reduction  of  gaseous contaminants (such as VOCs), as per project design criteria. Manufacturer shall submit third-party laboratory test reports as per relevant EN / ISO</t>
    </r>
  </si>
  <si>
    <r>
      <rPr>
        <sz val="10"/>
        <color theme="1"/>
        <rFont val="Verdana"/>
      </rPr>
      <t>2.2.1</t>
    </r>
  </si>
  <si>
    <r>
      <rPr>
        <sz val="10"/>
        <color theme="1"/>
        <rFont val="Verdana"/>
      </rPr>
      <t>MR</t>
    </r>
  </si>
  <si>
    <r>
      <rPr>
        <sz val="10"/>
        <color theme="1"/>
        <rFont val="Verdana"/>
      </rPr>
      <t>800-1000 CFM</t>
    </r>
  </si>
  <si>
    <r>
      <rPr>
        <sz val="10"/>
        <color theme="1"/>
        <rFont val="Verdana"/>
      </rPr>
      <t>Nos.</t>
    </r>
  </si>
  <si>
    <r>
      <rPr>
        <sz val="10"/>
        <color theme="1"/>
        <rFont val="Verdana"/>
      </rPr>
      <t>2.2.2</t>
    </r>
  </si>
  <si>
    <r>
      <rPr>
        <sz val="10"/>
        <color theme="1"/>
        <rFont val="Verdana"/>
      </rPr>
      <t>MR</t>
    </r>
  </si>
  <si>
    <r>
      <rPr>
        <sz val="10"/>
        <color theme="1"/>
        <rFont val="Verdana"/>
      </rPr>
      <t>2000 CFM</t>
    </r>
  </si>
  <si>
    <r>
      <rPr>
        <sz val="10"/>
        <color theme="1"/>
        <rFont val="Verdana"/>
      </rPr>
      <t>Nos.</t>
    </r>
  </si>
  <si>
    <r>
      <rPr>
        <sz val="10"/>
        <color theme="1"/>
        <rFont val="Verdana"/>
      </rPr>
      <t>2.2.3</t>
    </r>
  </si>
  <si>
    <r>
      <rPr>
        <sz val="10"/>
        <color theme="1"/>
        <rFont val="Verdana"/>
      </rPr>
      <t>MR</t>
    </r>
  </si>
  <si>
    <r>
      <rPr>
        <sz val="10"/>
        <color theme="1"/>
        <rFont val="Verdana"/>
      </rPr>
      <t>2100-3000 CFM</t>
    </r>
  </si>
  <si>
    <r>
      <rPr>
        <sz val="10"/>
        <color theme="1"/>
        <rFont val="Verdana"/>
      </rPr>
      <t>Nos.</t>
    </r>
  </si>
  <si>
    <r>
      <rPr>
        <sz val="10"/>
        <color theme="1"/>
        <rFont val="Verdana"/>
      </rPr>
      <t>2.2.4</t>
    </r>
  </si>
  <si>
    <r>
      <rPr>
        <sz val="10"/>
        <color theme="1"/>
        <rFont val="Verdana"/>
      </rPr>
      <t>MR</t>
    </r>
  </si>
  <si>
    <r>
      <rPr>
        <sz val="10"/>
        <color theme="1"/>
        <rFont val="Verdana"/>
      </rPr>
      <t>5000 CFM</t>
    </r>
  </si>
  <si>
    <r>
      <rPr>
        <sz val="10"/>
        <color theme="1"/>
        <rFont val="Verdana"/>
      </rPr>
      <t>Nos.</t>
    </r>
  </si>
  <si>
    <r>
      <rPr>
        <sz val="10"/>
        <color theme="1"/>
        <rFont val="Verdana"/>
      </rPr>
      <t>2.2.5</t>
    </r>
  </si>
  <si>
    <r>
      <rPr>
        <sz val="10"/>
        <color theme="1"/>
        <rFont val="Verdana"/>
      </rPr>
      <t>MR</t>
    </r>
  </si>
  <si>
    <r>
      <rPr>
        <sz val="10"/>
        <color theme="1"/>
        <rFont val="Verdana"/>
      </rPr>
      <t>6000 CFM</t>
    </r>
  </si>
  <si>
    <r>
      <rPr>
        <sz val="10"/>
        <color theme="1"/>
        <rFont val="Verdana"/>
      </rPr>
      <t>Nos.</t>
    </r>
  </si>
  <si>
    <r>
      <rPr>
        <sz val="10"/>
        <color theme="1"/>
        <rFont val="Verdana"/>
      </rPr>
      <t>2.2.6</t>
    </r>
  </si>
  <si>
    <r>
      <rPr>
        <sz val="10"/>
        <color theme="1"/>
        <rFont val="Verdana"/>
      </rPr>
      <t>MR</t>
    </r>
  </si>
  <si>
    <r>
      <rPr>
        <sz val="10"/>
        <color theme="1"/>
        <rFont val="Verdana"/>
      </rPr>
      <t>8000 CFM</t>
    </r>
  </si>
  <si>
    <r>
      <rPr>
        <sz val="10"/>
        <color theme="1"/>
        <rFont val="Verdana"/>
      </rPr>
      <t>Nos.</t>
    </r>
  </si>
  <si>
    <r>
      <rPr>
        <sz val="10"/>
        <color theme="1"/>
        <rFont val="Verdana"/>
      </rPr>
      <t>2.2.7</t>
    </r>
  </si>
  <si>
    <r>
      <rPr>
        <sz val="10"/>
        <color theme="1"/>
        <rFont val="Verdana"/>
      </rPr>
      <t>MR</t>
    </r>
  </si>
  <si>
    <r>
      <rPr>
        <sz val="10"/>
        <color theme="1"/>
        <rFont val="Verdana"/>
      </rPr>
      <t>12000 CFM</t>
    </r>
  </si>
  <si>
    <r>
      <rPr>
        <sz val="10"/>
        <color theme="1"/>
        <rFont val="Verdana"/>
      </rPr>
      <t>Nos.</t>
    </r>
  </si>
  <si>
    <r>
      <rPr>
        <sz val="10"/>
        <color theme="1"/>
        <rFont val="Verdana"/>
      </rPr>
      <t>2.2.8</t>
    </r>
  </si>
  <si>
    <r>
      <rPr>
        <sz val="10"/>
        <color theme="1"/>
        <rFont val="Verdana"/>
      </rPr>
      <t>MR</t>
    </r>
  </si>
  <si>
    <r>
      <rPr>
        <sz val="10"/>
        <color theme="1"/>
        <rFont val="Verdana"/>
      </rPr>
      <t>17000 CFM</t>
    </r>
  </si>
  <si>
    <r>
      <rPr>
        <sz val="10"/>
        <color theme="1"/>
        <rFont val="Verdana"/>
      </rPr>
      <t>Nos.</t>
    </r>
  </si>
  <si>
    <r>
      <rPr>
        <sz val="10"/>
        <color theme="1"/>
        <rFont val="Verdana"/>
      </rPr>
      <t>2.2.9</t>
    </r>
  </si>
  <si>
    <r>
      <rPr>
        <sz val="10"/>
        <color theme="1"/>
        <rFont val="Verdana"/>
      </rPr>
      <t>MR</t>
    </r>
  </si>
  <si>
    <r>
      <rPr>
        <sz val="10"/>
        <color theme="1"/>
        <rFont val="Verdana"/>
      </rPr>
      <t>20000 CFM</t>
    </r>
  </si>
  <si>
    <r>
      <rPr>
        <sz val="10"/>
        <color theme="1"/>
        <rFont val="Verdana"/>
      </rPr>
      <t>Nos.</t>
    </r>
  </si>
  <si>
    <r>
      <rPr>
        <sz val="10"/>
        <color theme="1"/>
        <rFont val="Verdana"/>
      </rPr>
      <t>MR</t>
    </r>
  </si>
  <si>
    <r>
      <rPr>
        <sz val="10"/>
        <color theme="1"/>
        <rFont val="Verdana"/>
      </rPr>
      <t>22500 CFM</t>
    </r>
  </si>
  <si>
    <r>
      <rPr>
        <sz val="10"/>
        <color theme="1"/>
        <rFont val="Verdana"/>
      </rPr>
      <t>Nos.</t>
    </r>
  </si>
  <si>
    <r>
      <rPr>
        <sz val="10"/>
        <color theme="1"/>
        <rFont val="Verdana"/>
      </rPr>
      <t>MR</t>
    </r>
  </si>
  <si>
    <r>
      <rPr>
        <sz val="10"/>
        <color theme="1"/>
        <rFont val="Verdana"/>
      </rPr>
      <t>25250 CFM</t>
    </r>
  </si>
  <si>
    <r>
      <rPr>
        <sz val="10"/>
        <color theme="1"/>
        <rFont val="Verdana"/>
      </rPr>
      <t>Nos.</t>
    </r>
  </si>
  <si>
    <r>
      <rPr>
        <sz val="10"/>
        <color theme="1"/>
        <rFont val="Verdana"/>
      </rPr>
      <t>MR</t>
    </r>
  </si>
  <si>
    <r>
      <rPr>
        <b/>
        <sz val="10"/>
        <color theme="1"/>
        <rFont val="Verdana"/>
      </rPr>
      <t>INLINE FANS</t>
    </r>
  </si>
  <si>
    <r>
      <rPr>
        <sz val="10"/>
        <color theme="1"/>
        <rFont val="Verdana"/>
      </rPr>
      <t>Supply,  installation,  testing  &amp;  commissioning  of  Circular  /  Rectangular Inline  Fans  made  out  of  galvanized  steel.  The  impeller  with  backward blades  shall be  powered  by 1/3  Ph.  motor.  The  Rectangular  Inline  Fans shall be insulated with polyurethene foam having good sound absorbing &amp; moisture resistance features. The motors shall be 1/3 Ph., 2 Pole. The fan &amp; motor assembly shall be low noise.The fan shall be suitable for speed control by using a fan regulator.</t>
    </r>
  </si>
  <si>
    <r>
      <rPr>
        <sz val="10"/>
        <color theme="1"/>
        <rFont val="Verdana"/>
      </rPr>
      <t>Circular/Rectangle Inline Fan</t>
    </r>
  </si>
  <si>
    <r>
      <rPr>
        <sz val="10"/>
        <color theme="1"/>
        <rFont val="Verdana"/>
      </rPr>
      <t>MR</t>
    </r>
  </si>
  <si>
    <r>
      <rPr>
        <sz val="10"/>
        <color theme="1"/>
        <rFont val="Verdana"/>
      </rPr>
      <t>700 CFM at 20 mm Static</t>
    </r>
  </si>
  <si>
    <r>
      <rPr>
        <sz val="10"/>
        <color theme="1"/>
        <rFont val="Verdana"/>
      </rPr>
      <t>Nos.</t>
    </r>
  </si>
  <si>
    <r>
      <rPr>
        <sz val="10"/>
        <color theme="1"/>
        <rFont val="Verdana"/>
      </rPr>
      <t>MR</t>
    </r>
  </si>
  <si>
    <r>
      <rPr>
        <sz val="10"/>
        <color theme="1"/>
        <rFont val="Verdana"/>
      </rPr>
      <t>300 CFM at 20 mm Static  for Battery Ex.</t>
    </r>
  </si>
  <si>
    <r>
      <rPr>
        <sz val="10"/>
        <color theme="1"/>
        <rFont val="Verdana"/>
      </rPr>
      <t>Nos.</t>
    </r>
  </si>
  <si>
    <r>
      <rPr>
        <sz val="10"/>
        <color theme="1"/>
        <rFont val="Verdana"/>
      </rPr>
      <t>MR</t>
    </r>
  </si>
  <si>
    <r>
      <rPr>
        <b/>
        <sz val="10"/>
        <color theme="1"/>
        <rFont val="Verdana"/>
      </rPr>
      <t>AXIAL FAN</t>
    </r>
  </si>
  <si>
    <r>
      <rPr>
        <sz val="10"/>
        <color theme="1"/>
        <rFont val="Verdana"/>
      </rPr>
      <t>MR</t>
    </r>
  </si>
  <si>
    <r>
      <rPr>
        <sz val="10"/>
        <color theme="1"/>
        <rFont val="Verdana"/>
      </rPr>
      <t>FRESH AIR FAN FOR PUMP ROOM</t>
    </r>
  </si>
  <si>
    <r>
      <rPr>
        <sz val="10"/>
        <color rgb="FF000000"/>
        <rFont val="Verdana"/>
      </rPr>
      <t xml:space="preserve">Supply, installation, testing &amp; commissioning of  Tube/Vane Axial Fan with impeller having adjustable pitch angle blades and complete with suitable motor &amp; drive  assembly. Motor shall also be suitable for  Variable  Speed drive.  Motor  shall  be  suitable  for  415  ±  10%  V,  3  Phase,  4  Wire,  50
</t>
    </r>
    <r>
      <rPr>
        <sz val="10"/>
        <color rgb="FF000000"/>
        <rFont val="Verdana"/>
      </rPr>
      <t xml:space="preserve">±5%Hz  electrical  supply.  Motor  shall  be  IP-55.  Fans  shall  be  AMCA Certified &amp; listed for performance &amp; sound power level (Vendor to confirm if  the fan selection offered is certified for performance and sound or only for performance).
</t>
    </r>
    <r>
      <rPr>
        <sz val="10"/>
        <color rgb="FF000000"/>
        <rFont val="Verdana"/>
      </rPr>
      <t>The complete fan assembly alongwith the motor &amp; drive assembly shall be fire  rated  i.e. suitable  to operate  upto 250°C  for 2  hours and  meet the duty  parameters.  Fans  for  high  temp.  application  shall  be  UL  or  EN Certified in addition to AMCA certified &amp; listed. Motor shall be IP55,  class H insulation.The fan duty shall be :</t>
    </r>
  </si>
  <si>
    <r>
      <rPr>
        <sz val="10"/>
        <color theme="1"/>
        <rFont val="Verdana"/>
      </rPr>
      <t>Air Qty     :  1400 CFM</t>
    </r>
  </si>
  <si>
    <r>
      <rPr>
        <sz val="10"/>
        <color theme="1"/>
        <rFont val="Verdana"/>
      </rPr>
      <t>Total Static Pressure : 30 mm Wg</t>
    </r>
  </si>
  <si>
    <r>
      <rPr>
        <sz val="10"/>
        <color theme="1"/>
        <rFont val="Verdana"/>
      </rPr>
      <t>Fan Speed :  2850rpm approx.</t>
    </r>
  </si>
  <si>
    <r>
      <rPr>
        <sz val="10"/>
        <color theme="1"/>
        <rFont val="Verdana"/>
      </rPr>
      <t>Fan motor : 0.75 KW approx.</t>
    </r>
  </si>
  <si>
    <r>
      <rPr>
        <sz val="10"/>
        <color theme="1"/>
        <rFont val="Verdana"/>
      </rPr>
      <t>Fan dia :  400mm approx.</t>
    </r>
  </si>
  <si>
    <r>
      <rPr>
        <b/>
        <sz val="10"/>
        <color theme="1"/>
        <rFont val="Verdana"/>
      </rPr>
      <t>Motor Efficiency Class: IE3* as per IEC 60034-30-1</t>
    </r>
  </si>
  <si>
    <r>
      <rPr>
        <b/>
        <sz val="10"/>
        <color rgb="FF000000"/>
        <rFont val="Verdana"/>
      </rPr>
      <t xml:space="preserve">Motors shall be TEFC, Squirrel cage induction motors, IP 55, Class
</t>
    </r>
    <r>
      <rPr>
        <b/>
        <sz val="10"/>
        <color rgb="FF000000"/>
        <rFont val="Verdana"/>
      </rPr>
      <t>F insulation</t>
    </r>
  </si>
  <si>
    <r>
      <rPr>
        <sz val="10"/>
        <color theme="1"/>
        <rFont val="Verdana"/>
      </rPr>
      <t>Noise Level : Not more than 78-80 dbA @ 3m distance</t>
    </r>
  </si>
  <si>
    <r>
      <rPr>
        <sz val="10"/>
        <color theme="1"/>
        <rFont val="Verdana"/>
      </rPr>
      <t>Minimum Total efficiency : not less than as per FEG-63  as per AMCA</t>
    </r>
  </si>
  <si>
    <r>
      <rPr>
        <sz val="10"/>
        <color theme="1"/>
        <rFont val="Verdana"/>
      </rPr>
      <t>Fan duty : Fresh Air Fans.</t>
    </r>
  </si>
  <si>
    <r>
      <rPr>
        <sz val="10"/>
        <color theme="1"/>
        <rFont val="Verdana"/>
      </rPr>
      <t>Fan as described above</t>
    </r>
  </si>
  <si>
    <r>
      <rPr>
        <sz val="10"/>
        <color theme="1"/>
        <rFont val="Verdana"/>
      </rPr>
      <t>Set</t>
    </r>
  </si>
  <si>
    <r>
      <rPr>
        <b/>
        <sz val="10"/>
        <color theme="1"/>
        <rFont val="Verdana"/>
      </rPr>
      <t>Note:Fan to have safety wire mesh screen on any exposed face.</t>
    </r>
  </si>
  <si>
    <r>
      <rPr>
        <sz val="10"/>
        <color theme="1"/>
        <rFont val="Verdana"/>
      </rPr>
      <t>MR</t>
    </r>
  </si>
  <si>
    <r>
      <rPr>
        <sz val="10"/>
        <color theme="1"/>
        <rFont val="Verdana"/>
      </rPr>
      <t>EXHAUST AIR FAN FOR PUMP ROOM</t>
    </r>
  </si>
  <si>
    <r>
      <rPr>
        <sz val="10"/>
        <color rgb="FF000000"/>
        <rFont val="Verdana"/>
      </rPr>
      <t xml:space="preserve">Supply, installation, testing &amp; commissioning of  Tube/Vane Axial Fan with impeller having adjustable pitch angle blades and complete with suitable motor &amp; drive  assembly. Motor shall also be suitable for  Variable  Speed drive.  Motor  shall  be  suitable  for  415  ±  10%  V,  3  Phase,  4  Wire,  50
</t>
    </r>
    <r>
      <rPr>
        <sz val="10"/>
        <color rgb="FF000000"/>
        <rFont val="Verdana"/>
      </rPr>
      <t xml:space="preserve">±5%Hz  electrical  supply.  Motor  shall  be  IP-55.  Fans  shall  be  AMCA Certified &amp; listed for performance &amp; sound power level (Vendor to confirm if  the fan selection offered is certified for performance and sound or only for performance).
</t>
    </r>
    <r>
      <rPr>
        <sz val="10"/>
        <color rgb="FF000000"/>
        <rFont val="Verdana"/>
      </rPr>
      <t>The complete fan assembly alongwith the motor &amp; drive assembly shall be fire  rated  i.e. suitable  to operate  upto 250°C  for 2  hours and  meet the duty  parameters.  Fans  for  high  temp.  application  shall  be  UL  or  EN Certified in addition to AMCA certified &amp; listed. Motor shall be IP55,  class H insulation.The fan duty shall be :</t>
    </r>
  </si>
  <si>
    <r>
      <rPr>
        <sz val="10"/>
        <color theme="1"/>
        <rFont val="Verdana"/>
      </rPr>
      <t>Air Qty     :  1400 CFM</t>
    </r>
  </si>
  <si>
    <r>
      <rPr>
        <sz val="10"/>
        <color theme="1"/>
        <rFont val="Verdana"/>
      </rPr>
      <t>Total Static Pressure : 30 mm Wg</t>
    </r>
  </si>
  <si>
    <r>
      <rPr>
        <sz val="10"/>
        <color theme="1"/>
        <rFont val="Verdana"/>
      </rPr>
      <t>Fan Speed :  2850rpm approx.</t>
    </r>
  </si>
  <si>
    <r>
      <rPr>
        <sz val="10"/>
        <color theme="1"/>
        <rFont val="Verdana"/>
      </rPr>
      <t>Fan motor : 0.75 KW approx.</t>
    </r>
  </si>
  <si>
    <r>
      <rPr>
        <sz val="10"/>
        <color theme="1"/>
        <rFont val="Verdana"/>
      </rPr>
      <t>Fan dia :  400mm approx.</t>
    </r>
  </si>
  <si>
    <r>
      <rPr>
        <b/>
        <sz val="10"/>
        <color theme="1"/>
        <rFont val="Verdana"/>
      </rPr>
      <t>Motor Efficiency Class: IE3* as per IEC 60034-30-1</t>
    </r>
  </si>
  <si>
    <r>
      <rPr>
        <b/>
        <sz val="10"/>
        <color rgb="FF000000"/>
        <rFont val="Verdana"/>
      </rPr>
      <t xml:space="preserve">Motors shall be TEFC, Squirrel cage induction motors, IP 55, Class
</t>
    </r>
    <r>
      <rPr>
        <b/>
        <sz val="10"/>
        <color rgb="FF000000"/>
        <rFont val="Verdana"/>
      </rPr>
      <t>F insulation</t>
    </r>
  </si>
  <si>
    <r>
      <rPr>
        <sz val="10"/>
        <color theme="1"/>
        <rFont val="Verdana"/>
      </rPr>
      <t>Noise Level : Not more than 78-80 dbA @ 3m distance</t>
    </r>
  </si>
  <si>
    <r>
      <rPr>
        <sz val="10"/>
        <color theme="1"/>
        <rFont val="Verdana"/>
      </rPr>
      <t>Minimum Total efficiency : not less than as per FEG-63  as per AMCA</t>
    </r>
  </si>
  <si>
    <r>
      <rPr>
        <sz val="10"/>
        <color theme="1"/>
        <rFont val="Verdana"/>
      </rPr>
      <t>Fan duty : Fresh Air Fans.</t>
    </r>
  </si>
  <si>
    <r>
      <rPr>
        <sz val="10"/>
        <color theme="1"/>
        <rFont val="Verdana"/>
      </rPr>
      <t>Fan as described above</t>
    </r>
  </si>
  <si>
    <r>
      <rPr>
        <sz val="10"/>
        <color theme="1"/>
        <rFont val="Verdana"/>
      </rPr>
      <t>Set</t>
    </r>
  </si>
  <si>
    <r>
      <rPr>
        <b/>
        <sz val="10"/>
        <color theme="1"/>
        <rFont val="Verdana"/>
      </rPr>
      <t>Note:Fan to have safety wire mesh screen on any exposed face.</t>
    </r>
  </si>
  <si>
    <r>
      <rPr>
        <sz val="10"/>
        <color theme="1"/>
        <rFont val="Verdana"/>
      </rPr>
      <t>MR</t>
    </r>
  </si>
  <si>
    <r>
      <rPr>
        <sz val="10"/>
        <color theme="1"/>
        <rFont val="Verdana"/>
      </rPr>
      <t>SMOKE EXHAUST AIR FAN FOR OFFICE</t>
    </r>
  </si>
  <si>
    <r>
      <rPr>
        <sz val="10"/>
        <color rgb="FF000000"/>
        <rFont val="Verdana"/>
      </rPr>
      <t xml:space="preserve">Supply, installation, testing &amp; commissioning of  Tube/Vane Axial Fan with impeller having adjustable pitch angle blades and complete with suitable motor &amp; drive  assembly. Motor shall also be suitable for  Variable  Speed drive.  Motor  shall  be  suitable  for  415  ±  10%  V,  3  Phase,  4  Wire,  50
</t>
    </r>
    <r>
      <rPr>
        <sz val="10"/>
        <color rgb="FF000000"/>
        <rFont val="Verdana"/>
      </rPr>
      <t xml:space="preserve">±5%Hz  electrical  supply.  Motor  shall  be  IP-55.  Fans  shall  be  AMCA Certified &amp; listed for performance &amp; sound power level (Vendor to confirm if  the fan selection offered is certified for performance and sound or only for performance).
</t>
    </r>
    <r>
      <rPr>
        <sz val="10"/>
        <color rgb="FF000000"/>
        <rFont val="Verdana"/>
      </rPr>
      <t>The complete fan assembly alongwith the motor &amp; drive assembly shall be fire  rated  i.e. suitable  to operate  upto 250°C  for 2  hours and  meet the duty  parameters.  Fans  for  high  temp.  application  shall  be  UL  or  EN Certified in addition to AMCA certified &amp; listed. Motor shall be IP55,  class H insulation.The fan duty shall be :</t>
    </r>
  </si>
  <si>
    <r>
      <rPr>
        <sz val="10"/>
        <color theme="1"/>
        <rFont val="Verdana"/>
      </rPr>
      <t>5.3.1</t>
    </r>
  </si>
  <si>
    <r>
      <rPr>
        <sz val="10"/>
        <color theme="1"/>
        <rFont val="Verdana"/>
      </rPr>
      <t>MR</t>
    </r>
  </si>
  <si>
    <r>
      <rPr>
        <sz val="10"/>
        <color theme="1"/>
        <rFont val="Verdana"/>
      </rPr>
      <t>Zone-1</t>
    </r>
  </si>
  <si>
    <r>
      <rPr>
        <sz val="10"/>
        <color theme="1"/>
        <rFont val="Verdana"/>
      </rPr>
      <t>Air Qty     :  33700 CFM</t>
    </r>
  </si>
  <si>
    <r>
      <rPr>
        <sz val="10"/>
        <color theme="1"/>
        <rFont val="Verdana"/>
      </rPr>
      <t>Total Static Pressure : 30 mm Wg</t>
    </r>
  </si>
  <si>
    <r>
      <rPr>
        <sz val="10"/>
        <color theme="1"/>
        <rFont val="Verdana"/>
      </rPr>
      <t>Fan Speed :  1450rpm approx.</t>
    </r>
  </si>
  <si>
    <r>
      <rPr>
        <sz val="10"/>
        <color theme="1"/>
        <rFont val="Verdana"/>
      </rPr>
      <t>Fan motor : 15 KW approx.</t>
    </r>
  </si>
  <si>
    <r>
      <rPr>
        <sz val="10"/>
        <color theme="1"/>
        <rFont val="Verdana"/>
      </rPr>
      <t>Fan dia :  1120mm approx.</t>
    </r>
  </si>
  <si>
    <r>
      <rPr>
        <b/>
        <sz val="10"/>
        <color theme="1"/>
        <rFont val="Verdana"/>
      </rPr>
      <t>Motor Efficiency Class: IE2* as per IEC 60034-30-1</t>
    </r>
  </si>
  <si>
    <r>
      <rPr>
        <b/>
        <sz val="10"/>
        <color rgb="FF000000"/>
        <rFont val="Verdana"/>
      </rPr>
      <t xml:space="preserve">Motors shall be TEFC, Squirrel cage induction motors, IP 55, Class
</t>
    </r>
    <r>
      <rPr>
        <b/>
        <sz val="10"/>
        <color rgb="FF000000"/>
        <rFont val="Verdana"/>
      </rPr>
      <t>F insulation</t>
    </r>
  </si>
  <si>
    <r>
      <rPr>
        <sz val="10"/>
        <color theme="1"/>
        <rFont val="Verdana"/>
      </rPr>
      <t>Noise Level : Not more than 78-80 dbA @ 3m distance</t>
    </r>
  </si>
  <si>
    <r>
      <rPr>
        <sz val="10"/>
        <color theme="1"/>
        <rFont val="Verdana"/>
      </rPr>
      <t>Minimum Total efficiency : not less than as per FEG-63  as per AMCA</t>
    </r>
  </si>
  <si>
    <r>
      <rPr>
        <sz val="10"/>
        <color theme="1"/>
        <rFont val="Verdana"/>
      </rPr>
      <t>Fan duty : Fresh Air Fans.</t>
    </r>
  </si>
  <si>
    <r>
      <rPr>
        <sz val="10"/>
        <color theme="1"/>
        <rFont val="Verdana"/>
      </rPr>
      <t>Fan as described above</t>
    </r>
  </si>
  <si>
    <r>
      <rPr>
        <sz val="10"/>
        <color theme="1"/>
        <rFont val="Verdana"/>
      </rPr>
      <t>Set</t>
    </r>
  </si>
  <si>
    <r>
      <rPr>
        <b/>
        <sz val="10"/>
        <color theme="1"/>
        <rFont val="Verdana"/>
      </rPr>
      <t>Note:Fan to have safety wire mesh screen on any exposed face.</t>
    </r>
  </si>
  <si>
    <r>
      <rPr>
        <sz val="10"/>
        <color theme="1"/>
        <rFont val="Verdana"/>
      </rPr>
      <t>5.3.2</t>
    </r>
  </si>
  <si>
    <r>
      <rPr>
        <sz val="10"/>
        <color theme="1"/>
        <rFont val="Verdana"/>
      </rPr>
      <t>MR</t>
    </r>
  </si>
  <si>
    <r>
      <rPr>
        <sz val="10"/>
        <color theme="1"/>
        <rFont val="Verdana"/>
      </rPr>
      <t>Zone-2</t>
    </r>
  </si>
  <si>
    <r>
      <rPr>
        <sz val="10"/>
        <color theme="1"/>
        <rFont val="Verdana"/>
      </rPr>
      <t>Air Qty     :  31000 CFM</t>
    </r>
  </si>
  <si>
    <r>
      <rPr>
        <sz val="10"/>
        <color theme="1"/>
        <rFont val="Verdana"/>
      </rPr>
      <t>Total Static Pressure : 30 mm Wg</t>
    </r>
  </si>
  <si>
    <r>
      <rPr>
        <sz val="10"/>
        <color theme="1"/>
        <rFont val="Verdana"/>
      </rPr>
      <t>Fan Speed :  1450rpm approx.</t>
    </r>
  </si>
  <si>
    <r>
      <rPr>
        <sz val="10"/>
        <color theme="1"/>
        <rFont val="Verdana"/>
      </rPr>
      <t>Fan motor : 11 KW approx.</t>
    </r>
  </si>
  <si>
    <r>
      <rPr>
        <sz val="10"/>
        <color theme="1"/>
        <rFont val="Verdana"/>
      </rPr>
      <t>Fan dia :  1120mm approx.</t>
    </r>
  </si>
  <si>
    <r>
      <rPr>
        <b/>
        <sz val="10"/>
        <color theme="1"/>
        <rFont val="Verdana"/>
      </rPr>
      <t>Motor Efficiency Class: IE2* as per IEC 60034-30-1</t>
    </r>
  </si>
  <si>
    <r>
      <rPr>
        <b/>
        <sz val="10"/>
        <color rgb="FF000000"/>
        <rFont val="Verdana"/>
      </rPr>
      <t xml:space="preserve">Motors shall be TEFC, Squirrel cage induction motors, IP 55, Class
</t>
    </r>
    <r>
      <rPr>
        <b/>
        <sz val="10"/>
        <color rgb="FF000000"/>
        <rFont val="Verdana"/>
      </rPr>
      <t>F insulation</t>
    </r>
  </si>
  <si>
    <r>
      <rPr>
        <sz val="10"/>
        <color theme="1"/>
        <rFont val="Verdana"/>
      </rPr>
      <t>Noise Level : Not more than 78-80 dbA @ 3m distance</t>
    </r>
  </si>
  <si>
    <r>
      <rPr>
        <sz val="10"/>
        <color theme="1"/>
        <rFont val="Verdana"/>
      </rPr>
      <t>Minimum Total efficiency : not less than as per FEG-63  as per AMCA</t>
    </r>
  </si>
  <si>
    <r>
      <rPr>
        <sz val="10"/>
        <color theme="1"/>
        <rFont val="Verdana"/>
      </rPr>
      <t>Fan duty : Fresh Air Fans.</t>
    </r>
  </si>
  <si>
    <r>
      <rPr>
        <sz val="10"/>
        <color theme="1"/>
        <rFont val="Verdana"/>
      </rPr>
      <t>Fan as described above</t>
    </r>
  </si>
  <si>
    <r>
      <rPr>
        <sz val="10"/>
        <color theme="1"/>
        <rFont val="Verdana"/>
      </rPr>
      <t>Set</t>
    </r>
  </si>
  <si>
    <r>
      <rPr>
        <b/>
        <sz val="10"/>
        <color theme="1"/>
        <rFont val="Verdana"/>
      </rPr>
      <t>Note:Fan to have safety wire mesh screen on any exposed face.</t>
    </r>
  </si>
  <si>
    <r>
      <rPr>
        <b/>
        <sz val="10"/>
        <color theme="1"/>
        <rFont val="Verdana"/>
      </rPr>
      <t>MR</t>
    </r>
  </si>
  <si>
    <r>
      <rPr>
        <b/>
        <sz val="10"/>
        <color theme="1"/>
        <rFont val="Verdana"/>
      </rPr>
      <t>DRY SCRUBBER UNIT COMPLETE WITH VFD PANEL</t>
    </r>
  </si>
  <si>
    <r>
      <rPr>
        <sz val="10"/>
        <color theme="1"/>
        <rFont val="Verdana"/>
      </rPr>
      <t>Supply,    Installation,    testing    and    commissioning    of    Double    Skin Construction,   floor   mounted   /   ceiling   suspended   dry   scrubber   unit complete with backward curved direct driven SISW plug fan with 3 Phase, TEFC,  Sq.  cage  induction  motor  suitable  for  415V±10%V  &amp;  50Hz±3% electric supply. Motor shall be of high efficiency  and shall be suitable for VFD operation. Fan impeller with motor shall be mounted in such as way that motor shall be out of hot air stream.</t>
    </r>
  </si>
  <si>
    <r>
      <rPr>
        <sz val="10"/>
        <color theme="1"/>
        <rFont val="Verdana"/>
      </rPr>
      <t>Scrubber  shall  be  comprising  of  Electrostatic  section  made  of  18  gauge galvanised   sheet,   high   bake   epoxy   powder   coated,   washable   type aluminium  mesh  filters,  stainless  steel  spiked  ionizers  to  create  high voltage DC field, aluminum collector plates which should be alternatively charged positive and negative with large collecting area with 14" deep cell, to work as magnet for charged smoke and oil particles. Average efficiency of  90-95%  in  single  pass  as  per  ASHRAE  test  method.  Electrostatic Precipitator  should  be  able  to  charge  particles  from  0.01  micron  to  10 microns  through  solid  state  power  supply.  Collector  cell  should  be  of permanent  type  and  incorporate  slide  out  facility  for  easy  removal  for cleaning.  Power  supplies  shall be  100% solid  state  UL Listed,  Module of capacity 3900 CFM &amp; above shall be equipped with Pulse width modulating (PWM). The system should be fitted with interlock switch for safety .The units  should  be  BMS  compatible  for  Run,  Wash,  Fault  feedback,  dry contact  point.  The  system  should  allow  connection  to  a  fan  section  to achieve 630 FPM velocity across the air cleaner. The units should be with Auto Wash system as per specification.</t>
    </r>
  </si>
  <si>
    <r>
      <rPr>
        <sz val="10"/>
        <color theme="1"/>
        <rFont val="Verdana"/>
      </rPr>
      <t>ESP shall be of 18G GSS powder coated cabinet. Electro-static Air cleaner shall be of Industrial Grade, which will collect dry &amp; wet particles like dust, oil mist, cooking fumes &amp; various pollutants.</t>
    </r>
  </si>
  <si>
    <r>
      <rPr>
        <sz val="10"/>
        <color rgb="FF000000"/>
        <rFont val="Verdana"/>
      </rPr>
      <t xml:space="preserve">Dry Scrubber shall have U.V. Ozone lamp fitted with electrostatic cell for
</t>
    </r>
    <r>
      <rPr>
        <sz val="10"/>
        <color rgb="FF000000"/>
        <rFont val="Verdana"/>
      </rPr>
      <t>odour removal.</t>
    </r>
  </si>
  <si>
    <r>
      <rPr>
        <sz val="10"/>
        <color rgb="FF000000"/>
        <rFont val="Verdana"/>
      </rPr>
      <t xml:space="preserve">2  layers  rubber  VI  pads  with  GI  Sheet  in  between  dry  scrubbers  unit
</t>
    </r>
    <r>
      <rPr>
        <sz val="10"/>
        <color rgb="FF000000"/>
        <rFont val="Verdana"/>
      </rPr>
      <t>casing &amp; foundation block for floor mounted unit.</t>
    </r>
  </si>
  <si>
    <r>
      <rPr>
        <sz val="10"/>
        <color rgb="FF000000"/>
        <rFont val="Verdana"/>
      </rPr>
      <t xml:space="preserve">In  case  of  a  Ceiling  suspended  dry  scrubber,  it  shall be  complete  with
</t>
    </r>
    <r>
      <rPr>
        <sz val="10"/>
        <color rgb="FF000000"/>
        <rFont val="Verdana"/>
      </rPr>
      <t>mounting arrangement and spring isolator.</t>
    </r>
  </si>
  <si>
    <r>
      <rPr>
        <sz val="10"/>
        <color theme="1"/>
        <rFont val="Verdana"/>
      </rPr>
      <t>Fan shall be  AMCA certified  fan for performance &amp; sound power level.</t>
    </r>
  </si>
  <si>
    <r>
      <rPr>
        <sz val="10"/>
        <color theme="1"/>
        <rFont val="Verdana"/>
      </rPr>
      <t>Motor Efficiency Class: IE3 as per IEC 60034-30-1</t>
    </r>
  </si>
  <si>
    <r>
      <rPr>
        <sz val="10"/>
        <color theme="1"/>
        <rFont val="Verdana"/>
      </rPr>
      <t>Motors shall be TEFC, IP55 rated &amp; Class F Insulation.</t>
    </r>
  </si>
  <si>
    <r>
      <rPr>
        <sz val="10"/>
        <color theme="1"/>
        <rFont val="Verdana"/>
      </rPr>
      <t>Electrical Control Panel:</t>
    </r>
  </si>
  <si>
    <r>
      <rPr>
        <sz val="10"/>
        <color theme="1"/>
        <rFont val="Verdana"/>
      </rPr>
      <t>Short Circuit Fault with stand Capacity: 18KA</t>
    </r>
  </si>
  <si>
    <r>
      <rPr>
        <sz val="10"/>
        <color theme="1"/>
        <rFont val="Verdana"/>
      </rPr>
      <t>a. Dry Scrubber shall be complete  with its  electrical control panel made out of  1.2mm thick  SS-306  steel enclosure. Suitable VFD for fan, power &amp;  control  wiring  &amp;  arrangement  for  ESP  power  supply  with  all  safety interlocks. The ESP and fan shall trip immediately on opening of the door through a limit switch. And ESP cannot be turned on if fan is not running. But fan can run without ESP being 'ON'.</t>
    </r>
  </si>
  <si>
    <r>
      <rPr>
        <sz val="10"/>
        <color theme="1"/>
        <rFont val="Verdana"/>
      </rPr>
      <t>Incomer of Panel shall be 3P MPCB with S/C release of suitable rating &amp; fault with stand capacity. 3 Pole aluminium bus bars of suitable rating, and out goings as 3P MPCB with S/C release of suitable capacity / rating as per KW / HP of scrubber fan motor &amp; stater for scrubber fan &amp; 3P MPCB / 3P MCB for 415V (2 Phase) / 230V (1 Phase) cast resin encapsulated control transformer of 'VA' capacity as per load of ESP modules &amp; DP MCB &amp; DC Power pack for ESP for converting 230V, 1 Phase to 'DC' supply for ESP.</t>
    </r>
  </si>
  <si>
    <r>
      <rPr>
        <sz val="10"/>
        <color theme="1"/>
        <rFont val="Verdana"/>
      </rPr>
      <t>Metering: VAF meter (110V)</t>
    </r>
  </si>
  <si>
    <r>
      <rPr>
        <sz val="10"/>
        <color rgb="FF000000"/>
        <rFont val="Verdana"/>
      </rPr>
      <t xml:space="preserve">Note:  Only  3  Phase  power,  R,Y,B  without  neutral power  supply shall be given  to  the  electrical  panel  i.e.  neutral  shall  not  be  provided.  So necessary  PT  /  CT  cast  resin  type  to  be  provided   for  control   &amp;  power wiring and for power to ESP unit. PT shall be 415 √3 / 110 / √3 for R, Y, B phase indication lamps (63.5V), LED type &amp; 110V VAF meter.
</t>
    </r>
    <r>
      <rPr>
        <sz val="10"/>
        <color rgb="FF000000"/>
        <rFont val="Verdana"/>
      </rPr>
      <t>Quote  price  shall  be  complete  with  sensor,  pressure  switch  and  other acccessies  to modulate the VFD with respect to requirement of the cfm.</t>
    </r>
  </si>
  <si>
    <r>
      <rPr>
        <sz val="10"/>
        <color rgb="FF000000"/>
        <rFont val="Verdana"/>
      </rPr>
      <t xml:space="preserve">b.  Control  Panel  may  be  kept  nearby  Dry  Scrubber  &amp;  necessary  power cabling &amp; earthing from panel to scrubber to be accounted for in this panel
</t>
    </r>
    <r>
      <rPr>
        <sz val="10"/>
        <color rgb="FF000000"/>
        <rFont val="Verdana"/>
      </rPr>
      <t>cost.</t>
    </r>
  </si>
  <si>
    <r>
      <rPr>
        <sz val="10"/>
        <color rgb="FF000000"/>
        <rFont val="Verdana"/>
      </rPr>
      <t xml:space="preserve">cost  shall  be  inculsive  of  tempreture  sensors,  duct  pressure  sensor,
</t>
    </r>
    <r>
      <rPr>
        <sz val="10"/>
        <color rgb="FF000000"/>
        <rFont val="Verdana"/>
      </rPr>
      <t>Supply air humidity sensor. Etc.</t>
    </r>
  </si>
  <si>
    <r>
      <rPr>
        <sz val="10"/>
        <color theme="1"/>
        <rFont val="Verdana"/>
      </rPr>
      <t>The  Dry  Scrubber  unit  shall  be  offered  for  inspection  at  manufacturer’s works prior to dispatch. The inspection shall include verification of material specifications, fabrication quality, internal components, surface treatment, dimensional   checks,   performance   parameters   and   compliance   with approved  technical  submittals.  Dispatch  clearance  shall  be  issued  only after   satisfactory   inspection   by   the   Engineer-in-Charge   /   Client’s representative. All arrangements for inspection including testing facilities, instruments and manpower shall be provided by the manufacturer without any extra cost.</t>
    </r>
  </si>
  <si>
    <r>
      <rPr>
        <sz val="10"/>
        <color theme="1"/>
        <rFont val="Verdana"/>
      </rPr>
      <t>The scrubber units shall be of following duty :</t>
    </r>
  </si>
  <si>
    <r>
      <rPr>
        <sz val="10"/>
        <color rgb="FF000000"/>
        <rFont val="Verdana"/>
      </rPr>
      <t xml:space="preserve">Air  Qty               Static  Pr.  (TSP)             Approx.  fan                  Floor  /
</t>
    </r>
    <r>
      <rPr>
        <sz val="10"/>
        <color rgb="FF000000"/>
        <rFont val="Verdana"/>
      </rPr>
      <t xml:space="preserve">Ceiling
</t>
    </r>
    <r>
      <rPr>
        <sz val="10"/>
        <color rgb="FF000000"/>
        <rFont val="Verdana"/>
      </rPr>
      <t>in        CFM                         in        mmWg                         Motor        HP suspended</t>
    </r>
  </si>
  <si>
    <r>
      <rPr>
        <sz val="10"/>
        <color theme="1"/>
        <rFont val="Verdana"/>
      </rPr>
      <t>MR</t>
    </r>
  </si>
  <si>
    <r>
      <rPr>
        <sz val="10"/>
        <color rgb="FF000000"/>
        <rFont val="Verdana"/>
      </rPr>
      <t xml:space="preserve">1300                    65 mmWg                      1.50                           Ceiling
</t>
    </r>
    <r>
      <rPr>
        <sz val="10"/>
        <color rgb="FF000000"/>
        <rFont val="Verdana"/>
      </rPr>
      <t>suspended</t>
    </r>
  </si>
  <si>
    <r>
      <rPr>
        <sz val="10"/>
        <color theme="1"/>
        <rFont val="Verdana"/>
      </rPr>
      <t>Nos.</t>
    </r>
  </si>
  <si>
    <r>
      <rPr>
        <sz val="10"/>
        <color theme="1"/>
        <rFont val="Verdana"/>
      </rPr>
      <t>MR</t>
    </r>
  </si>
  <si>
    <r>
      <rPr>
        <sz val="10"/>
        <color rgb="FF000000"/>
        <rFont val="Verdana"/>
      </rPr>
      <t xml:space="preserve">8300                    65  mmWg                         5.0                            Floor
</t>
    </r>
    <r>
      <rPr>
        <sz val="10"/>
        <color rgb="FF000000"/>
        <rFont val="Verdana"/>
      </rPr>
      <t>Mounted</t>
    </r>
  </si>
  <si>
    <r>
      <rPr>
        <sz val="10"/>
        <color theme="1"/>
        <rFont val="Verdana"/>
      </rPr>
      <t>Nos.</t>
    </r>
  </si>
  <si>
    <r>
      <rPr>
        <sz val="10"/>
        <color theme="1"/>
        <rFont val="Verdana"/>
      </rPr>
      <t>MR</t>
    </r>
  </si>
  <si>
    <r>
      <rPr>
        <sz val="10"/>
        <color rgb="FF000000"/>
        <rFont val="Verdana"/>
      </rPr>
      <t xml:space="preserve">18100                 65  mmWg                        15.0                            Floor
</t>
    </r>
    <r>
      <rPr>
        <sz val="10"/>
        <color rgb="FF000000"/>
        <rFont val="Verdana"/>
      </rPr>
      <t>Mounted</t>
    </r>
  </si>
  <si>
    <r>
      <rPr>
        <sz val="10"/>
        <color theme="1"/>
        <rFont val="Verdana"/>
      </rPr>
      <t>Nos.</t>
    </r>
  </si>
  <si>
    <r>
      <rPr>
        <sz val="10"/>
        <color theme="1"/>
        <rFont val="Verdana"/>
      </rPr>
      <t>MR</t>
    </r>
  </si>
  <si>
    <r>
      <rPr>
        <b/>
        <sz val="10"/>
        <color theme="1"/>
        <rFont val="Verdana"/>
      </rPr>
      <t>Dirt Separator</t>
    </r>
  </si>
  <si>
    <r>
      <rPr>
        <sz val="10"/>
        <color rgb="FF000000"/>
        <rFont val="Verdana"/>
      </rPr>
      <t xml:space="preserve">Supply  installation  Testing  and  commissioning  of  Dirt  separator  In-line removal of dirt particles within chilled water system.
</t>
    </r>
    <r>
      <rPr>
        <sz val="10"/>
        <color rgb="FF000000"/>
        <rFont val="Verdana"/>
      </rPr>
      <t xml:space="preserve">The  acceptable  design  shall  incorporate  a  separating  element  to  force water into tranquillity zones for dirt removal.  A nozzle shall force cleans water  into  the  main  flow  to  divert  contaminated  water  through  the separating element.  Dirt particles shall be removed via a blow down valve on the base of the vessel whilst ferrous particles down to 4 µm shall be captured by a magnetic device(25 Neodymium magnets) in the lower part of the vessel.
</t>
    </r>
    <r>
      <rPr>
        <sz val="10"/>
        <color rgb="FF000000"/>
        <rFont val="Verdana"/>
      </rPr>
      <t>It shall be able to provide up to 40% separation per cycle.  It shall be able to remove  at least 35% of 150 µm dirt particles per cycle. The magnet shall  be  retractable  to  enable  ferrous  particles  to  be  released  and discharged  through  the  drain  valve  which  will  incorporate  an  internal scraper to dislodge particles that adhere to the inner surface of the vessel base.</t>
    </r>
  </si>
  <si>
    <r>
      <rPr>
        <sz val="10"/>
        <color rgb="FF000000"/>
        <rFont val="Verdana"/>
      </rPr>
      <t xml:space="preserve">Manufactured  and  designed  In  accordance  with   Pressure  Equipment Directive  2014/68/EU. The  cylindrical vessel shall be  manufactured from welded steel. Material shall be EN/ISO: S235JR+N. Inlet and outlet of the unit  shall  be  via  horizontally-opposed,  coaxial  flanged  connections  in accordance with EN 1092-1 PN 10.
</t>
    </r>
    <r>
      <rPr>
        <sz val="10"/>
        <color rgb="FF000000"/>
        <rFont val="Verdana"/>
      </rPr>
      <t xml:space="preserve">Suitable for glycol solution up to 50%, Temperature range -10 C to 120 C. The maximum permissible flow velocity shall be 3 m/s.
</t>
    </r>
    <r>
      <rPr>
        <sz val="10"/>
        <color rgb="FF000000"/>
        <rFont val="Verdana"/>
      </rPr>
      <t xml:space="preserve">The Dirt Separator shall be sized appropriate to the maximum operating pressure and flow velocity of the system.
</t>
    </r>
    <r>
      <rPr>
        <sz val="10"/>
        <color rgb="FF000000"/>
        <rFont val="Verdana"/>
      </rPr>
      <t>Inlet and outlet of the unit (Dia-  150 mm).</t>
    </r>
  </si>
  <si>
    <r>
      <rPr>
        <sz val="10"/>
        <color theme="1"/>
        <rFont val="Verdana"/>
      </rPr>
      <t>432 USGPM (150mm Dia)</t>
    </r>
  </si>
  <si>
    <r>
      <rPr>
        <sz val="10"/>
        <color theme="1"/>
        <rFont val="Verdana"/>
      </rPr>
      <t>Nos.</t>
    </r>
  </si>
  <si>
    <r>
      <rPr>
        <sz val="10"/>
        <color theme="1"/>
        <rFont val="Verdana"/>
      </rPr>
      <t>MR</t>
    </r>
  </si>
  <si>
    <r>
      <rPr>
        <b/>
        <sz val="10"/>
        <color theme="1"/>
        <rFont val="Verdana"/>
      </rPr>
      <t>Dynamic pressurization unit with deareater</t>
    </r>
  </si>
  <si>
    <r>
      <rPr>
        <sz val="10"/>
        <color rgb="FF000000"/>
        <rFont val="Verdana"/>
      </rPr>
      <t xml:space="preserve">Supply,  installation,  testing  &amp;  commissioning   of  pressurization  system comprising  pressure  less  expansion  tank,  pressurization  pump,  controls, piping’s &amp; fittings and controller, skid mounted system. The pressurization unit  shall  have  two  Flow  regulating,  solenoid  valve  in  spill  lines  with duty/standby/assist function to avoid pressure peaks in the system and a safety  relief  valve  for  protection  of  vessel,  Constant  speed  centrifugal pump (orientation vertical/horizontal) with non-return valve.  The use of electrically  actuated  ball  valve  in  the  spill  line  is  not  permitted  since  it takes   time   to   react   and   increases   pressure   peaks   which   leads   to malfunctioning of the system. In order for customer or OEM to remotely monitor &amp; control operation, fault diagnosis related needs the unit must be equipped with cloud based wireless communication with such features.
</t>
    </r>
    <r>
      <rPr>
        <sz val="10"/>
        <color rgb="FF000000"/>
        <rFont val="Verdana"/>
      </rPr>
      <t xml:space="preserve">System pressure shall be regulated within ± 0.2 bar (2.9 psi) of the set pressure.  Expansion  pressurization  and  deaeration  of  the  system  to  be provided by an integrated pump with pressure less expansion tank(s)
</t>
    </r>
    <r>
      <rPr>
        <sz val="10"/>
        <color rgb="FF000000"/>
        <rFont val="Verdana"/>
      </rPr>
      <t>The total Volume checked by vendor.</t>
    </r>
  </si>
  <si>
    <r>
      <rPr>
        <sz val="10"/>
        <color rgb="FF000000"/>
        <rFont val="Verdana"/>
      </rPr>
      <t xml:space="preserve">The  whole  system  duly  tested  from  factory  conforming  to  international standards PED-2014/68/EU.
</t>
    </r>
    <r>
      <rPr>
        <sz val="10"/>
        <color rgb="FF000000"/>
        <rFont val="Verdana"/>
      </rPr>
      <t xml:space="preserve">The system shall consist of minimum following components &amp; features:
</t>
    </r>
    <r>
      <rPr>
        <sz val="10"/>
        <color rgb="FF000000"/>
        <rFont val="Verdana"/>
      </rPr>
      <t xml:space="preserve">a)  Twin  Pressurization  Unit  c/w   pumps(orientation  verticle/horizontal), Flow  regulator  valve,  solenoid  valve  in  spill  lines,  Safety  relief  valve, Pressure sensor, Pipe fittings c/w Controller &amp; display.
</t>
    </r>
    <r>
      <rPr>
        <sz val="10"/>
        <color rgb="FF000000"/>
        <rFont val="Verdana"/>
      </rPr>
      <t xml:space="preserve">b)Pressure  less Expansion Tank 400 Liters c/w high quality butyl rubber bladder, rupture sensor, weight sensor, coalescing pall rings for active de- aeration, drain cock and adjustable feet for height adjustment, as unit is subject  to  atmospheric  pressure,  tank  pressure  rating  should  be  3  bar. Expansion Tank shall have third party certificate (TUV / lloyds registered).
</t>
    </r>
    <r>
      <rPr>
        <sz val="10"/>
        <color rgb="FF000000"/>
        <rFont val="Verdana"/>
      </rPr>
      <t xml:space="preserve">c)  Flexible  Connection:  Flexible  Connection  must  include  a  de-aeration sensor for signalling the controller to continue/stop the active de-aeration.
</t>
    </r>
    <r>
      <rPr>
        <sz val="10"/>
        <color rgb="FF000000"/>
        <rFont val="Verdana"/>
      </rPr>
      <t xml:space="preserve">d) Backflow Preventer c/w, water meter, ball valve and non-return valve, strainer/Particle filter/ and shut-off valve according to DIN 1988 and DIN EN 1717 in top up connection.
</t>
    </r>
    <r>
      <rPr>
        <sz val="10"/>
        <color rgb="FF000000"/>
        <rFont val="Verdana"/>
      </rPr>
      <t xml:space="preserve">e) Controller with display unit showing system content, system pressure and  status  of  the  main  operating  components  in  Realtime.   top  up function, flood limiter/shut down function in event of serious leak.
</t>
    </r>
    <r>
      <rPr>
        <sz val="10"/>
        <color rgb="FF000000"/>
        <rFont val="Verdana"/>
      </rPr>
      <t>In case of any fault controller shall display the fault code and generate the alarm.</t>
    </r>
  </si>
  <si>
    <r>
      <rPr>
        <sz val="10"/>
        <color theme="1"/>
        <rFont val="Verdana"/>
      </rPr>
      <t>400 Litres, Static Head = 6M</t>
    </r>
  </si>
  <si>
    <r>
      <rPr>
        <sz val="10"/>
        <color theme="1"/>
        <rFont val="Verdana"/>
      </rPr>
      <t>Nos.</t>
    </r>
  </si>
  <si>
    <r>
      <rPr>
        <sz val="10"/>
        <color theme="1"/>
        <rFont val="Verdana"/>
      </rPr>
      <t>MR</t>
    </r>
  </si>
  <si>
    <r>
      <rPr>
        <b/>
        <sz val="10"/>
        <color theme="1"/>
        <rFont val="Verdana"/>
      </rPr>
      <t>VACCUM DEGASSERS</t>
    </r>
  </si>
  <si>
    <r>
      <rPr>
        <sz val="10"/>
        <color theme="1"/>
        <rFont val="Verdana"/>
      </rPr>
      <t>Supply,   installation,   testing   &amp;   commissioning   of   Vacuum   Degasser/ Deaeration  Unit  to  remove  dissolved  gases  without  boiling the  water in the  process,  Deaeration  to  be  performed  by  creating  a  vacuum  with  a frequency  controlled  pump.  It  should  always  automatically  regulate  the desired deaeration level of the system water and only deaerates as and when necessary (energy saving).The inbuilt sensors in the system should continuously measure the temperature  and pressure in the system. The specially  developed  software  supports  the  new  technology  of  sensitive deaeration  and  offers  greater  insight  into  the  water  quality  and  system performance and have a interactive display for the same. it shall comply with  machinery  directive  2006/42/EC,  PED  2014/68/EU,  Low  Voltage Directive 2014/35/EU and EMC Directive 2014/30/EU.</t>
    </r>
  </si>
  <si>
    <r>
      <rPr>
        <sz val="10"/>
        <color rgb="FF000000"/>
        <rFont val="Verdana"/>
      </rPr>
      <t xml:space="preserve">Vacuum degasser Eco-300 shall be capable of degas given system volume
</t>
    </r>
    <r>
      <rPr>
        <sz val="10"/>
        <color rgb="FF000000"/>
        <rFont val="Verdana"/>
      </rPr>
      <t xml:space="preserve">at System operating Pressure.
</t>
    </r>
    <r>
      <rPr>
        <sz val="10"/>
        <color rgb="FF000000"/>
        <rFont val="Verdana"/>
      </rPr>
      <t xml:space="preserve">Connections:  Inlet- 25.4mm , Outlet -12.7mm. Minimum deaeration: 15 ml/l.
</t>
    </r>
    <r>
      <rPr>
        <sz val="10"/>
        <color rgb="FF000000"/>
        <rFont val="Verdana"/>
      </rPr>
      <t xml:space="preserve">Standard deaeration: 12 ml/l.
</t>
    </r>
    <r>
      <rPr>
        <sz val="10"/>
        <color rgb="FF000000"/>
        <rFont val="Verdana"/>
      </rPr>
      <t xml:space="preserve">Maximum deaeration: 8 ml/l (as per VDI 2035 and 4708). Supply voltage (V): 1 ~ 230.
</t>
    </r>
    <r>
      <rPr>
        <sz val="10"/>
        <color rgb="FF000000"/>
        <rFont val="Verdana"/>
      </rPr>
      <t xml:space="preserve">Maximum noise production (dB): 55.
</t>
    </r>
    <r>
      <rPr>
        <sz val="10"/>
        <color rgb="FF000000"/>
        <rFont val="Verdana"/>
      </rPr>
      <t xml:space="preserve">system operating pressure should be 0.6 - 2.7 bar.
</t>
    </r>
    <r>
      <rPr>
        <sz val="10"/>
        <color rgb="FF000000"/>
        <rFont val="Verdana"/>
      </rPr>
      <t xml:space="preserve">Degasser System shall consist of following main components:
</t>
    </r>
    <r>
      <rPr>
        <sz val="10"/>
        <color rgb="FF000000"/>
        <rFont val="Verdana"/>
      </rPr>
      <t xml:space="preserve">i) Bleeding device with gas detector
</t>
    </r>
    <r>
      <rPr>
        <sz val="10"/>
        <color rgb="FF000000"/>
        <rFont val="Verdana"/>
      </rPr>
      <t xml:space="preserve">ii) Pressure sensor.
</t>
    </r>
    <r>
      <rPr>
        <sz val="10"/>
        <color rgb="FF000000"/>
        <rFont val="Verdana"/>
      </rPr>
      <t xml:space="preserve">iii) Frequency controlled pump.
</t>
    </r>
    <r>
      <rPr>
        <sz val="10"/>
        <color rgb="FF000000"/>
        <rFont val="Verdana"/>
      </rPr>
      <t xml:space="preserve">iv) Rugged enclosure.
</t>
    </r>
    <r>
      <rPr>
        <sz val="10"/>
        <color rgb="FF000000"/>
        <rFont val="Verdana"/>
      </rPr>
      <t xml:space="preserve">v)Controller  with  Interactive  display  giving  real-time  insight  into  the deaeration  performance  and  the  quality  of  the  system  water,  intuitive operation.
</t>
    </r>
    <r>
      <rPr>
        <sz val="10"/>
        <color rgb="FF000000"/>
        <rFont val="Verdana"/>
      </rPr>
      <t>And other necessary components as per requirement.</t>
    </r>
  </si>
  <si>
    <r>
      <rPr>
        <sz val="10"/>
        <color theme="1"/>
        <rFont val="Verdana"/>
      </rPr>
      <t>Static Head = 6M (ECO_300)</t>
    </r>
  </si>
  <si>
    <r>
      <rPr>
        <sz val="10"/>
        <color theme="1"/>
        <rFont val="Verdana"/>
      </rPr>
      <t>Nos.</t>
    </r>
  </si>
  <si>
    <r>
      <rPr>
        <sz val="10"/>
        <color theme="1"/>
        <rFont val="Verdana"/>
      </rPr>
      <t>MR</t>
    </r>
  </si>
  <si>
    <r>
      <rPr>
        <b/>
        <sz val="10"/>
        <color theme="1"/>
        <rFont val="Verdana"/>
      </rPr>
      <t>CHILLED WATER TYPE PRECISION AC UNITS (pac</t>
    </r>
  </si>
  <si>
    <r>
      <rPr>
        <sz val="10"/>
        <color rgb="FF000000"/>
        <rFont val="Verdana"/>
      </rPr>
      <t xml:space="preserve">Supply,  Installation,  Testing  and  Commissioning  of  CW  type  packaged airconditioning   units,  self  contained   floor  mounted  with  </t>
    </r>
    <r>
      <rPr>
        <b/>
        <sz val="10"/>
        <color rgb="FF000000"/>
        <rFont val="Verdana"/>
      </rPr>
      <t xml:space="preserve">bottom/Top </t>
    </r>
    <r>
      <rPr>
        <sz val="10"/>
        <color rgb="FF000000"/>
        <rFont val="Verdana"/>
      </rPr>
      <t>discharge type complete with inbuilt 2 way PICV, fan section with statically &amp; dynamically  balanced centrifugal backward curved plug type fan driven by   Electronically   Commutated   (EC)   motor   having   true   soft   start characteristics,  multirows  deep  hydrophilic  coated  slant  type  cooling  coil with copper tubes and  aluminium fins.  The cabinet Shall be provided with double skin panels on all sides with inner panel of minimum thickness of 0.8mm and outer panel of thickness of 1.0mm and fabricated out of heavy gauge   steel  sheets   with   minimum   19mm   thick   Rockwool  insulation sandwitched  in  between.  The  enclosure  shall  be  factory  painted  to  a smooth finish and shall be supported on a fabricated steel structure.</t>
    </r>
  </si>
  <si>
    <r>
      <rPr>
        <sz val="10"/>
        <color theme="1"/>
        <rFont val="Verdana"/>
      </rPr>
      <t>The unit shall be equipped with high efficiency  HDPE washable filters of Merv 8 efficiency, SS drain pan duly insulated  with 9mm thick Class "O" closed   cell   insulation,   micro-   processor   based   programmable   logic controller,  Steam  Electrode  humidifier,  strip  type  heaters,  thermostat, water  detection  kit  for water spillage under the false floor all complete in a unit as per the specifications. The enclosure shall be factory painted to a smooth  finish.  Unit  should  be  suitable  for  automatic  fan  speed  variation based  on  inside  conditions  achieved  to  affect  more  power  saving.  The precision unit shall also be complete with  microprocessor based electrical panel  comprising  of  indication  lights,  Star-delta/DOL   starter,over  load protection, necessary relay to be hooked-up with fire &amp; smoke detection system to facilitate auto trip of precision unit and necessary copper control wiring. The packaged units shall be complete with auto sequencing, power loss   auto   sequencing   arrangement,    alarm,   clogged   filter   alarm.as required. Each unit shall be provided with BMS integration card &amp; master card   to  communicate all relevant data with BMS.(Applicable in the event BMS is there). The PAC units shall be suitable for operation on 400 ±5% volts,  50  Hz three  phase  AC  power  supply.  Fan  outlet velocity  shall not exceed 300 MPM.</t>
    </r>
  </si>
  <si>
    <r>
      <rPr>
        <sz val="10"/>
        <color theme="1"/>
        <rFont val="Verdana"/>
      </rPr>
      <t>Chilled Water In : 6.66°C</t>
    </r>
  </si>
  <si>
    <r>
      <rPr>
        <sz val="10"/>
        <color theme="1"/>
        <rFont val="Verdana"/>
      </rPr>
      <t>Chilled Water Out : 13.33°C</t>
    </r>
  </si>
  <si>
    <r>
      <rPr>
        <sz val="10"/>
        <color theme="1"/>
        <rFont val="Verdana"/>
      </rPr>
      <t>Return air Temp 27 ± 1 Deg C / 50 ± 5 % RH ;</t>
    </r>
  </si>
  <si>
    <r>
      <rPr>
        <sz val="10"/>
        <color rgb="FF000000"/>
        <rFont val="Verdana"/>
      </rPr>
      <t xml:space="preserve">Type of Discharge : Bottom dischagre with fan section below false floor(
</t>
    </r>
    <r>
      <rPr>
        <sz val="10"/>
        <color rgb="FF000000"/>
        <rFont val="Verdana"/>
      </rPr>
      <t>False floor height should be 600 mm)</t>
    </r>
  </si>
  <si>
    <r>
      <rPr>
        <sz val="10"/>
        <color theme="1"/>
        <rFont val="Verdana"/>
      </rPr>
      <t>The indoor unit shall also have heater &amp; humidifier.</t>
    </r>
  </si>
  <si>
    <r>
      <rPr>
        <sz val="10"/>
        <color theme="1"/>
        <rFont val="Verdana"/>
      </rPr>
      <t>The external static pressure of fan shall not be less than 20mm Wg.</t>
    </r>
  </si>
  <si>
    <r>
      <rPr>
        <sz val="10"/>
        <color theme="1"/>
        <rFont val="Verdana"/>
      </rPr>
      <t>The controller of the unit shall be intelligent.</t>
    </r>
  </si>
  <si>
    <r>
      <rPr>
        <sz val="10"/>
        <color rgb="FF000000"/>
        <rFont val="Verdana"/>
      </rPr>
      <t xml:space="preserve">The  controller  shall  also  after  auto  sequential  operation  of  Precision  AC
</t>
    </r>
    <r>
      <rPr>
        <sz val="10"/>
        <color rgb="FF000000"/>
        <rFont val="Verdana"/>
      </rPr>
      <t>Units.</t>
    </r>
  </si>
  <si>
    <r>
      <rPr>
        <sz val="10"/>
        <color theme="1"/>
        <rFont val="Verdana"/>
      </rPr>
      <t>The unit shall be complete with motorised damper on suction side.</t>
    </r>
  </si>
  <si>
    <r>
      <rPr>
        <sz val="10"/>
        <color theme="1"/>
        <rFont val="Verdana"/>
      </rPr>
      <t>PR.AC shall have atleast two dry contacts for remote alarms.</t>
    </r>
  </si>
  <si>
    <r>
      <rPr>
        <sz val="10"/>
        <color rgb="FF000000"/>
        <rFont val="Verdana"/>
      </rPr>
      <t xml:space="preserve">11.50 TR Actual Capacity (7400 CFM) ( Chilled Water Microprocessor units
</t>
    </r>
    <r>
      <rPr>
        <b/>
        <sz val="10"/>
        <color rgb="FF000000"/>
        <rFont val="Verdana"/>
      </rPr>
      <t>SERVER ROOM (4W+1S) BOTTOM DISCHARGE</t>
    </r>
  </si>
  <si>
    <r>
      <rPr>
        <sz val="10"/>
        <color theme="1"/>
        <rFont val="Verdana"/>
      </rPr>
      <t>Set</t>
    </r>
  </si>
  <si>
    <r>
      <rPr>
        <sz val="10"/>
        <color rgb="FF000000"/>
        <rFont val="Verdana"/>
      </rPr>
      <t xml:space="preserve">9.5  TR Actual Capacity (5700 CFM) ( Chilled Water Microprocessor units -
</t>
    </r>
    <r>
      <rPr>
        <b/>
        <sz val="10"/>
        <color rgb="FF000000"/>
        <rFont val="Verdana"/>
      </rPr>
      <t>UPS ROOM (3W+1S) TOP DISCHARGE</t>
    </r>
  </si>
  <si>
    <r>
      <rPr>
        <sz val="10"/>
        <color theme="1"/>
        <rFont val="Verdana"/>
      </rPr>
      <t>Set</t>
    </r>
  </si>
  <si>
    <r>
      <rPr>
        <sz val="10"/>
        <color theme="1"/>
        <rFont val="Verdana"/>
      </rPr>
      <t>Notes:</t>
    </r>
  </si>
  <si>
    <r>
      <rPr>
        <sz val="10"/>
        <color rgb="FF000000"/>
        <rFont val="Verdana"/>
      </rPr>
      <t xml:space="preserve">1. Water connection shall be provided at one point with in 5m in the room. The  entire  onward  piping  upto  the  machines  shall  be  done  by  other
</t>
    </r>
    <r>
      <rPr>
        <sz val="10"/>
        <color rgb="FF000000"/>
        <rFont val="Verdana"/>
      </rPr>
      <t>agency.</t>
    </r>
  </si>
  <si>
    <r>
      <rPr>
        <sz val="10"/>
        <color theme="1"/>
        <rFont val="Verdana"/>
      </rPr>
      <t>2. Drain piping with insulation and connection upto 10 M the nearest drain point in the room shall be included. The drain piping shall be of 25mm dia GI 'B' Class duly insulated with 9mm thick nitrile rubber.</t>
    </r>
  </si>
  <si>
    <r>
      <rPr>
        <sz val="10"/>
        <color rgb="FF000000"/>
        <rFont val="Verdana"/>
      </rPr>
      <t xml:space="preserve">3. Necessary mounting stands for indoor units also to be included in the
</t>
    </r>
    <r>
      <rPr>
        <sz val="10"/>
        <color rgb="FF000000"/>
        <rFont val="Verdana"/>
      </rPr>
      <t>scope of works.</t>
    </r>
  </si>
  <si>
    <r>
      <rPr>
        <sz val="10"/>
        <color rgb="FF000000"/>
        <rFont val="Verdana"/>
      </rPr>
      <t xml:space="preserve">4. Cost shall also include lifting, shifting and positioning to site as per site
</t>
    </r>
    <r>
      <rPr>
        <sz val="10"/>
        <color rgb="FF000000"/>
        <rFont val="Verdana"/>
      </rPr>
      <t>requirement and height of floor in the building.</t>
    </r>
  </si>
  <si>
    <r>
      <rPr>
        <sz val="10"/>
        <color rgb="FF000000"/>
        <rFont val="Verdana"/>
      </rPr>
      <t xml:space="preserve">5. Each unit should have a inbuilt card for Bacnet/Modbus output for BMS
</t>
    </r>
    <r>
      <rPr>
        <sz val="10"/>
        <color rgb="FF000000"/>
        <rFont val="Verdana"/>
      </rPr>
      <t>monitoring.</t>
    </r>
  </si>
  <si>
    <r>
      <rPr>
        <sz val="10"/>
        <color rgb="FF000000"/>
        <rFont val="Verdana"/>
      </rPr>
      <t xml:space="preserve">6.  The  unit  shall  have  water  leak  detection  sensing  tape  with  alarm initiation system, on detection of water leakage under the machine in the
</t>
    </r>
    <r>
      <rPr>
        <sz val="10"/>
        <color rgb="FF000000"/>
        <rFont val="Verdana"/>
      </rPr>
      <t>vicinity.</t>
    </r>
  </si>
  <si>
    <r>
      <rPr>
        <sz val="10"/>
        <color theme="1"/>
        <rFont val="Verdana"/>
      </rPr>
      <t>7. The unit  shall have  a feature  to trip  off automaticaly  in the  event of receiving  a  fire  signal  from  the  fire  detection  system.  The  necessary cabling between the fire relay control module with in the space/ room and the unit's controller shall be considered in the scope of work and supply.</t>
    </r>
  </si>
  <si>
    <r>
      <rPr>
        <sz val="10"/>
        <color rgb="FF000000"/>
        <rFont val="Verdana"/>
      </rPr>
      <t xml:space="preserve">8.The  indoor  unit  shall  be  with  drain  pump  kit  having  lift  head  3.5  mtr
</t>
    </r>
    <r>
      <rPr>
        <sz val="10"/>
        <color rgb="FF000000"/>
        <rFont val="Verdana"/>
      </rPr>
      <t>approx.</t>
    </r>
  </si>
  <si>
    <r>
      <rPr>
        <sz val="10"/>
        <color rgb="FF000000"/>
        <rFont val="Verdana"/>
      </rPr>
      <t xml:space="preserve">9.  Factory  Inspection   scope   to   be   added   in  the   BOQ,  considering
</t>
    </r>
    <r>
      <rPr>
        <sz val="10"/>
        <color rgb="FF000000"/>
        <rFont val="Verdana"/>
      </rPr>
      <t>representation from Consultant, PMC &amp; Client.</t>
    </r>
  </si>
  <si>
    <r>
      <rPr>
        <sz val="10"/>
        <color theme="1"/>
        <rFont val="Verdana"/>
      </rPr>
      <t>10. Factory Acceptance Test, Site Acceptance test, Load Test at site with dummy load needs to be added to the scope of Supplier.</t>
    </r>
  </si>
  <si>
    <r>
      <rPr>
        <sz val="10"/>
        <color theme="1"/>
        <rFont val="Verdana"/>
      </rPr>
      <t>11. Themo Loggers required as per site rquirement as the Load test.</t>
    </r>
  </si>
  <si>
    <r>
      <rPr>
        <sz val="10"/>
        <color theme="1"/>
        <rFont val="Verdana"/>
      </rPr>
      <t>12. 110% capacity load bank for PAC testing to be arranged properly in accordance with safety standard requirement at the site during load test.</t>
    </r>
  </si>
  <si>
    <r>
      <rPr>
        <sz val="10"/>
        <color theme="1"/>
        <rFont val="Verdana"/>
      </rPr>
      <t>13.Associated cable of appropriate size for load bank testing</t>
    </r>
  </si>
  <si>
    <r>
      <rPr>
        <sz val="10"/>
        <color rgb="FF000000"/>
        <rFont val="Verdana"/>
      </rPr>
      <t xml:space="preserve">14. Battery operated tool/ Vaccum cleaners / Vaccum Pump to be used at
</t>
    </r>
    <r>
      <rPr>
        <sz val="10"/>
        <color rgb="FF000000"/>
        <rFont val="Verdana"/>
      </rPr>
      <t>the time of PAC's installation.</t>
    </r>
  </si>
  <si>
    <r>
      <rPr>
        <sz val="10"/>
        <color theme="1"/>
        <rFont val="Verdana"/>
      </rPr>
      <t>15. Ensuring proper handover and trainings for the ops team post testing commissioning   with   load   analysis   report   and   capturing   load   test parameters duly signed /reviewed by all project team stake holders.</t>
    </r>
  </si>
  <si>
    <r>
      <rPr>
        <sz val="10"/>
        <color rgb="FF000000"/>
        <rFont val="Verdana"/>
      </rPr>
      <t xml:space="preserve">16. Ensuring factory and site testing as per method statement suggested
</t>
    </r>
    <r>
      <rPr>
        <sz val="10"/>
        <color rgb="FF000000"/>
        <rFont val="Verdana"/>
      </rPr>
      <t>by Engineering consultant.</t>
    </r>
  </si>
  <si>
    <r>
      <rPr>
        <sz val="10"/>
        <color rgb="FF000000"/>
        <rFont val="Verdana"/>
      </rPr>
      <t xml:space="preserve">17.  PAC  Vendor  to  ensure  proper  plumbing  connection  to  Dehumidifier
</t>
    </r>
    <r>
      <rPr>
        <sz val="10"/>
        <color rgb="FF000000"/>
        <rFont val="Verdana"/>
      </rPr>
      <t>unit.</t>
    </r>
  </si>
  <si>
    <r>
      <rPr>
        <sz val="10"/>
        <color rgb="FF000000"/>
        <rFont val="Verdana"/>
      </rPr>
      <t xml:space="preserve">18.  Testing,  commissioning  with  load  analysis  report  &amp;  load  parameters
</t>
    </r>
    <r>
      <rPr>
        <sz val="10"/>
        <color rgb="FF000000"/>
        <rFont val="Verdana"/>
      </rPr>
      <t>shall be signed by project team.</t>
    </r>
  </si>
  <si>
    <r>
      <rPr>
        <sz val="10"/>
        <color theme="1"/>
        <rFont val="Verdana"/>
      </rPr>
      <t>19. Factory and site testing method shall be as per engineering consultant.</t>
    </r>
  </si>
  <si>
    <r>
      <rPr>
        <sz val="10"/>
        <color rgb="FF000000"/>
        <rFont val="Verdana"/>
      </rPr>
      <t xml:space="preserve">20. Bidder to study the enclosed layouts and confirm suitability of space/
</t>
    </r>
    <r>
      <rPr>
        <sz val="10"/>
        <color rgb="FF000000"/>
        <rFont val="Verdana"/>
      </rPr>
      <t>size as shown.</t>
    </r>
  </si>
  <si>
    <r>
      <rPr>
        <sz val="10"/>
        <color rgb="FF000000"/>
        <rFont val="Verdana"/>
      </rPr>
      <t xml:space="preserve">21. Cost to include visit to  OEM factory before delivery of materials at site
</t>
    </r>
    <r>
      <rPr>
        <sz val="10"/>
        <color rgb="FF000000"/>
        <rFont val="Verdana"/>
      </rPr>
      <t>for a FAT, process and quality inspection of the proposed materials in the tender  under  this  head  for  3  persons  from  user  /  project  manager  / designer firm.</t>
    </r>
  </si>
  <si>
    <r>
      <rPr>
        <sz val="10"/>
        <color theme="1"/>
        <rFont val="Verdana"/>
      </rPr>
      <t>MR</t>
    </r>
  </si>
  <si>
    <r>
      <rPr>
        <b/>
        <sz val="10"/>
        <color theme="1"/>
        <rFont val="Verdana"/>
      </rPr>
      <t>MISCELLANEOUS</t>
    </r>
  </si>
  <si>
    <r>
      <rPr>
        <sz val="10"/>
        <color theme="1"/>
        <rFont val="Verdana"/>
      </rPr>
      <t>Supply, installation, testing &amp; commissioning of ADVANCED AIR TERMINAL DISTRIBUTION (Supply Air Floor Grilles) COMPRISING OF :</t>
    </r>
  </si>
  <si>
    <r>
      <rPr>
        <sz val="10"/>
        <color rgb="FF000000"/>
        <rFont val="Verdana"/>
      </rPr>
      <t xml:space="preserve">Top Cover, GI Powder Coated with perforations to deliver airflow of 1100 CFM, with aerofoil aluminium  damper ,  suitable to take the load of the rack  upto  800kgs  per  tile  of  size  595mmX595mm,  provision  for  fitment and operation of microprocessor controller with display.
</t>
    </r>
    <r>
      <rPr>
        <sz val="10"/>
        <color rgb="FF000000"/>
        <rFont val="Verdana"/>
      </rPr>
      <t xml:space="preserve">Actuator to modulate the vanes from 0 to 100% to take feed back from the sensors.
</t>
    </r>
    <r>
      <rPr>
        <sz val="10"/>
        <color rgb="FF000000"/>
        <rFont val="Verdana"/>
      </rPr>
      <t xml:space="preserve">Microprocessor  controller  or  PLC  based  interface  with  programmable control logic protocol , including two sensors to modulate the airflow from
</t>
    </r>
    <r>
      <rPr>
        <sz val="10"/>
        <color rgb="FF000000"/>
        <rFont val="Verdana"/>
      </rPr>
      <t>0  to  100%  based  on  the  rack  temperature  and  regulating   the  right amount of air volume. The average of both sensors to be input for actual conditions  to  the  control  logic.  Display  to  be  setable  for  temperature, communication on modbus to be available.</t>
    </r>
  </si>
  <si>
    <r>
      <rPr>
        <sz val="10"/>
        <color theme="1"/>
        <rFont val="Verdana"/>
      </rPr>
      <t>Neck Size                              Overall Size</t>
    </r>
  </si>
  <si>
    <r>
      <rPr>
        <sz val="10"/>
        <color theme="1"/>
        <rFont val="Verdana"/>
      </rPr>
      <t>ADVANCED AIR TERMINAL DISTRIBUTION (Supply Air Floor Grilles) '595mm x595mm                600mm x 600mm</t>
    </r>
  </si>
  <si>
    <r>
      <rPr>
        <sz val="10"/>
        <color theme="1"/>
        <rFont val="Verdana"/>
      </rPr>
      <t>Nos.</t>
    </r>
  </si>
  <si>
    <r>
      <rPr>
        <b/>
        <sz val="10"/>
        <color rgb="FF000000"/>
        <rFont val="Verdana"/>
      </rPr>
      <t xml:space="preserve">Supply,   installation,   testing   &amp;   commissioning   of   COLD   AISLE
</t>
    </r>
    <r>
      <rPr>
        <b/>
        <sz val="10"/>
        <color rgb="FF000000"/>
        <rFont val="Verdana"/>
      </rPr>
      <t>CONTAINMENT:</t>
    </r>
  </si>
  <si>
    <r>
      <rPr>
        <sz val="10"/>
        <color theme="1"/>
        <rFont val="Verdana"/>
      </rPr>
      <t>MR</t>
    </r>
  </si>
  <si>
    <r>
      <rPr>
        <sz val="10"/>
        <color theme="1"/>
        <rFont val="Verdana"/>
      </rPr>
      <t>Cold Aisle Containment Door : The door fame should  be of Aluminium / GI Frame  powder  coated  or  Anodized   having  4  mm  thick  Fire  retardant Transparent sheets with 90 % approx Viewable area. The door should be equipped with necessary fittings and lock.</t>
    </r>
  </si>
  <si>
    <r>
      <rPr>
        <sz val="10"/>
        <color theme="1"/>
        <rFont val="Verdana"/>
      </rPr>
      <t>Nos</t>
    </r>
  </si>
  <si>
    <r>
      <rPr>
        <sz val="10"/>
        <color theme="1"/>
        <rFont val="Verdana"/>
      </rPr>
      <t>MR</t>
    </r>
  </si>
  <si>
    <r>
      <rPr>
        <sz val="10"/>
        <color rgb="FF000000"/>
        <rFont val="Verdana"/>
      </rPr>
      <t xml:space="preserve">Cold Aisle Containment Top Panel : Customized Fire Retardant Rigid UL V-
</t>
    </r>
    <r>
      <rPr>
        <sz val="10"/>
        <color rgb="FF000000"/>
        <rFont val="Verdana"/>
      </rPr>
      <t xml:space="preserve">0 </t>
    </r>
    <r>
      <rPr>
        <b/>
        <sz val="10"/>
        <color rgb="FF000000"/>
        <rFont val="Verdana"/>
      </rPr>
      <t xml:space="preserve">Plastic  3 mm </t>
    </r>
    <r>
      <rPr>
        <sz val="10"/>
        <color rgb="FF000000"/>
        <rFont val="Verdana"/>
      </rPr>
      <t>sheet cut in accordance to the rack for the said cold aisle enclosure with support taken from the actual /false ceiling . Transparency high.</t>
    </r>
  </si>
  <si>
    <r>
      <rPr>
        <sz val="10"/>
        <color theme="1"/>
        <rFont val="Verdana"/>
      </rPr>
      <t>Sqm</t>
    </r>
  </si>
  <si>
    <r>
      <rPr>
        <b/>
        <sz val="10"/>
        <color theme="1"/>
        <rFont val="Verdana"/>
      </rPr>
      <t>Air Purification Unit For Server Room</t>
    </r>
  </si>
  <si>
    <r>
      <rPr>
        <sz val="10"/>
        <color theme="1"/>
        <rFont val="Verdana"/>
      </rPr>
      <t>MR</t>
    </r>
  </si>
  <si>
    <r>
      <rPr>
        <sz val="10"/>
        <color rgb="FF000000"/>
        <rFont val="Verdana"/>
      </rPr>
      <t xml:space="preserve">Supply,  Installation,  Testing  &amp;  Commissioning  of  Air  Purification  Unit
</t>
    </r>
    <r>
      <rPr>
        <sz val="10"/>
        <color rgb="FF000000"/>
        <rFont val="Verdana"/>
      </rPr>
      <t xml:space="preserve">preloaded  with  minimum,  01  No  Pre-Filter,  04  No  Honeycomb  Chemical Filters (flat-bed type), 01 No After Filter and One No. Final-Filter and all associated accessories etc.
</t>
    </r>
    <r>
      <rPr>
        <sz val="10"/>
        <color rgb="FF000000"/>
        <rFont val="Verdana"/>
      </rPr>
      <t xml:space="preserve">Air Purification System should be capable to deliver constant
</t>
    </r>
    <r>
      <rPr>
        <sz val="10"/>
        <color rgb="FF000000"/>
        <rFont val="Verdana"/>
      </rPr>
      <t xml:space="preserve">‘clean’  air  output  in  server  room of dimensions  10  Meters  x 9  Meters x
</t>
    </r>
    <r>
      <rPr>
        <sz val="10"/>
        <color rgb="FF000000"/>
        <rFont val="Verdana"/>
      </rPr>
      <t>3.81 Meters (LxWxH)</t>
    </r>
  </si>
  <si>
    <r>
      <rPr>
        <sz val="10"/>
        <color theme="1"/>
        <rFont val="Verdana"/>
      </rPr>
      <t>MR</t>
    </r>
  </si>
  <si>
    <r>
      <rPr>
        <sz val="10"/>
        <color theme="1"/>
        <rFont val="Verdana"/>
      </rPr>
      <t>1000 CFM</t>
    </r>
  </si>
  <si>
    <r>
      <rPr>
        <sz val="10"/>
        <color theme="1"/>
        <rFont val="Verdana"/>
      </rPr>
      <t>Nos.</t>
    </r>
  </si>
  <si>
    <r>
      <rPr>
        <sz val="10"/>
        <color theme="1"/>
        <rFont val="Verdana"/>
      </rPr>
      <t>MR</t>
    </r>
  </si>
  <si>
    <r>
      <rPr>
        <sz val="10"/>
        <color theme="1"/>
        <rFont val="Verdana"/>
      </rPr>
      <t>500 CFM</t>
    </r>
  </si>
  <si>
    <r>
      <rPr>
        <sz val="10"/>
        <color theme="1"/>
        <rFont val="Verdana"/>
      </rPr>
      <t>Nos.</t>
    </r>
  </si>
  <si>
    <r>
      <rPr>
        <sz val="10"/>
        <color theme="1"/>
        <rFont val="Verdana"/>
      </rPr>
      <t>MR</t>
    </r>
  </si>
  <si>
    <r>
      <rPr>
        <b/>
        <sz val="10"/>
        <color theme="1"/>
        <rFont val="Verdana"/>
      </rPr>
      <t>Astronomical timer-cum-controller</t>
    </r>
  </si>
  <si>
    <r>
      <rPr>
        <sz val="10"/>
        <color rgb="FF000000"/>
        <rFont val="Verdana"/>
      </rPr>
      <t xml:space="preserve">Supply, installation, testing &amp; commissioning of Astronomical timer-cum-
</t>
    </r>
    <r>
      <rPr>
        <sz val="10"/>
        <color rgb="FF000000"/>
        <rFont val="Verdana"/>
      </rPr>
      <t>controller with NO/NC contact and suitable relays complete in all respect, for  auto-controlling  Inline  Fan  operation.  (for  Battery  Room).  (Logic:10 min operation every 1 hour)</t>
    </r>
  </si>
  <si>
    <r>
      <rPr>
        <sz val="10"/>
        <color theme="1"/>
        <rFont val="Verdana"/>
      </rPr>
      <t>Nos.</t>
    </r>
  </si>
  <si>
    <r>
      <rPr>
        <sz val="10"/>
        <color theme="1"/>
        <rFont val="Verdana"/>
      </rPr>
      <t>MR</t>
    </r>
  </si>
  <si>
    <r>
      <rPr>
        <b/>
        <sz val="10"/>
        <color theme="1"/>
        <rFont val="Verdana"/>
      </rPr>
      <t>Hydrogen Sensor for battery room</t>
    </r>
  </si>
  <si>
    <r>
      <rPr>
        <sz val="10"/>
        <color rgb="FF000000"/>
        <rFont val="Verdana"/>
      </rPr>
      <t xml:space="preserve">Supply,installation,testing      and      commissioning      of      Flameproof/
</t>
    </r>
    <r>
      <rPr>
        <sz val="10"/>
        <color rgb="FF000000"/>
        <rFont val="Verdana"/>
      </rPr>
      <t>Explosionproof  Hydrogen  detector  with  SPDT  Relay.  Sensor  should  be complete  with  connection  post  for  BMS  and  Astronomical  time  cum controller to efficient operation.</t>
    </r>
  </si>
  <si>
    <r>
      <rPr>
        <sz val="10"/>
        <color theme="1"/>
        <rFont val="Verdana"/>
      </rPr>
      <t>Nos.</t>
    </r>
  </si>
  <si>
    <r>
      <rPr>
        <sz val="10"/>
        <color theme="1"/>
        <rFont val="Verdana"/>
      </rPr>
      <t>MR</t>
    </r>
  </si>
  <si>
    <r>
      <rPr>
        <sz val="10"/>
        <color theme="1"/>
        <rFont val="Verdana"/>
      </rPr>
      <t>Sequential controller</t>
    </r>
  </si>
  <si>
    <r>
      <rPr>
        <sz val="10"/>
        <color rgb="FF000000"/>
        <rFont val="Verdana"/>
      </rPr>
      <t xml:space="preserve">Supply,installation,testing and commissioning of Sequential Controller for
</t>
    </r>
    <r>
      <rPr>
        <sz val="10"/>
        <color rgb="FF000000"/>
        <rFont val="Verdana"/>
      </rPr>
      <t>controlling Split Unit and ventilation fan. The controller shall ensure cyclic operation  of  AC  units.  It  shall  also  have  inbuilt  temperature  sensor  &amp; temperature display.</t>
    </r>
  </si>
  <si>
    <r>
      <rPr>
        <sz val="10"/>
        <color theme="1"/>
        <rFont val="Verdana"/>
      </rPr>
      <t>Nos.</t>
    </r>
  </si>
  <si>
    <r>
      <rPr>
        <b/>
        <sz val="10"/>
        <color theme="1"/>
        <rFont val="Verdana"/>
      </rPr>
      <t>BTU Meter</t>
    </r>
  </si>
  <si>
    <r>
      <rPr>
        <sz val="10"/>
        <color theme="1"/>
        <rFont val="Verdana"/>
      </rPr>
      <t>Supply,  installation,  testing  and  commissioning  of  Ultrasonic  type  flow meters  (BTU  Meter)  with  in-built  display  including  the  provision  for installing the meter in the chilled water pipe line with with suitable flanges and fittings with Thermowell temperature sensors. Meter shall be suitable for single phase AC power supply. The BTU hour meters shall be insulated in such a manner so that the display is not  covered. The BTU meter shall have  its  own  integrator  and  interconnected  control  wiring  between  the BTU meter and integrator.  Suitable no  of repeaters  shall be  provided in the cost of BTU meter only. The meter will have low maintenance and high accuracy. Can operate in cooling as well heating mode shall be suitable for system  integration  with  Mod  bus  module  for  centralised  data  logging. Canopy  to  be  considered  for  display  of  BTU  meters  if  installed  on  the terrace.The meter shall be suitable for following pipes sizes:</t>
    </r>
  </si>
  <si>
    <r>
      <rPr>
        <b/>
        <sz val="10"/>
        <color theme="1"/>
        <rFont val="Verdana"/>
      </rPr>
      <t>Dia in mm NB</t>
    </r>
  </si>
  <si>
    <r>
      <rPr>
        <sz val="10"/>
        <color theme="1"/>
        <rFont val="Verdana"/>
      </rPr>
      <t>MR</t>
    </r>
  </si>
  <si>
    <r>
      <rPr>
        <sz val="10"/>
        <color theme="1"/>
        <rFont val="Verdana"/>
      </rPr>
      <t>125 mm dia</t>
    </r>
  </si>
  <si>
    <r>
      <rPr>
        <sz val="10"/>
        <color theme="1"/>
        <rFont val="Verdana"/>
      </rPr>
      <t>Nos.</t>
    </r>
  </si>
  <si>
    <r>
      <rPr>
        <sz val="10"/>
        <color theme="1"/>
        <rFont val="Verdana"/>
      </rPr>
      <t>MR</t>
    </r>
  </si>
  <si>
    <r>
      <rPr>
        <sz val="10"/>
        <color theme="1"/>
        <rFont val="Verdana"/>
      </rPr>
      <t>100 mm dia</t>
    </r>
  </si>
  <si>
    <r>
      <rPr>
        <sz val="10"/>
        <color theme="1"/>
        <rFont val="Verdana"/>
      </rPr>
      <t>Nos.</t>
    </r>
  </si>
  <si>
    <r>
      <rPr>
        <sz val="10"/>
        <color theme="1"/>
        <rFont val="Verdana"/>
      </rPr>
      <t>MR</t>
    </r>
  </si>
  <si>
    <r>
      <rPr>
        <sz val="10"/>
        <color theme="1"/>
        <rFont val="Verdana"/>
      </rPr>
      <t>80 mm dia</t>
    </r>
  </si>
  <si>
    <r>
      <rPr>
        <sz val="10"/>
        <color theme="1"/>
        <rFont val="Verdana"/>
      </rPr>
      <t>Nos.</t>
    </r>
  </si>
  <si>
    <r>
      <rPr>
        <sz val="10"/>
        <color theme="1"/>
        <rFont val="Verdana"/>
      </rPr>
      <t>MR</t>
    </r>
  </si>
  <si>
    <r>
      <rPr>
        <sz val="10"/>
        <color theme="1"/>
        <rFont val="Verdana"/>
      </rPr>
      <t>65 mm dia</t>
    </r>
  </si>
  <si>
    <r>
      <rPr>
        <sz val="10"/>
        <color theme="1"/>
        <rFont val="Verdana"/>
      </rPr>
      <t>Nos.</t>
    </r>
  </si>
  <si>
    <r>
      <rPr>
        <sz val="10"/>
        <color theme="1"/>
        <rFont val="Verdana"/>
      </rPr>
      <t>MR</t>
    </r>
  </si>
  <si>
    <r>
      <rPr>
        <sz val="10"/>
        <color theme="1"/>
        <rFont val="Verdana"/>
      </rPr>
      <t>50 mm dia</t>
    </r>
  </si>
  <si>
    <r>
      <rPr>
        <sz val="10"/>
        <color theme="1"/>
        <rFont val="Verdana"/>
      </rPr>
      <t>Nos.</t>
    </r>
  </si>
  <si>
    <r>
      <rPr>
        <sz val="10"/>
        <color theme="1"/>
        <rFont val="Verdana"/>
      </rPr>
      <t>MR</t>
    </r>
  </si>
  <si>
    <r>
      <rPr>
        <sz val="10"/>
        <color theme="1"/>
        <rFont val="Verdana"/>
      </rPr>
      <t>40 mm dia</t>
    </r>
  </si>
  <si>
    <r>
      <rPr>
        <sz val="10"/>
        <color theme="1"/>
        <rFont val="Verdana"/>
      </rPr>
      <t>Nos.</t>
    </r>
  </si>
  <si>
    <r>
      <rPr>
        <sz val="10"/>
        <color theme="1"/>
        <rFont val="Verdana"/>
      </rPr>
      <t>MR</t>
    </r>
  </si>
  <si>
    <r>
      <rPr>
        <sz val="10"/>
        <color theme="1"/>
        <rFont val="Verdana"/>
      </rPr>
      <t>32 mm dia</t>
    </r>
  </si>
  <si>
    <r>
      <rPr>
        <sz val="10"/>
        <color theme="1"/>
        <rFont val="Verdana"/>
      </rPr>
      <t>Nos.</t>
    </r>
  </si>
  <si>
    <r>
      <rPr>
        <sz val="10"/>
        <color theme="1"/>
        <rFont val="Verdana"/>
      </rPr>
      <t>MR</t>
    </r>
  </si>
  <si>
    <r>
      <rPr>
        <sz val="10"/>
        <color theme="1"/>
        <rFont val="Verdana"/>
      </rPr>
      <t>25 mm dia</t>
    </r>
  </si>
  <si>
    <r>
      <rPr>
        <sz val="10"/>
        <color theme="1"/>
        <rFont val="Verdana"/>
      </rPr>
      <t>Nos.</t>
    </r>
  </si>
  <si>
    <r>
      <rPr>
        <b/>
        <sz val="10"/>
        <color theme="1"/>
        <rFont val="Verdana"/>
      </rPr>
      <t>MR</t>
    </r>
  </si>
  <si>
    <r>
      <rPr>
        <b/>
        <sz val="10"/>
        <color theme="1"/>
        <rFont val="Verdana"/>
      </rPr>
      <t>PUSH BUTTONS</t>
    </r>
  </si>
  <si>
    <r>
      <rPr>
        <b/>
        <sz val="10"/>
        <color theme="1"/>
        <rFont val="Verdana"/>
      </rPr>
      <t>MR</t>
    </r>
  </si>
  <si>
    <r>
      <rPr>
        <sz val="10"/>
        <color theme="1"/>
        <rFont val="Verdana"/>
      </rPr>
      <t>Stay-Put Type ON/OFF Push Buttons in a Hinge Box. (150mm x 150mm size) - in IP-rated Outdoor-type Weather-proof enclosure. OFF push button shall be in a Lockable-type 2 hour / 250 deg. C Fire Rated Enclosure.</t>
    </r>
  </si>
  <si>
    <r>
      <rPr>
        <sz val="10"/>
        <color theme="1"/>
        <rFont val="Verdana"/>
      </rPr>
      <t>Nos.</t>
    </r>
  </si>
  <si>
    <r>
      <rPr>
        <b/>
        <sz val="10"/>
        <color theme="1"/>
        <rFont val="Verdana"/>
      </rPr>
      <t>MR</t>
    </r>
  </si>
  <si>
    <r>
      <rPr>
        <sz val="10"/>
        <color theme="1"/>
        <rFont val="Verdana"/>
      </rPr>
      <t>Stay-Put Type OFF Push Buttons in a Hinge Box. (150mm x 150mm size) - in IP-rated Outdoor-type Weather-proof enclosure. OFF push button shall be in a Lockable-type 2 hour / 250 deg. C Fire Rated Enclosure.</t>
    </r>
  </si>
  <si>
    <r>
      <rPr>
        <sz val="10"/>
        <color theme="1"/>
        <rFont val="Verdana"/>
      </rPr>
      <t>Nos.</t>
    </r>
  </si>
  <si>
    <r>
      <rPr>
        <b/>
        <sz val="10"/>
        <color theme="1"/>
        <rFont val="Verdana"/>
      </rPr>
      <t>CABLING &amp; WIRING</t>
    </r>
  </si>
  <si>
    <r>
      <rPr>
        <sz val="10"/>
        <color rgb="FF000000"/>
        <rFont val="Verdana"/>
      </rPr>
      <t xml:space="preserve">Supplying   &amp;   laying   of   2x1.5   sqmm   fire   survival   armoured   cable,
</t>
    </r>
    <r>
      <rPr>
        <sz val="10"/>
        <color rgb="FF000000"/>
        <rFont val="Verdana"/>
      </rPr>
      <t xml:space="preserve">600/1000V rated with annealed copper conductor having glass  mica fire barrier tape covered by an extruded
</t>
    </r>
    <r>
      <rPr>
        <sz val="10"/>
        <color rgb="FF000000"/>
        <rFont val="Verdana"/>
      </rPr>
      <t xml:space="preserve">layer  of  Cross  Linkable  Ethylene  Propylene  Rubber  (EPR)  insulation  and LSZH inner bedding, steel wire armouring &amp; LSZH outer sheath complete
</t>
    </r>
    <r>
      <rPr>
        <sz val="10"/>
        <color rgb="FF000000"/>
        <rFont val="Verdana"/>
      </rPr>
      <t>as required.</t>
    </r>
  </si>
  <si>
    <r>
      <rPr>
        <sz val="10"/>
        <color theme="1"/>
        <rFont val="Verdana"/>
      </rPr>
      <t>RM</t>
    </r>
  </si>
  <si>
    <r>
      <rPr>
        <b/>
        <sz val="10"/>
        <color theme="1"/>
        <rFont val="Verdana"/>
      </rPr>
      <t>TOTAL CARRIED OVER TO SUMMARY</t>
    </r>
  </si>
  <si>
    <r>
      <rPr>
        <b/>
        <sz val="10"/>
        <color theme="1"/>
        <rFont val="Verdana"/>
      </rPr>
      <t>B HEAD D</t>
    </r>
  </si>
  <si>
    <r>
      <rPr>
        <b/>
        <sz val="10"/>
        <color theme="1"/>
        <rFont val="Verdana"/>
      </rPr>
      <t>CHILLERS</t>
    </r>
  </si>
  <si>
    <r>
      <rPr>
        <b/>
        <sz val="10"/>
        <color theme="1"/>
        <rFont val="Verdana"/>
      </rPr>
      <t>AIR COOLED SCROLL CHILLERS WITH VFD</t>
    </r>
  </si>
  <si>
    <r>
      <rPr>
        <sz val="10"/>
        <color theme="1"/>
        <rFont val="Verdana"/>
      </rPr>
      <t>Supplying, installation, testing and commissioning of following capacity Air- Cooled,  Scroll  Chiller  package  complete  with  VFD  (Variable  Frequency Drive),  hermetic  / semi  hermetic,  multiple  scroll type  compressors  each with step less capacity control of 25 % to 100 % of the rated capacity, with  microprocessor  based  control  panel,  motor,  starter  panel  (VFD), machine mounted, air- cooled condensers, factory fitted chiller insulation, water flow switch , vibration spring  Isolators, victaulic couplings, integral refrigerant piping and wiring with single/ two circuits, automatic and safety controls  mounted  in  central  console  panel  and  all  mounted  on  a  steel frame  (complete  as  per  specifications)  i/c  suitable  foundation/mounting structure made of RCC/MS Structure i/c anticorosive paint, anti vibration pad,  power  control  cable  and  connection  inter  connection  etc.  as  per design   approved  by  engineer-in-charge.   Motor  shall  be   suitable   for 415±10% 50 cycles. 3 phase AC supply. Refrigerant gas used shall be R- 32/R454B/R134A/R410 or GWP refrigerant.</t>
    </r>
  </si>
  <si>
    <r>
      <rPr>
        <sz val="10"/>
        <color theme="1"/>
        <rFont val="Verdana"/>
      </rPr>
      <t>The  chiller  shall  be  Building  Management  System  (BMS)compatible.  The system shall be  in confirmation to   IS :16590 and CPWD Specification as amended   upto   date.  BEE   Star   labeling   and  CPWD   Specification   as amended upto date and tested as per IS 16590.</t>
    </r>
  </si>
  <si>
    <r>
      <rPr>
        <sz val="10"/>
        <color theme="1"/>
        <rFont val="Verdana"/>
      </rPr>
      <t>Chilled water Leaving Temp.  (6.67°C)</t>
    </r>
  </si>
  <si>
    <r>
      <rPr>
        <sz val="10"/>
        <color theme="1"/>
        <rFont val="Verdana"/>
      </rPr>
      <t>Chilled water Entering Temp.  (12.2°C)</t>
    </r>
  </si>
  <si>
    <r>
      <rPr>
        <sz val="10"/>
        <color theme="1"/>
        <rFont val="Verdana"/>
      </rPr>
      <t>Evaporator fouling factor = 0.018 m²°C/kW</t>
    </r>
  </si>
  <si>
    <r>
      <rPr>
        <sz val="10"/>
        <color theme="1"/>
        <rFont val="Verdana"/>
      </rPr>
      <t>Condenser air entering temp. : As per Site Dry Bulb Temperature</t>
    </r>
  </si>
  <si>
    <r>
      <rPr>
        <sz val="10"/>
        <color rgb="FF000000"/>
        <rFont val="Verdana"/>
      </rPr>
      <t xml:space="preserve">Suitable for Seismic Zone  and Altitude as per location/site.
</t>
    </r>
    <r>
      <rPr>
        <sz val="10"/>
        <color rgb="FF000000"/>
        <rFont val="Verdana"/>
      </rPr>
      <t>Microprocessor based controller.</t>
    </r>
  </si>
  <si>
    <r>
      <rPr>
        <sz val="10"/>
        <color rgb="FF000000"/>
        <rFont val="Verdana"/>
      </rPr>
      <t xml:space="preserve">Note: Cost to include visit to  OEM factory before delivery of materials at
</t>
    </r>
    <r>
      <rPr>
        <sz val="10"/>
        <color rgb="FF000000"/>
        <rFont val="Verdana"/>
      </rPr>
      <t>site for a FAT, process and quality inspection of the proposed materials in the tender under this head for 3 persons from user / project manager / designer firm.</t>
    </r>
  </si>
  <si>
    <r>
      <rPr>
        <sz val="10"/>
        <color theme="1"/>
        <rFont val="Verdana"/>
      </rPr>
      <t>51 TR - 70 TR BEE 4 Star Rated (Actual Capacity 4 Nos. x 60 TR (3W+1S))</t>
    </r>
  </si>
  <si>
    <r>
      <rPr>
        <sz val="10"/>
        <color theme="1"/>
        <rFont val="Verdana"/>
      </rPr>
      <t>per TR</t>
    </r>
  </si>
  <si>
    <r>
      <rPr>
        <sz val="10"/>
        <color theme="1"/>
        <rFont val="Verdana"/>
      </rPr>
      <t>MR</t>
    </r>
  </si>
  <si>
    <r>
      <rPr>
        <b/>
        <sz val="10"/>
        <color theme="1"/>
        <rFont val="Verdana"/>
      </rPr>
      <t>CHILLER PLANT OPTIMIZER</t>
    </r>
  </si>
  <si>
    <r>
      <rPr>
        <sz val="10"/>
        <color theme="1"/>
        <rFont val="Verdana"/>
      </rPr>
      <t>Design,   Supply,   installation,   testing   &amp;   commissioning   of   BTL-listed CHILLER PLANT OPTIMIZER (CPO) in 16G powder coated, lockable sheet steel   enclosure.   It   must   combine   Bacnet   listed   32   bit   Supervisory controllers, IO CARDS  (with accessories like Transformer,  MCB, internal wiring and Relays with bases), Bacnet listed 32 bit DDC/IOM controllers for equipment control along with Chiller plant optimization software and logic. It  should  be  capable  to  monitor,  operate  and  generate  reports  from remote  location.  It  should  possess  3  tier  architecture  combination  of hardware and software and also must include advance graphics for easy storage (min. 12 months) and report generation.</t>
    </r>
  </si>
  <si>
    <r>
      <rPr>
        <sz val="10"/>
        <color rgb="FF000000"/>
        <rFont val="Verdana"/>
      </rPr>
      <t xml:space="preserve">(A) Multi user with simultaneous minimum 5 user login facility,
</t>
    </r>
    <r>
      <rPr>
        <sz val="10"/>
        <color rgb="FF000000"/>
        <rFont val="Verdana"/>
      </rPr>
      <t xml:space="preserve">(B) Unlimited user without additional licence,
</t>
    </r>
    <r>
      <rPr>
        <sz val="10"/>
        <color rgb="FF000000"/>
        <rFont val="Verdana"/>
      </rPr>
      <t xml:space="preserve">(C)  Shall  be  browsed  by  Microsoft   Internet  Exlporer   and  Netscape Navigator,
</t>
    </r>
    <r>
      <rPr>
        <sz val="10"/>
        <color rgb="FF000000"/>
        <rFont val="Verdana"/>
      </rPr>
      <t xml:space="preserve">(D) BTL certified,
</t>
    </r>
    <r>
      <rPr>
        <sz val="10"/>
        <color rgb="FF000000"/>
        <rFont val="Verdana"/>
      </rPr>
      <t xml:space="preserve">(E) Web engine should be 32bit configuration,
</t>
    </r>
    <r>
      <rPr>
        <sz val="10"/>
        <color rgb="FF000000"/>
        <rFont val="Verdana"/>
      </rPr>
      <t xml:space="preserve">(F) Should have inbuilt display and keys to operate in absence of PC,
</t>
    </r>
    <r>
      <rPr>
        <sz val="10"/>
        <color rgb="FF000000"/>
        <rFont val="Verdana"/>
      </rPr>
      <t xml:space="preserve">(G) Should have inbuilt IO points,
</t>
    </r>
    <r>
      <rPr>
        <sz val="10"/>
        <color rgb="FF000000"/>
        <rFont val="Verdana"/>
      </rPr>
      <t xml:space="preserve">(H)  Functionally  able  to  act  as  a   DDC   controller  also  apart  from Supervisory controller function,
</t>
    </r>
    <r>
      <rPr>
        <sz val="10"/>
        <color rgb="FF000000"/>
        <rFont val="Verdana"/>
      </rPr>
      <t xml:space="preserve">(I) Web engine should support ASHRAE standard BACnet MS/TP protocol, Proprietry Protocol shall not be accepted. Interface for software integration on Chiller on N2/BACnet MS/TP protocol.
</t>
    </r>
    <r>
      <rPr>
        <sz val="10"/>
        <color rgb="FF000000"/>
        <rFont val="Verdana"/>
      </rPr>
      <t xml:space="preserve">(J)  Web  engine  should  support  integration  of  third  party  protocol  (eg MODbus-RTU) seemlessly without adding additional hardware,
</t>
    </r>
    <r>
      <rPr>
        <sz val="10"/>
        <color rgb="FF000000"/>
        <rFont val="Verdana"/>
      </rPr>
      <t>(K) Web engine should support DHCP function for IP addressing</t>
    </r>
  </si>
  <si>
    <r>
      <rPr>
        <b/>
        <sz val="10"/>
        <color rgb="FF000000"/>
        <rFont val="Verdana"/>
      </rPr>
      <t xml:space="preserve">Chiller  plant  manager  shall  essentially  be  able  to  perform  the
</t>
    </r>
    <r>
      <rPr>
        <b/>
        <sz val="10"/>
        <color rgb="FF000000"/>
        <rFont val="Verdana"/>
      </rPr>
      <t>following functions :</t>
    </r>
  </si>
  <si>
    <r>
      <rPr>
        <sz val="10"/>
        <color theme="1"/>
        <rFont val="Verdana"/>
      </rPr>
      <t>Chillers start and stop operation.</t>
    </r>
  </si>
  <si>
    <r>
      <rPr>
        <sz val="10"/>
        <color theme="1"/>
        <rFont val="Verdana"/>
      </rPr>
      <t>Chillers auto sequencing.</t>
    </r>
  </si>
  <si>
    <r>
      <rPr>
        <sz val="10"/>
        <color theme="1"/>
        <rFont val="Verdana"/>
      </rPr>
      <t>Optimizing chillers operation with optimization software and logic.</t>
    </r>
  </si>
  <si>
    <r>
      <rPr>
        <sz val="10"/>
        <color theme="1"/>
        <rFont val="Verdana"/>
      </rPr>
      <t>Auto start and stop of condenser water pumps.</t>
    </r>
  </si>
  <si>
    <r>
      <rPr>
        <sz val="10"/>
        <color theme="1"/>
        <rFont val="Verdana"/>
      </rPr>
      <t>Auto start and stop of chilled water pumps.</t>
    </r>
  </si>
  <si>
    <r>
      <rPr>
        <sz val="10"/>
        <color rgb="FF000000"/>
        <rFont val="Verdana"/>
      </rPr>
      <t xml:space="preserve">On  and  off  operation  of  motorised  butterfly  valves  at  chiller  outlet,  at
</t>
    </r>
    <r>
      <rPr>
        <sz val="10"/>
        <color rgb="FF000000"/>
        <rFont val="Verdana"/>
      </rPr>
      <t>condenser outlet.</t>
    </r>
  </si>
  <si>
    <r>
      <rPr>
        <sz val="10"/>
        <color rgb="FF000000"/>
        <rFont val="Verdana"/>
      </rPr>
      <t xml:space="preserve">Having  capability  for  Software  integration  with  secondary  chilled  water
</t>
    </r>
    <r>
      <rPr>
        <sz val="10"/>
        <color rgb="FF000000"/>
        <rFont val="Verdana"/>
      </rPr>
      <t>pumps panel.</t>
    </r>
  </si>
  <si>
    <r>
      <rPr>
        <sz val="10"/>
        <color rgb="FF000000"/>
        <rFont val="Verdana"/>
      </rPr>
      <t xml:space="preserve">Having capability to monitor, operate and generate reports from remote
</t>
    </r>
    <r>
      <rPr>
        <sz val="10"/>
        <color rgb="FF000000"/>
        <rFont val="Verdana"/>
      </rPr>
      <t>location.</t>
    </r>
  </si>
  <si>
    <r>
      <rPr>
        <sz val="10"/>
        <color theme="1"/>
        <rFont val="Verdana"/>
      </rPr>
      <t>Load Management and Optimization to ensure maximum performance and energy  efficiency  using  Artificial  Intelligence  and  Machine  Learning.  The CPO should be able to define the most energy efficient operation of the complete plant by capping the max. IKW/TR.</t>
    </r>
  </si>
  <si>
    <r>
      <rPr>
        <b/>
        <sz val="10"/>
        <color theme="1"/>
        <rFont val="Verdana"/>
      </rPr>
      <t>Wiring Standard</t>
    </r>
  </si>
  <si>
    <r>
      <rPr>
        <sz val="10"/>
        <color theme="1"/>
        <rFont val="Verdana"/>
      </rPr>
      <t>2C x 1.0Sqmm, 1.1 KV grade PVC Insulated, stranded copper conductor, Lead Free armoured FRLS with all accessories for field devices.</t>
    </r>
  </si>
  <si>
    <r>
      <rPr>
        <sz val="10"/>
        <color rgb="FF000000"/>
        <rFont val="Verdana"/>
      </rPr>
      <t xml:space="preserve">3C x 1.5Sqmm, 1.1 KV grade PVC Insulated, stranded copper conductor, Lead  Free  armoured  FRLS  cable  with  all  accessories  for  Powering  DDC,
</t>
    </r>
    <r>
      <rPr>
        <sz val="10"/>
        <color rgb="FF000000"/>
        <rFont val="Verdana"/>
      </rPr>
      <t>Actuators etc.</t>
    </r>
  </si>
  <si>
    <r>
      <rPr>
        <sz val="10"/>
        <color theme="1"/>
        <rFont val="Verdana"/>
      </rPr>
      <t>3Cx  1.0Sqmm, 1.1 KV grade PVC Insulated, stranded copper conductor, Lead  Free  armoured,  FRLS  twisted  (14  ~  16  twists  per  mtr)   cable,  for communication. With all accessories. 3rd core shall be used for shielding.</t>
    </r>
  </si>
  <si>
    <r>
      <rPr>
        <sz val="10"/>
        <color rgb="FF000000"/>
        <rFont val="Verdana"/>
      </rPr>
      <t xml:space="preserve">PVC insulated, Twisted Pair, tinned copper conductor CAT-6 cables for BMS
</t>
    </r>
    <r>
      <rPr>
        <sz val="10"/>
        <color rgb="FF000000"/>
        <rFont val="Verdana"/>
      </rPr>
      <t>/ CPO Network. Armoured FRLS as per relevant IS standard.</t>
    </r>
  </si>
  <si>
    <r>
      <rPr>
        <sz val="10"/>
        <color theme="1"/>
        <rFont val="Verdana"/>
      </rPr>
      <t>2C  x  1.0Sqmm,  1.1  KV  grade  PVC  Insulated,  stranded  flexible  copper conductor, un-armoured FRLS wire for Field devices, last mile connectivity.</t>
    </r>
  </si>
  <si>
    <r>
      <rPr>
        <sz val="10"/>
        <color theme="1"/>
        <rFont val="Verdana"/>
      </rPr>
      <t>All sensors / field devices as per specifications.</t>
    </r>
  </si>
  <si>
    <r>
      <rPr>
        <sz val="10"/>
        <color rgb="FF000000"/>
        <rFont val="Verdana"/>
      </rPr>
      <t xml:space="preserve">All wiring in necessary heavy-duty GI conduiting complete  with  bends &amp;
</t>
    </r>
    <r>
      <rPr>
        <sz val="10"/>
        <color rgb="FF000000"/>
        <rFont val="Verdana"/>
      </rPr>
      <t>junction boxes etc.</t>
    </r>
  </si>
  <si>
    <r>
      <rPr>
        <sz val="10"/>
        <color theme="1"/>
        <rFont val="Verdana"/>
      </rPr>
      <t>UPS of suitable capacity with 10min battery back-up</t>
    </r>
  </si>
  <si>
    <r>
      <rPr>
        <sz val="10"/>
        <color rgb="FF000000"/>
        <rFont val="Verdana"/>
      </rPr>
      <t xml:space="preserve">Chiller Plant Optimizer as described above and suitable for 15% additional
</t>
    </r>
    <r>
      <rPr>
        <sz val="10"/>
        <color rgb="FF000000"/>
        <rFont val="Verdana"/>
      </rPr>
      <t>points over the IO summary as enclosed.</t>
    </r>
  </si>
  <si>
    <r>
      <rPr>
        <sz val="10"/>
        <color theme="1"/>
        <rFont val="Verdana"/>
      </rPr>
      <t>Sets</t>
    </r>
  </si>
  <si>
    <r>
      <rPr>
        <sz val="10"/>
        <color rgb="FF000000"/>
        <rFont val="Verdana"/>
      </rPr>
      <t xml:space="preserve">Note: Cost to include visit to  OEM factory before delivery of materials at
</t>
    </r>
    <r>
      <rPr>
        <sz val="10"/>
        <color rgb="FF000000"/>
        <rFont val="Verdana"/>
      </rPr>
      <t>site for a FAT, process and quality inspection of the proposed materials in the tender under this head for 3 persons from user / project manager / designer firm.</t>
    </r>
  </si>
  <si>
    <r>
      <rPr>
        <b/>
        <sz val="10"/>
        <color theme="1"/>
        <rFont val="Verdana"/>
      </rPr>
      <t>TOTAL CARRIED OVER TO SUMMARY</t>
    </r>
  </si>
  <si>
    <r>
      <rPr>
        <b/>
        <sz val="10"/>
        <color theme="1"/>
        <rFont val="Verdana"/>
      </rPr>
      <t>B HEAD E</t>
    </r>
  </si>
  <si>
    <r>
      <rPr>
        <b/>
        <sz val="10"/>
        <color theme="1"/>
        <rFont val="Verdana"/>
      </rPr>
      <t>AHU, FCU &amp; TFA</t>
    </r>
  </si>
  <si>
    <r>
      <rPr>
        <sz val="10"/>
        <color theme="1"/>
        <rFont val="Verdana"/>
      </rPr>
      <t>CEILING SUSPENDED AHU</t>
    </r>
  </si>
  <si>
    <r>
      <rPr>
        <sz val="10"/>
        <color theme="1"/>
        <rFont val="Verdana"/>
      </rPr>
      <t>Supplying, Installation, testing and commissioning  of Factory built ceiling suspended  chilled  water  double  skin  type  horizontal/vertical  air handling units of following capacity, made of 25mm thick panels consisting of pre plasticized G.I. casing of thickness 0.8mm outside layer and 0.8 mm inside layer  with  Polyurethane  Foam  (PUF)  insulation  factory  injected  between them  by  injection  moulding  machine,  complete  with  blower  section  with blower  suitable  for  static  pressure  as  required,  minimum  2  bend  PVC eliminators, cooling coil section with aluminium finned copper tubes (tubes thickness not less than 0.5mm) cooling coil of 4 row deep, filter section with 50mm thick metal viscous/ washable synthetic type air prefilters, belt drive  package  with  Totally  Enclosed  Fan  Cooled  (TEFC)  drive  motor  of efficiency class IE3 suitable for 415 ± 10% volts, 50Hz, 3 Phase AC supply suitably  designed  for  Variable  Frequency  Drive  (VFD)  applications,  drain connections, stainless steel (18G) drain pan with PUF insulation, 150 mm dia. dial type pressure gauges (2 nos.)and industrial type thermometres (2 nos.) at the inlet and outlet of coil, auto purge valve wherever required, necessary vibration  Isolation arrangement, noise level  shall not exceed 70 dB. AHU shall be AHRI/Eurovent certified, fan  shall be  AMCA certified etc.  Complete  as  per  CPWD  specification/drawings  and  as  directed  by Engineer-in-Charge. (Total static pressure considered is 50 mm WG).</t>
    </r>
  </si>
  <si>
    <r>
      <rPr>
        <sz val="10"/>
        <color theme="1"/>
        <rFont val="Verdana"/>
      </rPr>
      <t>1000 CFM</t>
    </r>
  </si>
  <si>
    <r>
      <rPr>
        <sz val="10"/>
        <color theme="1"/>
        <rFont val="Verdana"/>
      </rPr>
      <t>Each</t>
    </r>
  </si>
  <si>
    <r>
      <rPr>
        <sz val="10"/>
        <color theme="1"/>
        <rFont val="Verdana"/>
      </rPr>
      <t>1600 CFM</t>
    </r>
  </si>
  <si>
    <r>
      <rPr>
        <sz val="10"/>
        <color theme="1"/>
        <rFont val="Verdana"/>
      </rPr>
      <t>Each</t>
    </r>
  </si>
  <si>
    <r>
      <rPr>
        <sz val="10"/>
        <color theme="1"/>
        <rFont val="Verdana"/>
      </rPr>
      <t>2000 CFM</t>
    </r>
  </si>
  <si>
    <r>
      <rPr>
        <sz val="10"/>
        <color theme="1"/>
        <rFont val="Verdana"/>
      </rPr>
      <t>Each</t>
    </r>
  </si>
  <si>
    <r>
      <rPr>
        <sz val="10"/>
        <color theme="1"/>
        <rFont val="Verdana"/>
      </rPr>
      <t>2500 CFM</t>
    </r>
  </si>
  <si>
    <r>
      <rPr>
        <sz val="10"/>
        <color theme="1"/>
        <rFont val="Verdana"/>
      </rPr>
      <t>Each</t>
    </r>
  </si>
  <si>
    <r>
      <rPr>
        <sz val="10"/>
        <color theme="1"/>
        <rFont val="Verdana"/>
      </rPr>
      <t>3000 CFM</t>
    </r>
  </si>
  <si>
    <r>
      <rPr>
        <sz val="10"/>
        <color theme="1"/>
        <rFont val="Verdana"/>
      </rPr>
      <t>Each</t>
    </r>
  </si>
  <si>
    <r>
      <rPr>
        <sz val="10"/>
        <color theme="1"/>
        <rFont val="Verdana"/>
      </rPr>
      <t>4000 CFM</t>
    </r>
  </si>
  <si>
    <r>
      <rPr>
        <sz val="10"/>
        <color theme="1"/>
        <rFont val="Verdana"/>
      </rPr>
      <t>Each</t>
    </r>
  </si>
  <si>
    <r>
      <rPr>
        <sz val="10"/>
        <color theme="1"/>
        <rFont val="Verdana"/>
      </rPr>
      <t>5000 CFM</t>
    </r>
  </si>
  <si>
    <r>
      <rPr>
        <sz val="10"/>
        <color theme="1"/>
        <rFont val="Verdana"/>
      </rPr>
      <t>Each</t>
    </r>
  </si>
  <si>
    <r>
      <rPr>
        <sz val="10"/>
        <color theme="1"/>
        <rFont val="Verdana"/>
      </rPr>
      <t>6000 CFM</t>
    </r>
  </si>
  <si>
    <r>
      <rPr>
        <sz val="10"/>
        <color theme="1"/>
        <rFont val="Verdana"/>
      </rPr>
      <t>Each</t>
    </r>
  </si>
  <si>
    <r>
      <rPr>
        <sz val="10"/>
        <color theme="1"/>
        <rFont val="Verdana"/>
      </rPr>
      <t>MR</t>
    </r>
  </si>
  <si>
    <r>
      <rPr>
        <sz val="10"/>
        <color rgb="FF000000"/>
        <rFont val="Verdana"/>
      </rPr>
      <t xml:space="preserve">TFA AIR HANDLING UNIT'S (AHU) - OUTDOOR/INDOOR, FLOOR MOUNTED
</t>
    </r>
    <r>
      <rPr>
        <sz val="10"/>
        <color rgb="FF000000"/>
        <rFont val="Verdana"/>
      </rPr>
      <t>--   THERMAL   BREAK   DESIGN   -   WITH   BACKWARD   CURVED   DIDW CENTRIFUGAL FAN</t>
    </r>
  </si>
  <si>
    <r>
      <rPr>
        <sz val="10"/>
        <color rgb="FF000000"/>
        <rFont val="Verdana"/>
      </rPr>
      <t xml:space="preserve">MOUNTED, sectionalized construction, draw through type, THERMAL BREAK DESIGN air handling unit (AHU) as per specifications &amp; complete with the following:
</t>
    </r>
    <r>
      <rPr>
        <sz val="10"/>
        <color rgb="FF000000"/>
        <rFont val="Verdana"/>
      </rPr>
      <t xml:space="preserve">1-Construction Features:
</t>
    </r>
    <r>
      <rPr>
        <sz val="10"/>
        <color rgb="FF000000"/>
        <rFont val="Verdana"/>
      </rPr>
      <t xml:space="preserve">Double Skin Sandwich Panel: 48±2mm thick with PUF 40 kg / m². Sheet Thickness:
</t>
    </r>
    <r>
      <rPr>
        <sz val="10"/>
        <color rgb="FF000000"/>
        <rFont val="Verdana"/>
      </rPr>
      <t xml:space="preserve">Outer sheet: 1.0mm pre-coated plasticized galvanized steel &amp; Inner sheet: 0.8mm plain galvanized sheet.
</t>
    </r>
    <r>
      <rPr>
        <sz val="10"/>
        <color rgb="FF000000"/>
        <rFont val="Verdana"/>
      </rPr>
      <t xml:space="preserve">Condensate drain: 18G SS 304 sheet with insulation.
</t>
    </r>
    <r>
      <rPr>
        <sz val="10"/>
        <color rgb="FF000000"/>
        <rFont val="Verdana"/>
      </rPr>
      <t xml:space="preserve">Copper Coil with Aluminium Fins: Coil thickness 0.5mm,12FPI &amp; AHRI certified for performance.
</t>
    </r>
    <r>
      <rPr>
        <sz val="10"/>
        <color rgb="FF000000"/>
        <rFont val="Verdana"/>
      </rPr>
      <t xml:space="preserve">1A. Intake Dampers&amp; Louvres
</t>
    </r>
    <r>
      <rPr>
        <sz val="10"/>
        <color rgb="FF000000"/>
        <rFont val="Verdana"/>
      </rPr>
      <t xml:space="preserve">Fresh Air intake section with Bird Screen, Intake Louvers and manual * volume control dampers , complete assembly in Aluminium construction.(Indoor installed  TFA unit will not have bird screen and intake louvres.)
</t>
    </r>
    <r>
      <rPr>
        <sz val="10"/>
        <color rgb="FF000000"/>
        <rFont val="Verdana"/>
      </rPr>
      <t xml:space="preserve">• With Manual Damper*
</t>
    </r>
    <r>
      <rPr>
        <sz val="10"/>
        <color rgb="FF000000"/>
        <rFont val="Verdana"/>
      </rPr>
      <t xml:space="preserve">2-Air Filteration in Fresh air* :
</t>
    </r>
    <r>
      <rPr>
        <sz val="10"/>
        <color rgb="FF000000"/>
        <rFont val="Verdana"/>
      </rPr>
      <t xml:space="preserve">a. Pre-filter section with MERV-8 filters.(Synthetic media pre-filter, 90% down to 10 microns)
</t>
    </r>
    <r>
      <rPr>
        <sz val="10"/>
        <color rgb="FF000000"/>
        <rFont val="Verdana"/>
      </rPr>
      <t>3-AHU with marine light, door limit switch and door interlock.</t>
    </r>
  </si>
  <si>
    <r>
      <rPr>
        <sz val="10"/>
        <color rgb="FF000000"/>
        <rFont val="Verdana"/>
      </rPr>
      <t xml:space="preserve">d. Motor Effeciency shall be as per ECBC 2017:
</t>
    </r>
    <r>
      <rPr>
        <sz val="10"/>
        <color rgb="FF000000"/>
        <rFont val="Verdana"/>
      </rPr>
      <t xml:space="preserve">ECBC+: IE3
</t>
    </r>
    <r>
      <rPr>
        <sz val="10"/>
        <color rgb="FF000000"/>
        <rFont val="Verdana"/>
      </rPr>
      <t xml:space="preserve">Fan’s mechanical efficiency: not less than 70% for Backward curved fans. e.Fan &amp; motor shall be mounted on a common base frame with motor sliding rails &amp; complete base frame mounted on the AHU casing with vibration isolation spring isolators.
</t>
    </r>
    <r>
      <rPr>
        <sz val="10"/>
        <color rgb="FF000000"/>
        <rFont val="Verdana"/>
      </rPr>
      <t xml:space="preserve">f.Providing Local Power Isolator in a weather proof enclosure, single isolator for DOL &amp; VFD based motor and two isolators in Star-Delta based motor.
</t>
    </r>
    <r>
      <rPr>
        <sz val="10"/>
        <color rgb="FF000000"/>
        <rFont val="Verdana"/>
      </rPr>
      <t xml:space="preserve">Notes:
</t>
    </r>
    <r>
      <rPr>
        <sz val="10"/>
        <color rgb="FF000000"/>
        <rFont val="Verdana"/>
      </rPr>
      <t xml:space="preserve">a.2 layers rubber VI pads with GI Sheet in between AHU casing &amp; foundation block.
</t>
    </r>
    <r>
      <rPr>
        <sz val="10"/>
        <color rgb="FF000000"/>
        <rFont val="Verdana"/>
      </rPr>
      <t xml:space="preserve">b. Fan Outlet velocity: Not Exceeding 9.2 m/s.
</t>
    </r>
    <r>
      <rPr>
        <sz val="10"/>
        <color rgb="FF000000"/>
        <rFont val="Verdana"/>
      </rPr>
      <t xml:space="preserve">c. Noise Level: Not Exceeding 68-70 db @1m distance from AHU.
</t>
    </r>
    <r>
      <rPr>
        <sz val="10"/>
        <color rgb="FF000000"/>
        <rFont val="Verdana"/>
      </rPr>
      <t>d.Coil Working pressure* = 150 PSI/10kg/cm²/PN10*</t>
    </r>
  </si>
  <si>
    <r>
      <rPr>
        <sz val="10"/>
        <color theme="1"/>
        <rFont val="Verdana"/>
      </rPr>
      <t>The AHU selection shall be :</t>
    </r>
  </si>
  <si>
    <r>
      <rPr>
        <sz val="10"/>
        <color rgb="FF000000"/>
        <rFont val="Verdana"/>
      </rPr>
      <t xml:space="preserve">CFM            TSP               TR         Cooling             Approx. mmWg                          Coil                  Motor
</t>
    </r>
    <r>
      <rPr>
        <sz val="10"/>
        <color rgb="FF000000"/>
        <rFont val="Verdana"/>
      </rPr>
      <t>(Row)                (KW)</t>
    </r>
  </si>
  <si>
    <r>
      <rPr>
        <sz val="10"/>
        <color theme="1"/>
        <rFont val="Verdana"/>
      </rPr>
      <t>MR</t>
    </r>
  </si>
  <si>
    <r>
      <rPr>
        <sz val="10"/>
        <color theme="1"/>
        <rFont val="Verdana"/>
      </rPr>
      <t>4000           80               22.5          8                       3.7</t>
    </r>
  </si>
  <si>
    <r>
      <rPr>
        <sz val="10"/>
        <color theme="1"/>
        <rFont val="Verdana"/>
      </rPr>
      <t>Nos.</t>
    </r>
  </si>
  <si>
    <r>
      <rPr>
        <sz val="10"/>
        <color theme="1"/>
        <rFont val="Verdana"/>
      </rPr>
      <t>MR</t>
    </r>
  </si>
  <si>
    <r>
      <rPr>
        <sz val="10"/>
        <color theme="1"/>
        <rFont val="Verdana"/>
      </rPr>
      <t>2800           80               22.5          8                       1.5</t>
    </r>
  </si>
  <si>
    <r>
      <rPr>
        <sz val="10"/>
        <color theme="1"/>
        <rFont val="Verdana"/>
      </rPr>
      <t>Nos.</t>
    </r>
  </si>
  <si>
    <r>
      <rPr>
        <sz val="10"/>
        <color theme="1"/>
        <rFont val="Verdana"/>
      </rPr>
      <t>MR</t>
    </r>
  </si>
  <si>
    <r>
      <rPr>
        <sz val="10"/>
        <color theme="1"/>
        <rFont val="Verdana"/>
      </rPr>
      <t>1100           80               22.5          8                       1.1</t>
    </r>
  </si>
  <si>
    <r>
      <rPr>
        <sz val="10"/>
        <color theme="1"/>
        <rFont val="Verdana"/>
      </rPr>
      <t>Nos.</t>
    </r>
  </si>
  <si>
    <r>
      <rPr>
        <sz val="10"/>
        <color theme="1"/>
        <rFont val="Verdana"/>
      </rPr>
      <t>Note:</t>
    </r>
  </si>
  <si>
    <r>
      <rPr>
        <sz val="10"/>
        <color theme="1"/>
        <rFont val="Verdana"/>
      </rPr>
      <t>1. Contractor / Equipment manufacturer to calculate total static pressure (TSP) in mm Wg by adding ESP &amp; internal static pressure of the unit. TSP selected should be such that under all operating conditions, the designed ESP &amp; CFM (duty parameter) is delivered.</t>
    </r>
  </si>
  <si>
    <r>
      <rPr>
        <sz val="10"/>
        <color rgb="FF000000"/>
        <rFont val="Verdana"/>
      </rPr>
      <t xml:space="preserve">2.Necessary civil work such as plinth / foundation / base for AHU mounting
</t>
    </r>
    <r>
      <rPr>
        <sz val="10"/>
        <color rgb="FF000000"/>
        <rFont val="Verdana"/>
      </rPr>
      <t>is excluded from scope of work.</t>
    </r>
  </si>
  <si>
    <r>
      <rPr>
        <sz val="10"/>
        <color theme="1"/>
        <rFont val="Verdana"/>
      </rPr>
      <t>MR</t>
    </r>
  </si>
  <si>
    <r>
      <rPr>
        <sz val="10"/>
        <color theme="1"/>
        <rFont val="Verdana"/>
      </rPr>
      <t>TFA AIR HANDLING UNIT'S (AHU) WITHOUT COOLING COIL</t>
    </r>
  </si>
  <si>
    <r>
      <rPr>
        <sz val="10"/>
        <color rgb="FF000000"/>
        <rFont val="Verdana"/>
      </rPr>
      <t xml:space="preserve">MOUNTED,  Sectionalized  construction,  outdoor  construction,  Ventilation Unit as per specifications and complete with the following:
</t>
    </r>
    <r>
      <rPr>
        <sz val="10"/>
        <color rgb="FF000000"/>
        <rFont val="Verdana"/>
      </rPr>
      <t xml:space="preserve">a.Fan  section  with  DIDW  Centrifugal  fan,  high  efficiency  fan,  Forward Curved blower with fire retardant canvass connection at fan inlet. AMCA Certified &amp; listed for performance &amp; sound power level. Fan shall be as per FEG-71 Grade as per AMCA.
</t>
    </r>
    <r>
      <rPr>
        <sz val="10"/>
        <color rgb="FF000000"/>
        <rFont val="Verdana"/>
      </rPr>
      <t xml:space="preserve">b. Intake Dampers&amp; Louvres
</t>
    </r>
    <r>
      <rPr>
        <sz val="10"/>
        <color rgb="FF000000"/>
        <rFont val="Verdana"/>
      </rPr>
      <t xml:space="preserve">Fresh Air intake section with Bird Screen, Intake  Louvers and  manual * volume    control    dampers    ,    complete    assembly    in    Aluminium construction.(Indoor  installed   TFA  unit  will  not  have  bird  screen  and intake louvres.)
</t>
    </r>
    <r>
      <rPr>
        <sz val="10"/>
        <color rgb="FF000000"/>
        <rFont val="Verdana"/>
      </rPr>
      <t xml:space="preserve">• With Manual Damper*
</t>
    </r>
    <r>
      <rPr>
        <sz val="10"/>
        <color rgb="FF000000"/>
        <rFont val="Verdana"/>
      </rPr>
      <t xml:space="preserve">c-Air Filteration in Fresh air* :
</t>
    </r>
    <r>
      <rPr>
        <sz val="10"/>
        <color rgb="FF000000"/>
        <rFont val="Verdana"/>
      </rPr>
      <t xml:space="preserve">a.  Pre-filter  section  with  MERV-8  filters.(Synthetic  media  pre-filter,  90% down to 10 microns)
</t>
    </r>
    <r>
      <rPr>
        <sz val="10"/>
        <color rgb="FF000000"/>
        <rFont val="Verdana"/>
      </rPr>
      <t xml:space="preserve">d.High efficiency 'IE3' squirrel cage induction motor suitable for 415±10% volts,  50±5%Hz,  3  phase  AC  supply.  Motor  shall  be  suitable  for  VFD operation. It shall be complete with V-Belt drive package.
</t>
    </r>
    <r>
      <rPr>
        <sz val="10"/>
        <color rgb="FF000000"/>
        <rFont val="Verdana"/>
      </rPr>
      <t xml:space="preserve">Motor Effeciency Class: IE3* as per IEC 60034-30-1
</t>
    </r>
    <r>
      <rPr>
        <sz val="10"/>
        <color rgb="FF000000"/>
        <rFont val="Verdana"/>
      </rPr>
      <t>e.Fan &amp; motors  shall be  mounted on  a common  base frame  with motor sliding rails &amp; complete base frame mounted on the Ventilation Unit casing</t>
    </r>
  </si>
  <si>
    <r>
      <rPr>
        <sz val="10"/>
        <color rgb="FF000000"/>
        <rFont val="Verdana"/>
      </rPr>
      <t xml:space="preserve">CFM                 TSP                          Approx. mmWg                       Motor
</t>
    </r>
    <r>
      <rPr>
        <sz val="10"/>
        <color rgb="FF000000"/>
        <rFont val="Verdana"/>
      </rPr>
      <t>(KW)</t>
    </r>
  </si>
  <si>
    <r>
      <rPr>
        <sz val="10"/>
        <color theme="1"/>
        <rFont val="Verdana"/>
      </rPr>
      <t>2600                65                               1.5</t>
    </r>
  </si>
  <si>
    <r>
      <rPr>
        <sz val="10"/>
        <color theme="1"/>
        <rFont val="Verdana"/>
      </rPr>
      <t>Nos.</t>
    </r>
  </si>
  <si>
    <r>
      <rPr>
        <b/>
        <sz val="10"/>
        <color theme="1"/>
        <rFont val="Verdana"/>
      </rPr>
      <t>MR</t>
    </r>
  </si>
  <si>
    <r>
      <rPr>
        <b/>
        <sz val="10"/>
        <color theme="1"/>
        <rFont val="Verdana"/>
      </rPr>
      <t>Cabinet Fan For</t>
    </r>
  </si>
  <si>
    <r>
      <rPr>
        <sz val="10"/>
        <color rgb="FF000000"/>
        <rFont val="Verdana"/>
      </rPr>
      <t xml:space="preserve">MOUNTED,  Sectionalized  construction,  outdoor  construction,  Ventilation Unit as per specifications and complete with the following:
</t>
    </r>
    <r>
      <rPr>
        <sz val="10"/>
        <color rgb="FF000000"/>
        <rFont val="Verdana"/>
      </rPr>
      <t xml:space="preserve">a.Fan  section  with  DIDW  Centrifugal  fan,  high  efficiency  fan,  Forward Curved blower with fire retardant canvass connection at fan inlet. AMCA Certified &amp; listed for performance &amp; sound power level. Fan shall be as per FEG-71 Grade as per AMCA.
</t>
    </r>
    <r>
      <rPr>
        <sz val="10"/>
        <color rgb="FF000000"/>
        <rFont val="Verdana"/>
      </rPr>
      <t xml:space="preserve">b. Intake Dampers&amp; Louvres
</t>
    </r>
    <r>
      <rPr>
        <sz val="10"/>
        <color rgb="FF000000"/>
        <rFont val="Verdana"/>
      </rPr>
      <t xml:space="preserve">Fresh Air intake section with Bird Screen, Intake  Louvers and  manual * volume    control    dampers    ,    complete    assembly    in    Aluminium construction.(Indoor  installed   TFA  unit  will  not  have  bird  screen  and intake louvres.)
</t>
    </r>
    <r>
      <rPr>
        <sz val="10"/>
        <color rgb="FF000000"/>
        <rFont val="Verdana"/>
      </rPr>
      <t xml:space="preserve">• With Manual Damper*
</t>
    </r>
    <r>
      <rPr>
        <sz val="10"/>
        <color rgb="FF000000"/>
        <rFont val="Verdana"/>
      </rPr>
      <t xml:space="preserve">c-Air Filteration in Fresh air* :
</t>
    </r>
    <r>
      <rPr>
        <sz val="10"/>
        <color rgb="FF000000"/>
        <rFont val="Verdana"/>
      </rPr>
      <t xml:space="preserve">a.  Pre-filter  section  with  MERV-8  filters.(Synthetic  media  pre-filter,  90% down to 10 microns)
</t>
    </r>
    <r>
      <rPr>
        <sz val="10"/>
        <color rgb="FF000000"/>
        <rFont val="Verdana"/>
      </rPr>
      <t xml:space="preserve">d.High efficiency 'IE3' squirrel cage induction motor suitable for 415±10% volts,  50±5%Hz,  3  phase  AC  supply.  Motor  shall  be  suitable  for  VFD operation. It shall be complete with V-Belt drive package.
</t>
    </r>
    <r>
      <rPr>
        <sz val="10"/>
        <color rgb="FF000000"/>
        <rFont val="Verdana"/>
      </rPr>
      <t xml:space="preserve">Motor Effeciency Class: IE3* as per IEC 60034-30-1
</t>
    </r>
    <r>
      <rPr>
        <sz val="10"/>
        <color rgb="FF000000"/>
        <rFont val="Verdana"/>
      </rPr>
      <t>e.Fan &amp; motors  shall be  mounted on  a common  base frame  with motor sliding rails &amp; complete base frame mounted on the Ventilation Unit casing</t>
    </r>
  </si>
  <si>
    <r>
      <rPr>
        <sz val="10"/>
        <color rgb="FF000000"/>
        <rFont val="Verdana"/>
      </rPr>
      <t xml:space="preserve">CFM                 TSP                          Approx. mmWg                       Motor
</t>
    </r>
    <r>
      <rPr>
        <sz val="10"/>
        <color rgb="FF000000"/>
        <rFont val="Verdana"/>
      </rPr>
      <t>(KW)</t>
    </r>
  </si>
  <si>
    <r>
      <rPr>
        <sz val="10"/>
        <color theme="1"/>
        <rFont val="Verdana"/>
      </rPr>
      <t>Centralized pantry Exhaust</t>
    </r>
  </si>
  <si>
    <r>
      <rPr>
        <sz val="10"/>
        <color theme="1"/>
        <rFont val="Verdana"/>
      </rPr>
      <t>3300                40                               1.1</t>
    </r>
  </si>
  <si>
    <r>
      <rPr>
        <sz val="10"/>
        <color theme="1"/>
        <rFont val="Verdana"/>
      </rPr>
      <t>Nos.</t>
    </r>
  </si>
  <si>
    <r>
      <rPr>
        <sz val="10"/>
        <color theme="1"/>
        <rFont val="Verdana"/>
      </rPr>
      <t>Toilet Exhaust</t>
    </r>
  </si>
  <si>
    <r>
      <rPr>
        <sz val="10"/>
        <color theme="1"/>
        <rFont val="Verdana"/>
      </rPr>
      <t>2300                40                               0.75</t>
    </r>
  </si>
  <si>
    <r>
      <rPr>
        <sz val="10"/>
        <color theme="1"/>
        <rFont val="Verdana"/>
      </rPr>
      <t>Nos.</t>
    </r>
  </si>
  <si>
    <r>
      <rPr>
        <sz val="10"/>
        <color theme="1"/>
        <rFont val="Verdana"/>
      </rPr>
      <t>800                  40                               0.75</t>
    </r>
  </si>
  <si>
    <r>
      <rPr>
        <sz val="10"/>
        <color theme="1"/>
        <rFont val="Verdana"/>
      </rPr>
      <t>Nos.</t>
    </r>
  </si>
  <si>
    <r>
      <rPr>
        <sz val="10"/>
        <color theme="1"/>
        <rFont val="Verdana"/>
      </rPr>
      <t>700                   40                               0.75</t>
    </r>
  </si>
  <si>
    <r>
      <rPr>
        <sz val="10"/>
        <color theme="1"/>
        <rFont val="Verdana"/>
      </rPr>
      <t>Nos.</t>
    </r>
  </si>
  <si>
    <r>
      <rPr>
        <sz val="10"/>
        <color theme="1"/>
        <rFont val="Verdana"/>
      </rPr>
      <t>HIGH WALL FAN COIL UNIT</t>
    </r>
  </si>
  <si>
    <r>
      <rPr>
        <sz val="10"/>
        <color theme="1"/>
        <rFont val="Verdana"/>
      </rPr>
      <t>Supplying,  installation  ,testing  and  commissioning  of  High  wall  Fan  Coil Unit comprising of two 2 rows deep chilled water cooling coil, centrifugal blowers,  fractional  horsepower  (FHP)  motor  ,  synthetic  fibre  filters, insulated   &amp;   extended   condensate   drain   pan,   casing,   coil   piping connections, condensate drain piping connections &amp; wiring. Fan coil units shall be  suitable  for  operation  on 220  + 10%  Volts, 50Hz,  single phase power  supply  of  following  sizes  &amp;  capacities.  Complete  as  per  CPWD specification and as directed by Engineer-in-charge.</t>
    </r>
  </si>
  <si>
    <r>
      <rPr>
        <sz val="10"/>
        <color theme="1"/>
        <rFont val="Verdana"/>
      </rPr>
      <t>2.0 TR nominal capacity with 800 Cfm air quantity. (400 CFM, 0.9 TR)</t>
    </r>
  </si>
  <si>
    <r>
      <rPr>
        <sz val="10"/>
        <color theme="1"/>
        <rFont val="Verdana"/>
      </rPr>
      <t>Each</t>
    </r>
  </si>
  <si>
    <r>
      <rPr>
        <sz val="10"/>
        <color theme="1"/>
        <rFont val="Verdana"/>
      </rPr>
      <t>1.5 TR nominal capacity with 600 Cfm air quantity. (841 CFM, 2.3 TR)</t>
    </r>
  </si>
  <si>
    <r>
      <rPr>
        <sz val="10"/>
        <color theme="1"/>
        <rFont val="Verdana"/>
      </rPr>
      <t>Each</t>
    </r>
  </si>
  <si>
    <r>
      <rPr>
        <sz val="10"/>
        <color theme="1"/>
        <rFont val="Verdana"/>
      </rPr>
      <t>1.0 TR nominal capacity with 400 Cfm air quantity. (989 CFM 2.9 TR)</t>
    </r>
  </si>
  <si>
    <r>
      <rPr>
        <sz val="10"/>
        <color theme="1"/>
        <rFont val="Verdana"/>
      </rPr>
      <t>Each</t>
    </r>
  </si>
  <si>
    <r>
      <rPr>
        <sz val="10"/>
        <color theme="1"/>
        <rFont val="Verdana"/>
      </rPr>
      <t>MR</t>
    </r>
  </si>
  <si>
    <r>
      <rPr>
        <sz val="10"/>
        <color theme="1"/>
        <rFont val="Verdana"/>
      </rPr>
      <t>DRAIN PUMP</t>
    </r>
  </si>
  <si>
    <r>
      <rPr>
        <sz val="10"/>
        <color theme="1"/>
        <rFont val="Verdana"/>
      </rPr>
      <t>MR</t>
    </r>
  </si>
  <si>
    <r>
      <rPr>
        <sz val="10"/>
        <color theme="1"/>
        <rFont val="Verdana"/>
      </rPr>
      <t>Supply, Installation, Testing &amp; Commissioning of On Line Type Condensate drain  pump  for  Hi-wall  units  complete  with  water  level  sensor  and accessories as required. Quoted price shall be inclusive of controller, NRVs &amp; water sensors and associated wiring etc. to make installation complete. Drain  Pump  shall  be  suitable  for  operation  on  220+6  %  volts  50  Hz, 1phase AC power supply.(head 1meter)</t>
    </r>
  </si>
  <si>
    <r>
      <rPr>
        <sz val="10"/>
        <color theme="1"/>
        <rFont val="Verdana"/>
      </rPr>
      <t>Nos.</t>
    </r>
  </si>
  <si>
    <r>
      <rPr>
        <b/>
        <sz val="10"/>
        <color theme="1"/>
        <rFont val="Verdana"/>
      </rPr>
      <t>TOTAL CARRIED OVER TO SUMMARY</t>
    </r>
  </si>
  <si>
    <r>
      <rPr>
        <b/>
        <sz val="10"/>
        <color theme="1"/>
        <rFont val="Verdana"/>
      </rPr>
      <t>B HEAD F</t>
    </r>
  </si>
  <si>
    <r>
      <rPr>
        <b/>
        <sz val="10"/>
        <color theme="1"/>
        <rFont val="Verdana"/>
      </rPr>
      <t>EVAPORATIVE COOLING - AIR WASHER</t>
    </r>
  </si>
  <si>
    <r>
      <rPr>
        <sz val="10"/>
        <color theme="1"/>
        <rFont val="Verdana"/>
      </rPr>
      <t>EVAPORATIVE COOLING - AIR WASHER</t>
    </r>
  </si>
  <si>
    <r>
      <rPr>
        <sz val="10"/>
        <color rgb="FF000000"/>
        <rFont val="Verdana"/>
      </rPr>
      <t xml:space="preserve">Supplying,  Installation,  Testing  and  Commissioning  of  factory assembled double    skin    central    evaporative    cooling    plant    having    following specifications.
</t>
    </r>
    <r>
      <rPr>
        <sz val="10"/>
        <color rgb="FF000000"/>
        <rFont val="Verdana"/>
      </rPr>
      <t xml:space="preserve">a.  </t>
    </r>
    <r>
      <rPr>
        <b/>
        <sz val="10"/>
        <color rgb="FF000000"/>
        <rFont val="Verdana"/>
      </rPr>
      <t xml:space="preserve">Air  washer  </t>
    </r>
    <r>
      <rPr>
        <sz val="10"/>
        <color rgb="FF000000"/>
        <rFont val="Verdana"/>
      </rPr>
      <t xml:space="preserve">section  comprising  50  mm  thick  pre-air  filter  made  out from washable Aluminium wire mesh filter with 90 % down to 10 microns.
</t>
    </r>
    <r>
      <rPr>
        <sz val="10"/>
        <color rgb="FF000000"/>
        <rFont val="Verdana"/>
      </rPr>
      <t>b.   Humidification   section   comprising   of   Wet   pads   200   mm   thick impregnated cellulose paper media (Celdec pads) with two (2) bend PVC eliminator,  internal  casing  with  blank  off's  of  wet  section  In  SS-304 construction.</t>
    </r>
  </si>
  <si>
    <r>
      <rPr>
        <sz val="10"/>
        <color rgb="FF000000"/>
        <rFont val="Verdana"/>
      </rPr>
      <t xml:space="preserve">c.  Fan  Section  comprising  of  belt  driven,  Double  Inlet  Double   Width
</t>
    </r>
    <r>
      <rPr>
        <sz val="10"/>
        <color rgb="FF000000"/>
        <rFont val="Verdana"/>
      </rPr>
      <t xml:space="preserve">(DIDW) backward curved fan with outlet velocity less than or equal to 10 m/s and minimum efficiency of 70% Air Movement &amp; Control Association International (AMCA)
</t>
    </r>
    <r>
      <rPr>
        <sz val="10"/>
        <color rgb="FF000000"/>
        <rFont val="Verdana"/>
      </rPr>
      <t xml:space="preserve">certified  centrifugal  fan  suitable  for  required  cfm  at  50  mm  WC  static
</t>
    </r>
    <r>
      <rPr>
        <sz val="10"/>
        <color rgb="FF000000"/>
        <rFont val="Verdana"/>
      </rPr>
      <t>pressure.</t>
    </r>
  </si>
  <si>
    <r>
      <rPr>
        <sz val="10"/>
        <color rgb="FF000000"/>
        <rFont val="Verdana"/>
      </rPr>
      <t xml:space="preserve">d. Totally Enclosed Fan Cooled (TEFC) motor of IE-3 class as required with
</t>
    </r>
    <r>
      <rPr>
        <sz val="10"/>
        <color rgb="FF000000"/>
        <rFont val="Verdana"/>
      </rPr>
      <t>pulley, belt.</t>
    </r>
  </si>
  <si>
    <r>
      <rPr>
        <sz val="10"/>
        <color theme="1"/>
        <rFont val="Verdana"/>
      </rPr>
      <t>e. The unit shall be fabricated with frame work hollow extruded aluminium profile with  0.80 mm precoated GSS  on outside  and on  inside complete with 25 mm thick Chloroflouro Carbon (CFC) free Polyurthane Frame (PUF) insulation  of  minimum  40  kg/cum  density  sandwiched  in  between  inner and  outer  skins,  SS  -304  (18  SWG)  Sump  tank,  25mm  C-PVC  piping, make up, drain &amp; quick fill and drain connection, Butterfly/Gate valves for pumps, make up,  drain &amp; quick fill and drain connections of sump, 2 no. Pumps  of  suitable  capacity  and  necessary  fittings,  stand,  anti  vibration pads etc.as required.</t>
    </r>
  </si>
  <si>
    <r>
      <rPr>
        <sz val="10"/>
        <color theme="1"/>
        <rFont val="Verdana"/>
      </rPr>
      <t>f. Starter panel DOL/Star-Delta suitable for operation of Blower motor &amp; pump  made  out  of  1.6  mm  thick  sheet  steel  powder  coated  enclosure comprising  of  over  load  protection  relay,  short  circuit  &amp;  single  phasing protection, ON / OFF push buttons, ammeter, voltmeter, indicating lamps, MCB, contactor etc. (As per Specification of CPWD &amp; direction of Engineer- in -charge) complete in all respect</t>
    </r>
  </si>
  <si>
    <r>
      <rPr>
        <sz val="10"/>
        <color theme="1"/>
        <rFont val="Verdana"/>
      </rPr>
      <t>g. All as per pre approved by Engineer- in-charge.</t>
    </r>
  </si>
  <si>
    <r>
      <rPr>
        <sz val="10"/>
        <color theme="1"/>
        <rFont val="Verdana"/>
      </rPr>
      <t>4300 CFM Say 5000 CFM</t>
    </r>
  </si>
  <si>
    <r>
      <rPr>
        <sz val="10"/>
        <color theme="1"/>
        <rFont val="Verdana"/>
      </rPr>
      <t>Each</t>
    </r>
  </si>
  <si>
    <r>
      <rPr>
        <sz val="10"/>
        <color theme="1"/>
        <rFont val="Verdana"/>
      </rPr>
      <t>12200 CFM</t>
    </r>
  </si>
  <si>
    <r>
      <rPr>
        <sz val="10"/>
        <color theme="1"/>
        <rFont val="Verdana"/>
      </rPr>
      <t>Each</t>
    </r>
  </si>
  <si>
    <r>
      <rPr>
        <b/>
        <sz val="10"/>
        <color theme="1"/>
        <rFont val="Verdana"/>
      </rPr>
      <t>TOTAL CARRIED OVER TO SUMMARY</t>
    </r>
  </si>
  <si>
    <r>
      <rPr>
        <b/>
        <sz val="10"/>
        <color theme="1"/>
        <rFont val="Verdana"/>
      </rPr>
      <t>B HEAD G</t>
    </r>
  </si>
  <si>
    <r>
      <rPr>
        <b/>
        <sz val="10"/>
        <color theme="1"/>
        <rFont val="Verdana"/>
      </rPr>
      <t>HI - WALL SPLIT SYSTEMS</t>
    </r>
  </si>
  <si>
    <r>
      <rPr>
        <sz val="10"/>
        <color theme="1"/>
        <rFont val="Verdana"/>
      </rPr>
      <t>HI - WALL SPLIT SYSTEMS</t>
    </r>
  </si>
  <si>
    <r>
      <rPr>
        <sz val="10"/>
        <color theme="1"/>
        <rFont val="Verdana"/>
      </rPr>
      <t>Supplying , Installation, Testing and Commissioning of Air Cooled Hi Wall split type Air conditioners complete with Indoor unit(IDU), Out door unit (ODU), surface / concealed copper Refrigerant piping with insulation (closed cell elastomeric nitrile rubber tubular pipe section) upto 3 Mtr (IDU to ODU), copper power cable upto 3.5 Mtr (IDU to ODU) i/c drain pipe R- 32/R-410/ R-407 Green Refrigerant, wireless Remote control, suitable for working between 180- 260V with low &amp; high voltage cutoff and 50 hz ,1 phase AC supply capable of performing cooling, dehumidification, air circulation of following capacity with Scroll / rotary compressor. The  system shall be able to deliver 100% of the rated capacity upto 42 0C. Min 5 year Original 242 DELHI SCHEDULE OF RATES (E&amp;M)-2025 Equipment Manufacturer (OEM) warranty both compressor and Printed Circuit Board (PCB). Must comply : Electrical cable IS 694 or IS 9968 temperature sensing control IS /International Electrotechnical Commission (IEC) 60730, hermetic compressor IS 10617, heat exchanger IS 11329, capacitor IS 2993 and motor IS 12615. Complete as per CPWD specification and IS : 1391 Part II 2023. The system shall be able to operate up to 50 0C (out door ambient temperature).</t>
    </r>
  </si>
  <si>
    <r>
      <rPr>
        <sz val="10"/>
        <color theme="1"/>
        <rFont val="Verdana"/>
      </rPr>
      <t>1.0 TR with 5 Star BEE Rating</t>
    </r>
  </si>
  <si>
    <r>
      <rPr>
        <sz val="10"/>
        <color theme="1"/>
        <rFont val="Verdana"/>
      </rPr>
      <t>Each</t>
    </r>
  </si>
  <si>
    <r>
      <rPr>
        <b/>
        <sz val="10"/>
        <color theme="1"/>
        <rFont val="Verdana"/>
      </rPr>
      <t>TOTAL CARRIED OVER TO SUMMARY</t>
    </r>
  </si>
  <si>
    <r>
      <rPr>
        <b/>
        <sz val="10"/>
        <color theme="1"/>
        <rFont val="Verdana"/>
      </rPr>
      <t>B HEAD H</t>
    </r>
  </si>
  <si>
    <r>
      <rPr>
        <b/>
        <sz val="10"/>
        <color theme="1"/>
        <rFont val="Verdana"/>
      </rPr>
      <t>BMS  (BUILDING MANAGEMENT SYSTEM)</t>
    </r>
  </si>
  <si>
    <r>
      <rPr>
        <b/>
        <sz val="10"/>
        <color rgb="FF000000"/>
        <rFont val="Verdana"/>
      </rPr>
      <t xml:space="preserve">Design,  Supply,  Installation,  Testing,  Commissioning  &amp;  Handing
</t>
    </r>
    <r>
      <rPr>
        <b/>
        <sz val="10"/>
        <color rgb="FF000000"/>
        <rFont val="Verdana"/>
      </rPr>
      <t>over  the  Building  Management System  (BMS)  and  allied  systems as per specifications as below.</t>
    </r>
  </si>
  <si>
    <r>
      <rPr>
        <b/>
        <sz val="10"/>
        <color theme="1"/>
        <rFont val="Verdana"/>
      </rPr>
      <t>BMS Workstation and IT Components</t>
    </r>
  </si>
  <si>
    <r>
      <rPr>
        <b/>
        <sz val="10"/>
        <color theme="1"/>
        <rFont val="Verdana"/>
      </rPr>
      <t>CENTRAL CONTROL SERVER</t>
    </r>
  </si>
  <si>
    <r>
      <rPr>
        <sz val="10"/>
        <color theme="1"/>
        <rFont val="Verdana"/>
      </rPr>
      <t>Supplying  Installation  Testing  Commissioning  of  Central  Control  Server System   comprising   of   Intel®Xeon®   CPU   E5-2640   x64   (or   better) compatible with dual and quad core processors, Windows 11 (Professional, Enterprise,   Ultimate,   64   bit),   Windows   Server   2013   R2   (Standard, Enterprise,  64  bit)  16  GB  or  more,  Video  card  and  monitor  capable  of displaying  at  1024  x  768  resolution  or  better,  Latest  Microsoft  Licence Version  Operating  System  Loaded  with  MS  OFFICE  2019  Professional, Word,  EXCEL,  Power  Point,  Outlook  Express,  Microsoft  Team  official version lifetime licences suitable for running BMS software complete etc. as required.</t>
    </r>
  </si>
  <si>
    <r>
      <rPr>
        <sz val="10"/>
        <color theme="1"/>
        <rFont val="Verdana"/>
      </rPr>
      <t>Each</t>
    </r>
  </si>
  <si>
    <r>
      <rPr>
        <b/>
        <sz val="10"/>
        <color theme="1"/>
        <rFont val="Verdana"/>
      </rPr>
      <t>PC System</t>
    </r>
  </si>
  <si>
    <r>
      <rPr>
        <sz val="10"/>
        <color rgb="FF000000"/>
        <rFont val="Verdana"/>
      </rPr>
      <t xml:space="preserve">Supplying   Installation   Testing   Commissioning   of   Client   PC   System comprising  of  PC  Hardware  with  minimum11th  Gen  Intel®  I7  processor CPU  E5-2640  x64  (or  better),  compatible  with  dual  and  quad  core processors minimum 3.1 Ghz and 8GB or higher RAM, Hard Drive Space of
</t>
    </r>
    <r>
      <rPr>
        <sz val="10"/>
        <color rgb="FF000000"/>
        <rFont val="Verdana"/>
      </rPr>
      <t>256 GB SSD or better, Video card and monitor capable  of 1920 x 1080 pixel resolution or better with Ethernet adapter (10/100/1000 Mbps with RJ-45  connector)  with  2  GB  or  higher  Graphics  card  suitable  for  BMS System complete etc. as required.</t>
    </r>
  </si>
  <si>
    <r>
      <rPr>
        <sz val="10"/>
        <color theme="1"/>
        <rFont val="Verdana"/>
      </rPr>
      <t>Each</t>
    </r>
  </si>
  <si>
    <r>
      <rPr>
        <sz val="10"/>
        <color rgb="FF000000"/>
        <rFont val="Verdana"/>
      </rPr>
      <t xml:space="preserve">LED Display
</t>
    </r>
    <r>
      <rPr>
        <sz val="10"/>
        <color rgb="FF000000"/>
        <rFont val="Verdana"/>
      </rPr>
      <t>Supplying,  Installation,  Testing  and  Commissioning  of following  size  LED display  (LED  monitor)  industrial  grade  with  3840x2160  resolution  or better, USB playback, bluetooth and miracast connectivity, 4X HDMI 2.0, DP  1.2,  HDR  10/10+,  brightness:  500-nits  or  better,  Video  wall  mode should be available, contrast ratio: 1200:1, OPS slot, viewing angle (H/V): 170°/  170°,  response  time  less  than  12ms,  Display  control  shall  be  on monitor screen and programmable with remote (remote shall be supplied with system), Key Board, Optical Mouse, etc. as required.</t>
    </r>
  </si>
  <si>
    <r>
      <rPr>
        <sz val="10"/>
        <color theme="1"/>
        <rFont val="Verdana"/>
      </rPr>
      <t>Touchscreen   Color   portable   operator   terminal   Supplying   Installation Testing  Commissioning  of  following  sizes  Touchscreen  Color  portable operator terminal capable of connecting to one of the controllers on the communication  bus  and  view  parameters  of  the  complete  system.   The terminal should be capable of viewing /changing parameters and trends, the specified parameters as per requirement etc. as required.</t>
    </r>
  </si>
  <si>
    <r>
      <rPr>
        <sz val="10"/>
        <color theme="1"/>
        <rFont val="Verdana"/>
      </rPr>
      <t>7" Touch screen</t>
    </r>
  </si>
  <si>
    <r>
      <rPr>
        <sz val="10"/>
        <color theme="1"/>
        <rFont val="Verdana"/>
      </rPr>
      <t>Each</t>
    </r>
  </si>
  <si>
    <r>
      <rPr>
        <sz val="10"/>
        <color rgb="FF000000"/>
        <rFont val="Verdana"/>
      </rPr>
      <t xml:space="preserve">Supplying, installation, Testing &amp; Commissioning of  following capacity at full  load   (Unity  Power  Factor)  ON  LINE  Uninterrupted    Power  Supply (UPS)  system  suitable  for  Single  Phase  input,  Single  Phase  output  AC Supply. The UPS shall  include a Rectifier, inverter, battery bank suitable for 30 minutes back up  (Battery VAH capacity shall not be less than 1600 VAH per KVA of UPS rating per Hour backup time) on full load (Battery shall be VRLA, SMF in ABS Container)  and Static Bypass switch along with provision for manual bypass, suitable isolation transformer for additional protection   against   neutral   faults   etc.   The   UPS   systems   shall   be Microprocessor   based   Digital   Control,   using   Insulated   Gate   Bipolar Transistor (IGBT)'s both for the rectifier &amp; inverter with PWM (Pulse Width Modulation)   Technology.   The   quality   of   design,   manufacturing    and inspection process should confirm to the relevant Inter-national standards such as IEC/EN/VDE.  The operating efficiency of the UPS systems shall be
</t>
    </r>
    <r>
      <rPr>
        <sz val="10"/>
        <color rgb="FF000000"/>
        <rFont val="Verdana"/>
      </rPr>
      <t xml:space="preserve">&gt;95% at 100%  non-linear loads. Current total harmonic distortion(ITHD)/ total demand distortion (TDD) on the input grid  shall be  &lt; 5% at 100
</t>
    </r>
    <r>
      <rPr>
        <sz val="10"/>
        <color rgb="FF000000"/>
        <rFont val="Verdana"/>
      </rPr>
      <t>%load. (The required LC   filters shall be included  in UPS  cost), extreme power  factor  kit  to  be  include  to  limit  the  input  pf  to  0.99  and  output power factor shall be unity (i.e. kw rating of the UPS shall be kva rating x 1 ) however UPS shall be suitable to take load at 0.7 laging to 0.7 leading power factor loads. UPS shall be  suitable for incoming supply  AC single</t>
    </r>
  </si>
  <si>
    <r>
      <rPr>
        <sz val="10"/>
        <color theme="1"/>
        <rFont val="Verdana"/>
      </rPr>
      <t>6 KVA</t>
    </r>
  </si>
  <si>
    <r>
      <rPr>
        <sz val="10"/>
        <color theme="1"/>
        <rFont val="Verdana"/>
      </rPr>
      <t>Each</t>
    </r>
  </si>
  <si>
    <r>
      <rPr>
        <sz val="10"/>
        <color rgb="FF000000"/>
        <rFont val="Verdana"/>
      </rPr>
      <t xml:space="preserve">port Layer 2 indoor Network Switch having features and specifications etc. as
</t>
    </r>
    <r>
      <rPr>
        <sz val="10"/>
        <color rgb="FF000000"/>
        <rFont val="Verdana"/>
      </rPr>
      <t>mentioned  here  under:  At  least  24  X  RJ-45  Gigabit  Ethernet  Ports  and additional  2  X  10G  Base  -T  with  4  X  SFP  Ports  with  non-blocking architecture  by  having   Switching  capacity  of  min.  168Gbps  and  packet forwarding rate of 125Mpps or higher, 16K MAC table. Console Port, USB port, Stacking support of min. 8 units per stack. Internal dual AC Power supply, STP, RSTP, MSTP, BPDU Filter, BPDU Restriction, Min. 9K Jumbo Frame, LBD, IGMP Snooping V1/V2/V3, MLD Snopping V1/V2. IGMP /MLD Groups  1K  or  more,  IPv4/IPv6  Loopback  Interface,  16  L3  IP  Interface, Ipv6 ND, VRRPv3, UDP Helper, ECMP. VLAN: 802.1</t>
    </r>
    <r>
      <rPr>
        <sz val="10"/>
        <color rgb="FF000000"/>
        <rFont val="Calibri"/>
      </rPr>
      <t>Ǫ</t>
    </r>
    <r>
      <rPr>
        <sz val="10"/>
        <color rgb="FF000000"/>
        <rFont val="Verdana"/>
      </rPr>
      <t xml:space="preserve">, Port based, </t>
    </r>
    <r>
      <rPr>
        <sz val="10"/>
        <color rgb="FF000000"/>
        <rFont val="Calibri"/>
      </rPr>
      <t>Ǫ</t>
    </r>
    <r>
      <rPr>
        <sz val="10"/>
        <color rgb="FF000000"/>
        <rFont val="Verdana"/>
      </rPr>
      <t>-in-</t>
    </r>
    <r>
      <rPr>
        <sz val="10"/>
        <color rgb="FF000000"/>
        <rFont val="Calibri"/>
      </rPr>
      <t>Ǫ</t>
    </r>
    <r>
      <rPr>
        <sz val="10"/>
        <color rgb="FF000000"/>
        <rFont val="Verdana"/>
      </rPr>
      <t xml:space="preserve">, Multicast  VLAN,  Protocol VLAN, VLAN Trunking, DHCP  Snopping, Server, server  Screening.  RADIUS  ,  TACACS+  Authentication,  </t>
    </r>
    <r>
      <rPr>
        <sz val="10"/>
        <color rgb="FF000000"/>
        <rFont val="Calibri"/>
      </rPr>
      <t>Ǫ</t>
    </r>
    <r>
      <rPr>
        <sz val="10"/>
        <color rgb="FF000000"/>
        <rFont val="Verdana"/>
      </rPr>
      <t xml:space="preserve">oS:  802.1P,  8 queues per port, </t>
    </r>
    <r>
      <rPr>
        <sz val="10"/>
        <color rgb="FF000000"/>
        <rFont val="Calibri"/>
      </rPr>
      <t>Ǫ</t>
    </r>
    <r>
      <rPr>
        <sz val="10"/>
        <color rgb="FF000000"/>
        <rFont val="Verdana"/>
      </rPr>
      <t xml:space="preserve">oS : WRR, Strict+WRR,
</t>
    </r>
    <r>
      <rPr>
        <sz val="10"/>
        <color rgb="FF000000"/>
        <rFont val="Verdana"/>
      </rPr>
      <t>WRED, 802.1p. ACL: MAC based, IPv4C IPv6, TCP/UDP Port number, time based  ACL,  TFTP  Client,  SNMP  V1,  v2c,  v3,  SNMP  traps,  RMON,  DHCP server, relay, client, LLDP, LLDP-MED, OAM, Dying Gasp, 802.3ah, sflow, RIP, OSPF v2/v3, policy based route, SSL, SSH. 6 kV surge protection on all Gigabit Ethernet ports and on all GE RJ-45 access ports. Certifications: UL,  CE,  FCC,  RoHS,  MTCTE,  OEM/Product  must  be  on  Trusted  Telecom Portal  ofDepartment  of  Telecommunication,  Government  of  India  etc.</t>
    </r>
  </si>
  <si>
    <r>
      <rPr>
        <sz val="10"/>
        <color theme="1"/>
        <rFont val="Verdana"/>
      </rPr>
      <t>24 port Layer 2 Non-PoE Network Switch</t>
    </r>
  </si>
  <si>
    <r>
      <rPr>
        <sz val="10"/>
        <color theme="1"/>
        <rFont val="Verdana"/>
      </rPr>
      <t>Each</t>
    </r>
  </si>
  <si>
    <r>
      <rPr>
        <sz val="10"/>
        <color theme="1"/>
        <rFont val="Verdana"/>
      </rPr>
      <t>MR</t>
    </r>
  </si>
  <si>
    <r>
      <rPr>
        <sz val="10"/>
        <color theme="1"/>
        <rFont val="Verdana"/>
      </rPr>
      <t>Supply,  installation,  testing  and  commissioning  of  hand  held  portable operator  terminals  (POT)  minimum  7  inch.  TFT  display  with  capacitive touch screen type, shall be able to alarms , parameters etc. of DDC POT shall  have  integrated  web  server  and  a  BACnet/  IP  web  interface  to connect  a  HTML5  browser  to  a  device  on  the  network.  POT  With  all required Providing,tors etc  as per technical specification etc.</t>
    </r>
  </si>
  <si>
    <r>
      <rPr>
        <sz val="10"/>
        <color theme="1"/>
        <rFont val="Verdana"/>
      </rPr>
      <t>Each</t>
    </r>
  </si>
  <si>
    <r>
      <rPr>
        <b/>
        <sz val="10"/>
        <color theme="1"/>
        <rFont val="Verdana"/>
      </rPr>
      <t>BMS and Power Management Software:</t>
    </r>
  </si>
  <si>
    <r>
      <rPr>
        <sz val="10"/>
        <color rgb="FF000000"/>
        <rFont val="Verdana"/>
      </rPr>
      <t xml:space="preserve">Supplying  Installation  Testing  Commissioning  of Necessary  Software  (UL listed)   Packages   containing   Building   Management   with   Capability   of Collection, Storage, Processing and Controlling all the Data. Software shall support  Open  Standard  Protocols  like  XML,  BACnet,  Modbus,  Lon  works etc.  and  without  the  use  of  Proprietary  Protocols,  with  Enterprise  Level Database  Like  MS  SQL  complete  Lifetime  Licenced  &amp;  capable  to  collect, store &amp; access all points from Fire Alarm Systems, IT Systems, Automation Systems,  HVAC  System,  Lift,  Energy  management,  Water  Management System,   etc.   to   create   &amp;   monitor   historical   &amp;   event   data,   event management data, alarm management data &amp; reporting data, Email Alerts for  Critical  alarms  for  all  the  systems.  The  scope  includes  additional software required by BMS software (to enable a standard Web browser) to be  resident  on  the  DDC/client  machine  (manufacture-specific  browsers shall not be acceptable). User log-on identification and password shall be required &amp; a minimum three-layered
</t>
    </r>
    <r>
      <rPr>
        <sz val="10"/>
        <color rgb="FF000000"/>
        <rFont val="Verdana"/>
      </rPr>
      <t>security  system(User  interface  Level,  Application  Level  and  Data  Base Level)  to  be  deployed  for  safety.  The  supplied  computer  software  shall employ objectoriented technology (OOT) for representation of all data and control devices within the system. This data shall reside on a server for all database   access   (Systems   requiring   proprietary   database   and   user interface   programs   shall   not   be   acceptable).   All   components   and</t>
    </r>
  </si>
  <si>
    <r>
      <rPr>
        <sz val="10"/>
        <color theme="1"/>
        <rFont val="Verdana"/>
      </rPr>
      <t>For Upto 2500 point included</t>
    </r>
  </si>
  <si>
    <r>
      <rPr>
        <sz val="10"/>
        <color theme="1"/>
        <rFont val="Verdana"/>
      </rPr>
      <t>Nos.</t>
    </r>
  </si>
  <si>
    <r>
      <rPr>
        <b/>
        <sz val="10"/>
        <color theme="1"/>
        <rFont val="Verdana"/>
      </rPr>
      <t>Third Party Integration Controllers/ Integrators</t>
    </r>
  </si>
  <si>
    <r>
      <rPr>
        <sz val="10"/>
        <color rgb="FF000000"/>
        <rFont val="Verdana"/>
      </rPr>
      <t xml:space="preserve">Supplying  Installation  Testing  Commissioning  following  type  3rd  party Integration  unit  to  provide  the  interface  between  Ethernet  LAN  and  the 3rd  party  field  control  devices  or  any  other  devices  which  need  to  be integrated.  These  shall  also  provide  supervisory  capability  of  functions over the devices connected to it. The purpose of using these units should be limited to integrate the devices only. The Unit must have two onboard Ethernet port, minimum 2/3 on board RS485 ports. The Integration unit should  have  inbuilt  4GB  memory  for  program  storage.  The  Unit  must communicate over TCP/IP with communication speed
</t>
    </r>
    <r>
      <rPr>
        <sz val="10"/>
        <color rgb="FF000000"/>
        <rFont val="Verdana"/>
      </rPr>
      <t xml:space="preserve">of  10/100MBPS.  The  Integration  unit  should  be  capable  of  handling multiple protocol simultaneously such as Bacnet, Modbus, SNMP restricted to  single  protocol.  All  integrators  should  be  mandatorily  BTL  listed.  The integration unit shall be housed in suitable
</t>
    </r>
    <r>
      <rPr>
        <sz val="10"/>
        <color rgb="FF000000"/>
        <rFont val="Verdana"/>
      </rPr>
      <t xml:space="preserve">size sheet steel enclosure made of 1.6mm thick CRCA sheet, lockable front door with glass,
</t>
    </r>
    <r>
      <rPr>
        <sz val="10"/>
        <color rgb="FF000000"/>
        <rFont val="Verdana"/>
      </rPr>
      <t>arrangement  for  cable  entry  and  duly  powder  coated  complete  etc  as required. Integration of following services should be considered as per IO summary and BOQ</t>
    </r>
  </si>
  <si>
    <r>
      <rPr>
        <sz val="10"/>
        <color theme="1"/>
        <rFont val="Verdana"/>
      </rPr>
      <t>Integrator for 5000 Points</t>
    </r>
  </si>
  <si>
    <r>
      <rPr>
        <sz val="10"/>
        <color theme="1"/>
        <rFont val="Verdana"/>
      </rPr>
      <t>Each</t>
    </r>
  </si>
  <si>
    <r>
      <rPr>
        <b/>
        <sz val="10"/>
        <color theme="1"/>
        <rFont val="Verdana"/>
      </rPr>
      <t>BACnet IP DDC Controllers</t>
    </r>
  </si>
  <si>
    <r>
      <rPr>
        <sz val="10"/>
        <color rgb="FF000000"/>
        <rFont val="Verdana"/>
      </rPr>
      <t xml:space="preserve">capable  of  fully  “stand-  alone”  operation  i.e.  In  the  event  of  loss  of communicationwith other DDC’s or Control Station, they shall be able to function on their own. The controllers shall consist
</t>
    </r>
    <r>
      <rPr>
        <sz val="10"/>
        <color rgb="FF000000"/>
        <rFont val="Verdana"/>
      </rPr>
      <t xml:space="preserve">of  dual/quad  core  32  bit  microprocessors  with  EPROM  based  operating system  on  BACNET.  The  network  Topology  shall  not  allow  single  point failure. Each DDC on field level shall have embedded TCP/IP (10/100Mbps) connectivity so that it can be hooked into the Local Area Network (LAN) provided by the client or on dedicated network . Each DDC can be  accessed from the Graphical User Interface (GUI) or from a standard Web browser (WBI) by connecting the server alongwith inbuilt web browser. All controllers shall accept 230V+/- 10%, 50Hz Uninterrupted power supply provided by end user. Controller shall support
</t>
    </r>
    <r>
      <rPr>
        <sz val="10"/>
        <color rgb="FF000000"/>
        <rFont val="Verdana"/>
      </rPr>
      <t xml:space="preserve">DHCP  addressing  over  Local  Area  Network  (LAN)  so  that  the  static  IP requirements get reduced however a single static IP shall be provided for system  so  that  it  can  be  hosted  on  to  internet  in consultation  with end user. The microprocessor based DDC’s shall be
</t>
    </r>
    <r>
      <rPr>
        <sz val="10"/>
        <color rgb="FF000000"/>
        <rFont val="Verdana"/>
      </rPr>
      <t>provided  with  power  supply,  analoge  to  Digital  and  Digital  to  analoge converters with memory and capacity to accommodate input/output (I/O) hardware points (with or without an expansion board). Each DDC should have  own  board  and  shall  accept  0-10  V  /  4-20mA  input  signal  having Minimum 20% spare capacity considered for expansion. Each DDC on field</t>
    </r>
  </si>
  <si>
    <r>
      <rPr>
        <sz val="10"/>
        <color theme="1"/>
        <rFont val="Verdana"/>
      </rPr>
      <t>DDC Controller-Type-I (Support upto 32 Points)</t>
    </r>
  </si>
  <si>
    <r>
      <rPr>
        <sz val="10"/>
        <color theme="1"/>
        <rFont val="Verdana"/>
      </rPr>
      <t>Each</t>
    </r>
  </si>
  <si>
    <r>
      <rPr>
        <sz val="10"/>
        <color theme="1"/>
        <rFont val="Verdana"/>
      </rPr>
      <t>DDC Controller-Type-II (Support upto 64 Points)</t>
    </r>
  </si>
  <si>
    <r>
      <rPr>
        <sz val="10"/>
        <color theme="1"/>
        <rFont val="Verdana"/>
      </rPr>
      <t>Each</t>
    </r>
  </si>
  <si>
    <r>
      <rPr>
        <sz val="10"/>
        <color theme="1"/>
        <rFont val="Verdana"/>
      </rPr>
      <t>DDC Controller-Type-III (Support upto 96 Points)</t>
    </r>
  </si>
  <si>
    <r>
      <rPr>
        <sz val="10"/>
        <color theme="1"/>
        <rFont val="Verdana"/>
      </rPr>
      <t>Each</t>
    </r>
  </si>
  <si>
    <r>
      <rPr>
        <sz val="10"/>
        <color theme="1"/>
        <rFont val="Verdana"/>
      </rPr>
      <t>DDC Controller-Type-IV (Support upto 128 Points)</t>
    </r>
  </si>
  <si>
    <r>
      <rPr>
        <sz val="10"/>
        <color theme="1"/>
        <rFont val="Verdana"/>
      </rPr>
      <t>Each</t>
    </r>
  </si>
  <si>
    <r>
      <rPr>
        <sz val="10"/>
        <color theme="1"/>
        <rFont val="Verdana"/>
      </rPr>
      <t>DDC Controller-Type-V (Support upto 160 Points)</t>
    </r>
  </si>
  <si>
    <r>
      <rPr>
        <sz val="10"/>
        <color theme="1"/>
        <rFont val="Verdana"/>
      </rPr>
      <t>Each</t>
    </r>
  </si>
  <si>
    <r>
      <rPr>
        <sz val="10"/>
        <color rgb="FF000000"/>
        <rFont val="Verdana"/>
      </rPr>
      <t xml:space="preserve">EXPNSION IO MODULE
</t>
    </r>
    <r>
      <rPr>
        <sz val="10"/>
        <color rgb="FF000000"/>
        <rFont val="Verdana"/>
      </rPr>
      <t>Supplying  Installation  Testing  Commissioning  of  following  type  of  input output (IO) expansion module complete etc. as required</t>
    </r>
  </si>
  <si>
    <r>
      <rPr>
        <sz val="10"/>
        <color theme="1"/>
        <rFont val="Verdana"/>
      </rPr>
      <t>4.6.1</t>
    </r>
  </si>
  <si>
    <r>
      <rPr>
        <sz val="10"/>
        <color theme="1"/>
        <rFont val="Verdana"/>
      </rPr>
      <t>I/O Module with 4 UIO channels</t>
    </r>
  </si>
  <si>
    <r>
      <rPr>
        <sz val="10"/>
        <color theme="1"/>
        <rFont val="Verdana"/>
      </rPr>
      <t>Each</t>
    </r>
  </si>
  <si>
    <r>
      <rPr>
        <sz val="10"/>
        <color theme="1"/>
        <rFont val="Verdana"/>
      </rPr>
      <t>4.6.2</t>
    </r>
  </si>
  <si>
    <r>
      <rPr>
        <sz val="10"/>
        <color theme="1"/>
        <rFont val="Verdana"/>
      </rPr>
      <t>I/O Module with 8 UIO channels</t>
    </r>
  </si>
  <si>
    <r>
      <rPr>
        <sz val="10"/>
        <color theme="1"/>
        <rFont val="Verdana"/>
      </rPr>
      <t>Each</t>
    </r>
  </si>
  <si>
    <r>
      <rPr>
        <sz val="10"/>
        <color theme="1"/>
        <rFont val="Verdana"/>
      </rPr>
      <t>4.6.3</t>
    </r>
  </si>
  <si>
    <r>
      <rPr>
        <sz val="10"/>
        <color theme="1"/>
        <rFont val="Verdana"/>
      </rPr>
      <t>I/O Module with 8 UI channels</t>
    </r>
  </si>
  <si>
    <r>
      <rPr>
        <sz val="10"/>
        <color theme="1"/>
        <rFont val="Verdana"/>
      </rPr>
      <t>Each</t>
    </r>
  </si>
  <si>
    <r>
      <rPr>
        <sz val="10"/>
        <color theme="1"/>
        <rFont val="Verdana"/>
      </rPr>
      <t>4.6.4</t>
    </r>
  </si>
  <si>
    <r>
      <rPr>
        <sz val="10"/>
        <color theme="1"/>
        <rFont val="Verdana"/>
      </rPr>
      <t>I/O Module with 8 DI channels</t>
    </r>
  </si>
  <si>
    <r>
      <rPr>
        <sz val="10"/>
        <color theme="1"/>
        <rFont val="Verdana"/>
      </rPr>
      <t>Each</t>
    </r>
  </si>
  <si>
    <r>
      <rPr>
        <sz val="10"/>
        <color theme="1"/>
        <rFont val="Verdana"/>
      </rPr>
      <t>4.6.5</t>
    </r>
  </si>
  <si>
    <r>
      <rPr>
        <sz val="10"/>
        <color theme="1"/>
        <rFont val="Verdana"/>
      </rPr>
      <t>I/O Module with 16 DI channels</t>
    </r>
  </si>
  <si>
    <r>
      <rPr>
        <sz val="10"/>
        <color theme="1"/>
        <rFont val="Verdana"/>
      </rPr>
      <t>Each</t>
    </r>
  </si>
  <si>
    <r>
      <rPr>
        <sz val="10"/>
        <color theme="1"/>
        <rFont val="Verdana"/>
      </rPr>
      <t>4.6.6</t>
    </r>
  </si>
  <si>
    <r>
      <rPr>
        <sz val="10"/>
        <color theme="1"/>
        <rFont val="Verdana"/>
      </rPr>
      <t>I/O Module with 8 DO channels</t>
    </r>
  </si>
  <si>
    <r>
      <rPr>
        <sz val="10"/>
        <color theme="1"/>
        <rFont val="Verdana"/>
      </rPr>
      <t>Each</t>
    </r>
  </si>
  <si>
    <r>
      <rPr>
        <sz val="10"/>
        <color theme="1"/>
        <rFont val="Verdana"/>
      </rPr>
      <t>4.6.7</t>
    </r>
  </si>
  <si>
    <r>
      <rPr>
        <sz val="10"/>
        <color theme="1"/>
        <rFont val="Verdana"/>
      </rPr>
      <t>I/O Module with 4 DO channels</t>
    </r>
  </si>
  <si>
    <r>
      <rPr>
        <sz val="10"/>
        <color theme="1"/>
        <rFont val="Verdana"/>
      </rPr>
      <t>Each</t>
    </r>
  </si>
  <si>
    <r>
      <rPr>
        <b/>
        <sz val="10"/>
        <color theme="1"/>
        <rFont val="Verdana"/>
      </rPr>
      <t>Sensors &amp; Field Devices</t>
    </r>
  </si>
  <si>
    <r>
      <rPr>
        <sz val="10"/>
        <color rgb="FF000000"/>
        <rFont val="Verdana"/>
      </rPr>
      <t xml:space="preserve">Providing, Installing, Testing &amp; Commissioning of necessary Input sensor
</t>
    </r>
    <r>
      <rPr>
        <sz val="10"/>
        <color rgb="FF000000"/>
        <rFont val="Verdana"/>
      </rPr>
      <t>transmitters/transducers comprising the following:</t>
    </r>
  </si>
  <si>
    <r>
      <rPr>
        <sz val="10"/>
        <color rgb="FF000000"/>
        <rFont val="Verdana"/>
      </rPr>
      <t xml:space="preserve">Immersion Temp Sensor for CHW line. Measuring range: -30 to 110 0C,
</t>
    </r>
    <r>
      <rPr>
        <sz val="10"/>
        <color rgb="FF000000"/>
        <rFont val="Verdana"/>
      </rPr>
      <t>Accuracy: +/- 1.3 0C</t>
    </r>
  </si>
  <si>
    <r>
      <rPr>
        <sz val="10"/>
        <color theme="1"/>
        <rFont val="Verdana"/>
      </rPr>
      <t>Nos.</t>
    </r>
  </si>
  <si>
    <r>
      <rPr>
        <sz val="10"/>
        <color theme="1"/>
        <rFont val="Verdana"/>
      </rPr>
      <t>MR</t>
    </r>
  </si>
  <si>
    <r>
      <rPr>
        <sz val="10"/>
        <color rgb="FF000000"/>
        <rFont val="Verdana"/>
      </rPr>
      <t xml:space="preserve">Providing,   Installing,   Testing   &amp;   Commissioning   of   Water   Differential
</t>
    </r>
    <r>
      <rPr>
        <sz val="10"/>
        <color rgb="FF000000"/>
        <rFont val="Verdana"/>
      </rPr>
      <t>Pressure Sensor</t>
    </r>
  </si>
  <si>
    <r>
      <rPr>
        <sz val="10"/>
        <color theme="1"/>
        <rFont val="Verdana"/>
      </rPr>
      <t>Nos.</t>
    </r>
  </si>
  <si>
    <r>
      <rPr>
        <sz val="10"/>
        <color theme="1"/>
        <rFont val="Verdana"/>
      </rPr>
      <t>Outside Temp &amp; Humidity Sensor with radiation shield. Measuring Range: Temp:- -15 to 50 0C &amp; RH 0-100%, Accuracy: +/- 1 0C +/- 3%</t>
    </r>
  </si>
  <si>
    <r>
      <rPr>
        <sz val="10"/>
        <color theme="1"/>
        <rFont val="Verdana"/>
      </rPr>
      <t>Nos.</t>
    </r>
  </si>
  <si>
    <r>
      <rPr>
        <sz val="10"/>
        <color theme="1"/>
        <rFont val="Verdana"/>
      </rPr>
      <t>MR</t>
    </r>
  </si>
  <si>
    <r>
      <rPr>
        <sz val="10"/>
        <color theme="1"/>
        <rFont val="Verdana"/>
      </rPr>
      <t>Providing, Installing, Testing &amp; Commissioning of Water Flow Meter</t>
    </r>
  </si>
  <si>
    <r>
      <rPr>
        <sz val="10"/>
        <color theme="1"/>
        <rFont val="Verdana"/>
      </rPr>
      <t>Nos.</t>
    </r>
  </si>
  <si>
    <r>
      <rPr>
        <sz val="10"/>
        <color theme="1"/>
        <rFont val="Verdana"/>
      </rPr>
      <t>Water Differential Pressure (DP) Switch for Pump Status.</t>
    </r>
  </si>
  <si>
    <r>
      <rPr>
        <sz val="10"/>
        <color theme="1"/>
        <rFont val="Verdana"/>
      </rPr>
      <t>Nos.</t>
    </r>
  </si>
  <si>
    <r>
      <rPr>
        <sz val="10"/>
        <color theme="1"/>
        <rFont val="Verdana"/>
      </rPr>
      <t>Differential pressure switch for filters &amp; Blowers</t>
    </r>
  </si>
  <si>
    <r>
      <rPr>
        <sz val="10"/>
        <color theme="1"/>
        <rFont val="Verdana"/>
      </rPr>
      <t>Nos.</t>
    </r>
  </si>
  <si>
    <r>
      <rPr>
        <sz val="10"/>
        <color theme="1"/>
        <rFont val="Verdana"/>
      </rPr>
      <t>Duct CO2 Sensor, 0-2000ppm, 0-10V/4-20mA Output.</t>
    </r>
  </si>
  <si>
    <r>
      <rPr>
        <sz val="10"/>
        <color theme="1"/>
        <rFont val="Verdana"/>
      </rPr>
      <t>Nos.</t>
    </r>
  </si>
  <si>
    <r>
      <rPr>
        <sz val="10"/>
        <color theme="1"/>
        <rFont val="Verdana"/>
      </rPr>
      <t>MR</t>
    </r>
  </si>
  <si>
    <r>
      <rPr>
        <sz val="10"/>
        <color rgb="FF000000"/>
        <rFont val="Verdana"/>
      </rPr>
      <t xml:space="preserve">Providing, Installing, Testing &amp; Commissioning of Duct Pressure Sensors, accuracy  shall  be  ±  1%  including  Integrated  Pressure  Probe,  tubes,
</t>
    </r>
    <r>
      <rPr>
        <sz val="10"/>
        <color rgb="FF000000"/>
        <rFont val="Verdana"/>
      </rPr>
      <t>accessories etc.</t>
    </r>
  </si>
  <si>
    <r>
      <rPr>
        <sz val="10"/>
        <color theme="1"/>
        <rFont val="Verdana"/>
      </rPr>
      <t>Nos.</t>
    </r>
  </si>
  <si>
    <r>
      <rPr>
        <sz val="10"/>
        <color theme="1"/>
        <rFont val="Verdana"/>
      </rPr>
      <t>MR</t>
    </r>
  </si>
  <si>
    <r>
      <rPr>
        <sz val="10"/>
        <color rgb="FF000000"/>
        <rFont val="Verdana"/>
      </rPr>
      <t xml:space="preserve">Providing, Installing, Testing &amp; Commissioning of Duct Temperature + Rh Sensor (Range 0-50 Deg C)  shall be with rigid stem  type. These shall be Platinum sensor suitable for duct installation and accuracy shall be  </t>
    </r>
    <r>
      <rPr>
        <b/>
        <sz val="10"/>
        <color rgb="FF000000"/>
        <rFont val="Verdana"/>
      </rPr>
      <t xml:space="preserve">± 3% </t>
    </r>
    <r>
      <rPr>
        <sz val="10"/>
        <color rgb="FF000000"/>
        <rFont val="Verdana"/>
      </rPr>
      <t>, for  measuring  supply  -air  temperature  of  AHUs  etc.,  including  Probe, tubes, accessories etc.</t>
    </r>
  </si>
  <si>
    <r>
      <rPr>
        <sz val="10"/>
        <color theme="1"/>
        <rFont val="Verdana"/>
      </rPr>
      <t>Nos.</t>
    </r>
  </si>
  <si>
    <r>
      <rPr>
        <sz val="10"/>
        <color theme="1"/>
        <rFont val="Verdana"/>
      </rPr>
      <t>MR</t>
    </r>
  </si>
  <si>
    <r>
      <rPr>
        <sz val="10"/>
        <color rgb="FF000000"/>
        <rFont val="Verdana"/>
      </rPr>
      <t xml:space="preserve">Providing, Installing, Testing &amp; Commissioning of Hydrogen Gas Sensor for
</t>
    </r>
    <r>
      <rPr>
        <sz val="10"/>
        <color rgb="FF000000"/>
        <rFont val="Verdana"/>
      </rPr>
      <t>UPS and Battery Rooms</t>
    </r>
  </si>
  <si>
    <r>
      <rPr>
        <sz val="10"/>
        <color theme="1"/>
        <rFont val="Verdana"/>
      </rPr>
      <t>Nos.</t>
    </r>
  </si>
  <si>
    <r>
      <rPr>
        <sz val="10"/>
        <color theme="1"/>
        <rFont val="Verdana"/>
      </rPr>
      <t>Water Pressure Sensor . Accuracy:+/-0.3% FSL</t>
    </r>
  </si>
  <si>
    <r>
      <rPr>
        <sz val="10"/>
        <color theme="1"/>
        <rFont val="Verdana"/>
      </rPr>
      <t>Nos.</t>
    </r>
  </si>
  <si>
    <r>
      <rPr>
        <sz val="10"/>
        <color theme="1"/>
        <rFont val="Verdana"/>
      </rPr>
      <t>MR</t>
    </r>
  </si>
  <si>
    <r>
      <rPr>
        <sz val="10"/>
        <color theme="1"/>
        <rFont val="Verdana"/>
      </rPr>
      <t>Providing, Installing, Testing &amp; Commissioning of CO2 Sensor with Display.</t>
    </r>
  </si>
  <si>
    <r>
      <rPr>
        <sz val="10"/>
        <color theme="1"/>
        <rFont val="Verdana"/>
      </rPr>
      <t>Nos.</t>
    </r>
  </si>
  <si>
    <r>
      <rPr>
        <sz val="10"/>
        <color theme="1"/>
        <rFont val="Verdana"/>
      </rPr>
      <t>MR</t>
    </r>
  </si>
  <si>
    <r>
      <rPr>
        <sz val="10"/>
        <color theme="1"/>
        <rFont val="Verdana"/>
      </rPr>
      <t>Providing,  Installing,  Testing  &amp;  Commissioning  of  T+RH  modbus  Sensor with Wire  FOR CRITICAL ROOM - (LED Based Annunciator display panel for  Temp+Rh  with  sensor,  lead  cable  of  15  Mtrs  with  power  supply complete for concealed wall mount)</t>
    </r>
  </si>
  <si>
    <r>
      <rPr>
        <sz val="10"/>
        <color theme="1"/>
        <rFont val="Verdana"/>
      </rPr>
      <t>Nos.</t>
    </r>
  </si>
  <si>
    <r>
      <rPr>
        <sz val="10"/>
        <color theme="1"/>
        <rFont val="Verdana"/>
      </rPr>
      <t>Bi-Level Switches (Hi/Low)</t>
    </r>
  </si>
  <si>
    <r>
      <rPr>
        <sz val="10"/>
        <color theme="1"/>
        <rFont val="Verdana"/>
      </rPr>
      <t>Nos.</t>
    </r>
  </si>
  <si>
    <r>
      <rPr>
        <b/>
        <sz val="10"/>
        <color theme="1"/>
        <rFont val="Verdana"/>
      </rPr>
      <t>IAQ MONITOR SENSORS</t>
    </r>
  </si>
  <si>
    <r>
      <rPr>
        <sz val="10"/>
        <color theme="1"/>
        <rFont val="Verdana"/>
      </rPr>
      <t>Providing,  Installing,  Testing  &amp;  Commissioning  of  RESET  Certified  IAQ Monitor  sensor  with  inbuilt  mono  display  to  show  Real  time  display measure   the   levels   of   PM   2.5,   PM   10,   TVOC,   CO2,  Temperature, Humidity,Light level &amp; Noise level on a real time basis. The IAQ Monitor shall  be  open  protocol  on  BACnet  IP/MSTP  or  Modbus  RS485  enabled communication protocal and should be capable of getting connected with Wi-Fi or  SIM  .  The  Monitor  should  be  capable  of  sending  the  indoor  air quality  information  on  display  Screen/Mobile/Workstation  as  per  Client's requirement.One   Sensor   should   be   placed   at   least   one   sensor prominaently  positioned  at  the  height  of  approx  5.6ft  per  500  sqmt  of regularly occupied space. Monitor should indicate the quality of air through changing the colours as  per the  NAAQS standards  and should  meet the WELL building standards. The sensors will be modular in design and can be separated from communication modules, making it easier to replace and maintain   over   the   long  term.Quoted  price   shall  be   inclusive   of  all necessary  arrangement  as  required  to  make  the  unit  proper  functional. IAQ  Monitor  sensor  shall  be  with  BMS  Communication  through  Backnet IP/MSTP or Modbus RS485 &amp; the data rate will be set at every 10 seconds.</t>
    </r>
  </si>
  <si>
    <r>
      <rPr>
        <sz val="10"/>
        <color theme="1"/>
        <rFont val="Verdana"/>
      </rPr>
      <t>Nos.</t>
    </r>
  </si>
  <si>
    <r>
      <rPr>
        <b/>
        <u/>
        <sz val="10"/>
        <color theme="1"/>
        <rFont val="Verdana"/>
      </rPr>
      <t>CONDUITING WIRING &amp; CABLING ETC.</t>
    </r>
  </si>
  <si>
    <r>
      <rPr>
        <sz val="10"/>
        <color rgb="FF000000"/>
        <rFont val="Verdana"/>
      </rPr>
      <t xml:space="preserve">All  Cable,  Conduit,  Tray,  Armoured  cables  Armouring  shall  be  as  per
</t>
    </r>
    <r>
      <rPr>
        <sz val="10"/>
        <color rgb="FF000000"/>
        <rFont val="Verdana"/>
      </rPr>
      <t>relevant IS standards</t>
    </r>
  </si>
  <si>
    <r>
      <rPr>
        <sz val="10"/>
        <color theme="1"/>
        <rFont val="Verdana"/>
      </rPr>
      <t>MR</t>
    </r>
  </si>
  <si>
    <r>
      <rPr>
        <sz val="10"/>
        <color rgb="FF000000"/>
        <rFont val="Verdana"/>
      </rPr>
      <t xml:space="preserve">Providing,  Laying, Testing  &amp;  Commissioning  of 2  x 1.5  sq.mm Annealed Tinned  Copper  Shielded  armoured  cable  as  per  specification.  (for  I/O
</t>
    </r>
    <r>
      <rPr>
        <sz val="10"/>
        <color rgb="FF000000"/>
        <rFont val="Verdana"/>
      </rPr>
      <t>points hard wired to DDC).</t>
    </r>
  </si>
  <si>
    <r>
      <rPr>
        <sz val="10"/>
        <color theme="1"/>
        <rFont val="Verdana"/>
      </rPr>
      <t>RM</t>
    </r>
  </si>
  <si>
    <r>
      <rPr>
        <sz val="10"/>
        <color theme="1"/>
        <rFont val="Verdana"/>
      </rPr>
      <t>MR</t>
    </r>
  </si>
  <si>
    <r>
      <rPr>
        <sz val="10"/>
        <color rgb="FF000000"/>
        <rFont val="Verdana"/>
      </rPr>
      <t xml:space="preserve">Providing,  Laying, Testing  &amp;  Commissioning  of 4  x 1.5  sq.mm Annealed Tinned  Copper  Shielded  armoured  cable  as  per  specification.  (for  I/O
</t>
    </r>
    <r>
      <rPr>
        <sz val="10"/>
        <color rgb="FF000000"/>
        <rFont val="Verdana"/>
      </rPr>
      <t>points hard wired to DDC).</t>
    </r>
  </si>
  <si>
    <r>
      <rPr>
        <sz val="10"/>
        <color theme="1"/>
        <rFont val="Verdana"/>
      </rPr>
      <t>RM</t>
    </r>
  </si>
  <si>
    <r>
      <rPr>
        <sz val="10"/>
        <color theme="1"/>
        <rFont val="Verdana"/>
      </rPr>
      <t>MR</t>
    </r>
  </si>
  <si>
    <r>
      <rPr>
        <sz val="10"/>
        <color rgb="FF000000"/>
        <rFont val="Verdana"/>
      </rPr>
      <t xml:space="preserve">Providing,  Laying, Testing  &amp;  Commissioning  of 3  x 1.5  sq.mm Annealed Tinned  Copper  Shielded  armoured  cable  for  signal  and  power  as  per
</t>
    </r>
    <r>
      <rPr>
        <sz val="10"/>
        <color rgb="FF000000"/>
        <rFont val="Verdana"/>
      </rPr>
      <t>specification. (power Cable for DDC Panel).</t>
    </r>
  </si>
  <si>
    <r>
      <rPr>
        <sz val="10"/>
        <color theme="1"/>
        <rFont val="Verdana"/>
      </rPr>
      <t>RM</t>
    </r>
  </si>
  <si>
    <r>
      <rPr>
        <sz val="10"/>
        <color rgb="FF000000"/>
        <rFont val="Verdana"/>
      </rPr>
      <t xml:space="preserve">Supplying, drawing, Testing and commissioning of Cat6A UTP 4 pair, 23 AWG  solid  copper  cable  in  existing  conduit/  on  surface,  U/FTP,  LSZH, NonPlenum,   Horizontal   (solid)    Cable   suitable   for   high   speed   data networking application supporting upto 10Gbps over a 100 meter channel. The 4 Unshielded Twisted Pairs (UTP) cable with color coded insulation for easy  indentification   should  have  FLAME  PROPERTIES  i.e.  Flammability Test  -  IEC  60332-1,  Smoke  Density  -  IEC  61034,  LSZH  standards compliance:  ANSI/TIA-568  C.2,  ISO/IEC  11801,  IEEE  802.3an,  RoHS.
</t>
    </r>
    <r>
      <rPr>
        <sz val="10"/>
        <color rgb="FF000000"/>
        <rFont val="Verdana"/>
      </rPr>
      <t xml:space="preserve">Delay Skew should be &lt; 45NS. The outer Cable Diameter should be  7.5 +
</t>
    </r>
    <r>
      <rPr>
        <sz val="10"/>
        <color rgb="FF000000"/>
        <rFont val="Verdana"/>
      </rPr>
      <t>2  mm.  Cable  should  have  been  tested  and  verified  by  UL/  ETL  etc. complete as required.</t>
    </r>
  </si>
  <si>
    <r>
      <rPr>
        <sz val="10"/>
        <color theme="1"/>
        <rFont val="Verdana"/>
      </rPr>
      <t>39.18.1</t>
    </r>
  </si>
  <si>
    <r>
      <rPr>
        <sz val="10"/>
        <color theme="1"/>
        <rFont val="Verdana"/>
      </rPr>
      <t>1 Run of cable</t>
    </r>
  </si>
  <si>
    <r>
      <rPr>
        <sz val="10"/>
        <color theme="1"/>
        <rFont val="Verdana"/>
      </rPr>
      <t>RM</t>
    </r>
  </si>
  <si>
    <r>
      <rPr>
        <sz val="10"/>
        <color theme="1"/>
        <rFont val="Verdana"/>
      </rPr>
      <t>Supplying and drawing following core Fiber Optic Cable having corrugated steel armoring. The Fiber should be SM Fiber Central -loose tube filled with Thixotropic  jelly,  duly  following  Standards:  ISO  11801,  IEC  60793- 1/60794-1-2, ITU-T-REC G.652D and Telecordia GR-20-core, High quality Electro  Chromium  Coated  Corrugated  Steel  tape  (ECCS  )  and  HDPE- Sheath, Operating ambient Temperature should be – 5 0C to +50 0C and Storage Temperature shall be – 5 0C to +50 0C, Max Attenuation ± 0.36 (db /  km)  at  Operational  Wavelength  1310  nm and  ± 0.22  db  /  km at Operational Wavelength 1550 nm. type of fiber should be 9/125 / G.652D &amp;  Refractive  Index  should  be  1.4670/1.4675.  The  value  for  Mode-filed, Cladding Diameter 9.2 ± 0.4 μm and 125 ± 0.7 μm correspondingly. The Dispersion value &lt; 3.5 &lt; 18 ps/nm-km and PMD value &lt; 0.2 ps/km and Cable Cutoff wavelength &lt; 1260 nm i/c splicing &amp; marking etc. complete as required with core dia 50/125 µm (OM4) suitable for 10 Gbps ethernet ethernet distance at 850 nm of wavelength.</t>
    </r>
  </si>
  <si>
    <r>
      <rPr>
        <sz val="10"/>
        <color theme="1"/>
        <rFont val="Verdana"/>
      </rPr>
      <t>39.19.1</t>
    </r>
  </si>
  <si>
    <r>
      <rPr>
        <sz val="10"/>
        <color theme="1"/>
        <rFont val="Verdana"/>
      </rPr>
      <t>Single Mode 6 Core Optical fiber cable</t>
    </r>
  </si>
  <si>
    <r>
      <rPr>
        <sz val="10"/>
        <color theme="1"/>
        <rFont val="Verdana"/>
      </rPr>
      <t>RM</t>
    </r>
  </si>
  <si>
    <r>
      <rPr>
        <sz val="10"/>
        <color rgb="FF000000"/>
        <rFont val="Verdana"/>
      </rPr>
      <t xml:space="preserve">Supplying  and  fixing  of  following  sizes  of  steel  conduit   along  with
</t>
    </r>
    <r>
      <rPr>
        <sz val="10"/>
        <color rgb="FF000000"/>
        <rFont val="Verdana"/>
      </rPr>
      <t>accessories in surface/recess including painting in case of surface conduit, or cutting the wall and making good the same in case of recessed conduit as required.</t>
    </r>
  </si>
  <si>
    <r>
      <rPr>
        <sz val="10"/>
        <color theme="1"/>
        <rFont val="Verdana"/>
      </rPr>
      <t>1.20.2</t>
    </r>
  </si>
  <si>
    <r>
      <rPr>
        <sz val="10"/>
        <color theme="1"/>
        <rFont val="Verdana"/>
      </rPr>
      <t>25mm dia</t>
    </r>
  </si>
  <si>
    <r>
      <rPr>
        <sz val="10"/>
        <color theme="1"/>
        <rFont val="Verdana"/>
      </rPr>
      <t>RM</t>
    </r>
  </si>
  <si>
    <r>
      <rPr>
        <sz val="10"/>
        <color theme="1"/>
        <rFont val="Verdana"/>
      </rPr>
      <t>MR</t>
    </r>
  </si>
  <si>
    <r>
      <rPr>
        <sz val="10"/>
        <color rgb="FF000000"/>
        <rFont val="Verdana"/>
      </rPr>
      <t xml:space="preserve">Providing   and   laying   of   Industrial   grade   PVC   flexible   conduit   with
</t>
    </r>
    <r>
      <rPr>
        <sz val="10"/>
        <color rgb="FF000000"/>
        <rFont val="Verdana"/>
      </rPr>
      <t>accessories</t>
    </r>
  </si>
  <si>
    <r>
      <rPr>
        <sz val="10"/>
        <color theme="1"/>
        <rFont val="Verdana"/>
      </rPr>
      <t>RM</t>
    </r>
  </si>
  <si>
    <r>
      <rPr>
        <sz val="10"/>
        <color theme="1"/>
        <rFont val="Verdana"/>
      </rPr>
      <t>MR</t>
    </r>
  </si>
  <si>
    <r>
      <rPr>
        <sz val="10"/>
        <color rgb="FF000000"/>
        <rFont val="Verdana"/>
      </rPr>
      <t xml:space="preserve">Providing and installation of Single Compression Glands for cable entry in
</t>
    </r>
    <r>
      <rPr>
        <sz val="10"/>
        <color rgb="FF000000"/>
        <rFont val="Verdana"/>
      </rPr>
      <t>DDC Panels</t>
    </r>
  </si>
  <si>
    <r>
      <rPr>
        <sz val="10"/>
        <color theme="1"/>
        <rFont val="Verdana"/>
      </rPr>
      <t>Nos</t>
    </r>
  </si>
  <si>
    <r>
      <rPr>
        <sz val="10"/>
        <color theme="1"/>
        <rFont val="Verdana"/>
      </rPr>
      <t>Supplying and installing following size of perforated Hot Dipped Galvanised Iron  cable  tray  (Galvanisation  thickness  not  less  than  50  microns)  with perforation  not  more  than  17.5%,  in  convenient  sections,  joined  with connectors, suspended from the ceiling with  two numbers GI Suspenders i/c base of suitable size GI angle, GI bolts &amp; nuts,  fastner etc as required.</t>
    </r>
  </si>
  <si>
    <r>
      <rPr>
        <sz val="10"/>
        <color theme="1"/>
        <rFont val="Verdana"/>
      </rPr>
      <t>8.8.1</t>
    </r>
  </si>
  <si>
    <r>
      <rPr>
        <sz val="10"/>
        <color theme="1"/>
        <rFont val="Verdana"/>
      </rPr>
      <t>4.6.1</t>
    </r>
  </si>
  <si>
    <r>
      <rPr>
        <sz val="10"/>
        <color theme="1"/>
        <rFont val="Verdana"/>
      </rPr>
      <t>100 mm width X 20 mm depth X 1.6 mm thickness.</t>
    </r>
  </si>
  <si>
    <r>
      <rPr>
        <sz val="10"/>
        <color theme="1"/>
        <rFont val="Verdana"/>
      </rPr>
      <t>RM</t>
    </r>
  </si>
  <si>
    <r>
      <rPr>
        <sz val="10"/>
        <color theme="1"/>
        <rFont val="Verdana"/>
      </rPr>
      <t>8.8.2</t>
    </r>
  </si>
  <si>
    <r>
      <rPr>
        <sz val="10"/>
        <color theme="1"/>
        <rFont val="Verdana"/>
      </rPr>
      <t>4.6.2</t>
    </r>
  </si>
  <si>
    <r>
      <rPr>
        <sz val="10"/>
        <color theme="1"/>
        <rFont val="Verdana"/>
      </rPr>
      <t>150 mm width X 50 mm depth X 1.6 mm thickness.</t>
    </r>
  </si>
  <si>
    <r>
      <rPr>
        <sz val="10"/>
        <color theme="1"/>
        <rFont val="Verdana"/>
      </rPr>
      <t>RM</t>
    </r>
  </si>
  <si>
    <r>
      <rPr>
        <sz val="10"/>
        <color theme="1"/>
        <rFont val="Verdana"/>
      </rPr>
      <t>8.8.3</t>
    </r>
  </si>
  <si>
    <r>
      <rPr>
        <sz val="10"/>
        <color theme="1"/>
        <rFont val="Verdana"/>
      </rPr>
      <t>4.6.4</t>
    </r>
  </si>
  <si>
    <r>
      <rPr>
        <sz val="10"/>
        <color theme="1"/>
        <rFont val="Verdana"/>
      </rPr>
      <t>300 mm width X 50 mm depth X 1.6 mm thickness.</t>
    </r>
  </si>
  <si>
    <r>
      <rPr>
        <sz val="10"/>
        <color theme="1"/>
        <rFont val="Verdana"/>
      </rPr>
      <t>RM</t>
    </r>
  </si>
  <si>
    <r>
      <rPr>
        <sz val="10"/>
        <color rgb="FF000000"/>
        <rFont val="Verdana"/>
      </rPr>
      <t xml:space="preserve">Supplying and installing following size of perforated Hot Dipped Galvanised Iron  cable  tray  "bends"  (galvanisation  not  less  than  50  microns)  with perforation  not  more  than  17.5%,  in  convenient  sections,  joined  with connectors, suspended from the ceiling with two numbers GI Suspenders i/c base of suitable size GI angle, GI bolts &amp; nuts,  fastner etc as
</t>
    </r>
    <r>
      <rPr>
        <sz val="10"/>
        <color rgb="FF000000"/>
        <rFont val="Verdana"/>
      </rPr>
      <t>required.</t>
    </r>
  </si>
  <si>
    <r>
      <rPr>
        <sz val="10"/>
        <color theme="1"/>
        <rFont val="Verdana"/>
      </rPr>
      <t>8.9.1</t>
    </r>
  </si>
  <si>
    <r>
      <rPr>
        <sz val="10"/>
        <color theme="1"/>
        <rFont val="Verdana"/>
      </rPr>
      <t>4.7.1</t>
    </r>
  </si>
  <si>
    <r>
      <rPr>
        <sz val="10"/>
        <color theme="1"/>
        <rFont val="Verdana"/>
      </rPr>
      <t>100 mm width X 20 mm depth X 1.6 mm thickness.</t>
    </r>
  </si>
  <si>
    <r>
      <rPr>
        <sz val="10"/>
        <color theme="1"/>
        <rFont val="Verdana"/>
      </rPr>
      <t>Each</t>
    </r>
  </si>
  <si>
    <r>
      <rPr>
        <sz val="10"/>
        <color theme="1"/>
        <rFont val="Verdana"/>
      </rPr>
      <t>8.9.2</t>
    </r>
  </si>
  <si>
    <r>
      <rPr>
        <sz val="10"/>
        <color theme="1"/>
        <rFont val="Verdana"/>
      </rPr>
      <t>4.7.2</t>
    </r>
  </si>
  <si>
    <r>
      <rPr>
        <sz val="10"/>
        <color theme="1"/>
        <rFont val="Verdana"/>
      </rPr>
      <t>150 mm width X 50 mm depth X 1.6 mm thickness.</t>
    </r>
  </si>
  <si>
    <r>
      <rPr>
        <sz val="10"/>
        <color theme="1"/>
        <rFont val="Verdana"/>
      </rPr>
      <t>Each</t>
    </r>
  </si>
  <si>
    <r>
      <rPr>
        <sz val="10"/>
        <color theme="1"/>
        <rFont val="Verdana"/>
      </rPr>
      <t>8.9.3</t>
    </r>
  </si>
  <si>
    <r>
      <rPr>
        <sz val="10"/>
        <color theme="1"/>
        <rFont val="Verdana"/>
      </rPr>
      <t>4.7.4</t>
    </r>
  </si>
  <si>
    <r>
      <rPr>
        <sz val="10"/>
        <color theme="1"/>
        <rFont val="Verdana"/>
      </rPr>
      <t>300 mm width X 50 mm depth X 1.6 mm thickness.</t>
    </r>
  </si>
  <si>
    <r>
      <rPr>
        <sz val="10"/>
        <color theme="1"/>
        <rFont val="Verdana"/>
      </rPr>
      <t>Each</t>
    </r>
  </si>
  <si>
    <r>
      <rPr>
        <sz val="10"/>
        <color theme="1"/>
        <rFont val="Verdana"/>
      </rPr>
      <t>IMPORTANT NOTES</t>
    </r>
  </si>
  <si>
    <r>
      <rPr>
        <sz val="10"/>
        <color rgb="FF000000"/>
        <rFont val="Verdana"/>
      </rPr>
      <t xml:space="preserve">The offered BMS shall be WEB-BASED system offering Multi-user interface
</t>
    </r>
    <r>
      <rPr>
        <sz val="10"/>
        <color rgb="FF000000"/>
        <rFont val="Verdana"/>
      </rPr>
      <t>without need of any proprietary BMS software License.</t>
    </r>
  </si>
  <si>
    <r>
      <rPr>
        <sz val="10"/>
        <color theme="1"/>
        <rFont val="Verdana"/>
      </rPr>
      <t>Minimum 5 simultaneous users shall be able  to log-in to the  BMS WEB- SERVER. The number of users, otherwise, shall be unlimited.</t>
    </r>
  </si>
  <si>
    <r>
      <rPr>
        <sz val="10"/>
        <color theme="1"/>
        <rFont val="Verdana"/>
      </rPr>
      <t>The  Offered  Web-Server  and  Embedded  Web-Server  Engines  shall  be capable of getting Dynamically Addressed on the DHCP Server.</t>
    </r>
  </si>
  <si>
    <r>
      <rPr>
        <sz val="10"/>
        <color theme="1"/>
        <rFont val="Verdana"/>
      </rPr>
      <t>Number of controllers shall have spare capacity for future expansion up to 15%  for  IO  point  and  at  System  Level  (Software  shall  have  expansion capacity of 15% IO Points and 15% Software Points)</t>
    </r>
  </si>
  <si>
    <r>
      <rPr>
        <sz val="10"/>
        <color rgb="FF000000"/>
        <rFont val="Verdana"/>
      </rPr>
      <t xml:space="preserve">Wiring of motorized actuator shall be in BMS vendor scope and the power source shall be routed through the respective BMS panel which has UPS
</t>
    </r>
    <r>
      <rPr>
        <sz val="10"/>
        <color rgb="FF000000"/>
        <rFont val="Verdana"/>
      </rPr>
      <t>power.</t>
    </r>
  </si>
  <si>
    <r>
      <rPr>
        <sz val="10"/>
        <color rgb="FF000000"/>
        <rFont val="Verdana"/>
      </rPr>
      <t xml:space="preserve">Project   Specific   MAF   (Manufacturer's   Authorization   Form)   Certificate
</t>
    </r>
    <r>
      <rPr>
        <sz val="10"/>
        <color rgb="FF000000"/>
        <rFont val="Verdana"/>
      </rPr>
      <t>required  along  with  the  quotation  from  OEM  to  ensure  the  System Integrator is authorized &amp; that the OEM will support the System Integrator before and during execution of the project.</t>
    </r>
  </si>
  <si>
    <r>
      <rPr>
        <b/>
        <sz val="10"/>
        <color theme="1"/>
        <rFont val="Verdana"/>
      </rPr>
      <t>TOTAL CARRIED OVER TO SUMMARY</t>
    </r>
  </si>
  <si>
    <r>
      <rPr>
        <b/>
        <i/>
        <sz val="10"/>
        <color theme="1"/>
        <rFont val="Calibri"/>
      </rPr>
      <t>Name of Work : IT  Works</t>
    </r>
  </si>
  <si>
    <r>
      <rPr>
        <b/>
        <sz val="10"/>
        <color rgb="FF000000"/>
        <rFont val="Calibri"/>
      </rPr>
      <t xml:space="preserve">Sr.
</t>
    </r>
    <r>
      <rPr>
        <b/>
        <sz val="10"/>
        <color rgb="FF000000"/>
        <rFont val="Calibri"/>
      </rPr>
      <t>No.</t>
    </r>
  </si>
  <si>
    <r>
      <rPr>
        <b/>
        <sz val="10"/>
        <color theme="1"/>
        <rFont val="Calibri"/>
      </rPr>
      <t>DSR</t>
    </r>
  </si>
  <si>
    <r>
      <rPr>
        <b/>
        <sz val="10"/>
        <color theme="1"/>
        <rFont val="Calibri"/>
      </rPr>
      <t>DESCRIPTION OF ITEM</t>
    </r>
  </si>
  <si>
    <r>
      <rPr>
        <b/>
        <sz val="10"/>
        <color theme="1"/>
        <rFont val="Calibri"/>
      </rPr>
      <t>UNIT</t>
    </r>
  </si>
  <si>
    <r>
      <rPr>
        <b/>
        <sz val="10"/>
        <color theme="1"/>
        <rFont val="Calibri"/>
      </rPr>
      <t>QTY.</t>
    </r>
  </si>
  <si>
    <r>
      <rPr>
        <b/>
        <sz val="10"/>
        <color theme="1"/>
        <rFont val="Calibri"/>
      </rPr>
      <t>Rate</t>
    </r>
  </si>
  <si>
    <r>
      <rPr>
        <b/>
        <sz val="10"/>
        <color theme="1"/>
        <rFont val="Calibri"/>
      </rPr>
      <t>Amount (In Rs.)</t>
    </r>
  </si>
  <si>
    <t>Supply</t>
  </si>
  <si>
    <r>
      <rPr>
        <sz val="10"/>
        <color theme="1"/>
        <rFont val="Calibri"/>
      </rPr>
      <t>A</t>
    </r>
  </si>
  <si>
    <r>
      <rPr>
        <b/>
        <sz val="10"/>
        <color theme="1"/>
        <rFont val="Calibri"/>
      </rPr>
      <t>Passive Network System</t>
    </r>
  </si>
  <si>
    <r>
      <rPr>
        <sz val="10"/>
        <color rgb="FF000000"/>
        <rFont val="Calibri"/>
      </rPr>
      <t xml:space="preserve">Supplying Installation Testing and  Commissioning  of 24 port Cat6A Patch Panel loaded. Must be of 1U height with clear label holders and white label with the panel.
</t>
    </r>
    <r>
      <rPr>
        <sz val="10"/>
        <color rgb="FF000000"/>
        <rFont val="Calibri"/>
      </rPr>
      <t>24 Ports Cat-6A Patch Panel should have ETL/UL verification program certificate for compliance with ANSI/TIA- 568.2-D etc. complete as required.</t>
    </r>
  </si>
  <si>
    <r>
      <rPr>
        <sz val="10"/>
        <color theme="1"/>
        <rFont val="Calibri"/>
      </rPr>
      <t>Each</t>
    </r>
  </si>
  <si>
    <r>
      <rPr>
        <sz val="10"/>
        <color rgb="FF000000"/>
        <rFont val="Calibri"/>
      </rPr>
      <t xml:space="preserve">Supplying, Installation, Testing and commissioning of CAT6A Copper Quad Information Outlet (IO) with
</t>
    </r>
    <r>
      <rPr>
        <sz val="10"/>
        <color rgb="FF000000"/>
        <rFont val="Calibri"/>
      </rPr>
      <t>FacePlate with provision for connecting four I/O, along with  spring  type  shutter  for  dust  proof, face plate of color as per site requirement, should have ETL/UL verification program certificate for compliance with ANSI/TIA- 568.2-D. All copper Cable and Components should be from same OEM to  maintain compatibility and interoperability etc. complete as required.</t>
    </r>
  </si>
  <si>
    <r>
      <rPr>
        <sz val="10"/>
        <color theme="1"/>
        <rFont val="Calibri"/>
      </rPr>
      <t>Each</t>
    </r>
  </si>
  <si>
    <r>
      <rPr>
        <sz val="10"/>
        <color rgb="FF000000"/>
        <rFont val="Calibri"/>
      </rPr>
      <t xml:space="preserve">Supplying, Installation, Testing and commissioning of CAT6A Copper Dual Information Outlet (IO) with FacePlate provision for connecting two I/O, along with  spring  type  shutter  for  dust  proof, face plate of  color as per  site requirement, should have ETL/UL verification program certificate for compliance with ANSI/TIA-568.2-D. All copper Cable and Components should be from same OEM to  maintain compatibility and interoperability etc.
</t>
    </r>
    <r>
      <rPr>
        <sz val="10"/>
        <color rgb="FF000000"/>
        <rFont val="Calibri"/>
      </rPr>
      <t>complete as required.</t>
    </r>
  </si>
  <si>
    <r>
      <rPr>
        <sz val="10"/>
        <color theme="1"/>
        <rFont val="Calibri"/>
      </rPr>
      <t>Each</t>
    </r>
  </si>
  <si>
    <r>
      <rPr>
        <sz val="10"/>
        <color theme="1"/>
        <rFont val="Calibri"/>
      </rPr>
      <t>Supplying, Installation, Testing and commissioning of CAT6A Copper Single Information Outlet (IO) with FacePlate with provision for connecting one I/O, along with  spring  type  shutter  for  dust  proof, face plate of color as per site requirement, should have ETL/UL verification program certificate for compliance with ANSI/TIA- 568.2-D. All copper Cable and Components should be from same OEM to  maintain compatibility and interoperability etc. complete as required.</t>
    </r>
  </si>
  <si>
    <r>
      <rPr>
        <sz val="10"/>
        <color theme="1"/>
        <rFont val="Calibri"/>
      </rPr>
      <t>Each</t>
    </r>
  </si>
  <si>
    <r>
      <rPr>
        <sz val="10"/>
        <color theme="1"/>
        <rFont val="Calibri"/>
      </rPr>
      <t>Supplying, Installation, Testing and commissioning of Single gang In-wall Rectangle GI Metallic Backbox of Dimension 86x86x45mm (HxWxD)</t>
    </r>
  </si>
  <si>
    <r>
      <rPr>
        <sz val="10"/>
        <color theme="1"/>
        <rFont val="Calibri"/>
      </rPr>
      <t>Each</t>
    </r>
  </si>
  <si>
    <r>
      <rPr>
        <sz val="10"/>
        <color rgb="FF000000"/>
        <rFont val="Calibri"/>
      </rPr>
      <t xml:space="preserve">Supplying,  drawing,  Testing  and  commissioning  of Cat6A UTP 4 pair, 23 AWG solid copper cable in existing conduit/ on surface, U/FTP, LSZH, Non- Plenum, Horizontal (solid)   Cable suitable for high speed  data networking  application  supporting  upto
</t>
    </r>
    <r>
      <rPr>
        <sz val="10"/>
        <color rgb="FF000000"/>
        <rFont val="Calibri"/>
      </rPr>
      <t xml:space="preserve">10Gbps over a 100 meter channel.  The 4 Unshielded Twisted Pairs (UTP) cable with color coded insulation for easy indentification     should have FLAME PROPERTIES i.e. Flammability Test  - IEC 60332-1, Smoke Density - IEC 61034, LSZH standards compliance: ANSI/TIA-568 C.2, ISO/IEC 11801, IEEE
</t>
    </r>
    <r>
      <rPr>
        <sz val="10"/>
        <color rgb="FF000000"/>
        <rFont val="Calibri"/>
      </rPr>
      <t>802.3an, RoHS. Delay Skew should be &lt; 45NS. The outer Cable Diameter should be   7.5 + 2 mm. Cable should have been tested and verified by UL/ ETL etc. complete as required.</t>
    </r>
  </si>
  <si>
    <r>
      <rPr>
        <sz val="10"/>
        <color theme="1"/>
        <rFont val="Calibri"/>
      </rPr>
      <t>39.18.1</t>
    </r>
  </si>
  <si>
    <r>
      <rPr>
        <sz val="10"/>
        <color theme="1"/>
        <rFont val="Calibri"/>
      </rPr>
      <t>1 run of cable</t>
    </r>
  </si>
  <si>
    <r>
      <rPr>
        <sz val="10"/>
        <color theme="1"/>
        <rFont val="Calibri"/>
      </rPr>
      <t>P/Mtr.</t>
    </r>
  </si>
  <si>
    <r>
      <rPr>
        <sz val="10"/>
        <color theme="1"/>
        <rFont val="Calibri"/>
      </rPr>
      <t>Supplying, Installation, Testing and commissioning of following CAT6A Copper Patch Cord  of length 2Mtr on Rack side. (6.5 ft) should have ETL/UL verification program certificate for compliance with ANSI/TIA-568.2-D etc. complete as required.</t>
    </r>
  </si>
  <si>
    <r>
      <rPr>
        <sz val="10"/>
        <color theme="1"/>
        <rFont val="Calibri"/>
      </rPr>
      <t>Each</t>
    </r>
  </si>
  <si>
    <r>
      <rPr>
        <sz val="10"/>
        <color theme="1"/>
        <rFont val="Calibri"/>
      </rPr>
      <t>Supplying, Installation, Testing and commissioning of following CAT6A Copper Patch Cord  of length 3Mtr on User side. (10ft) should have ETL/UL verification program certificate for compliance with ANSI/TIA-568.2-D etc. complete as required.</t>
    </r>
  </si>
  <si>
    <r>
      <rPr>
        <sz val="10"/>
        <color theme="1"/>
        <rFont val="Calibri"/>
      </rPr>
      <t>Each</t>
    </r>
  </si>
  <si>
    <r>
      <rPr>
        <sz val="10"/>
        <color rgb="FF000000"/>
        <rFont val="Calibri"/>
      </rPr>
      <t xml:space="preserve">Supplying Installation Testing and  Commissioning of following  core  Multi    mode Fiber Optic  Cable having corrugated  steel armoring, leser  optimize  50/125  µm  with  HDPE  jacket,  LSZH (Low smoke Zero Halogen), Tight-buffered or loose tube, maximum attenuation:  &lt; 3.5 dB/km at 850 nm,  &lt;1.5 dB/km at 1300 nm, bandwidth  &gt; 2000 MHz-km at 850 nm,    &gt; 500 MHz-km at 1300 nm compliance and certifications: ISO/IEC 11801 Ed. 2.2, ANSI/TIA-568- C.3, ITU-T G.651.1 RoHS compliant. Multi Mode Fiber shall be Central-loose tube filled with Thixotropic jelly, duly   following   Standards: ISO 11801,   IEC 60793- 1/60794-1-2, ITU-T-REC G.652D and Telecordia GR-20-core, High quality Electro Chromium Coated Corrugated Steel tape (ECCS ) and HDPE- Sheath, Operating ambient Temperature should be   – 5 0C to +50 0C and Storage Temperature should be  – 5 0C to +50 0C,    Maximum Attenuation ± 3.5 dB/km at Operational Wavelength  850 nm and  ± 1.5 dB / km at Operational  Wavelength    1300  nm  .    type  of  fiber should be 50/125 / G.652D  &amp; Refractive Index should be 1.483/1.478, The value for Mode-filed,Cladding Diameter 50 ± 2.5 µm and 125 ± 1µm
</t>
    </r>
    <r>
      <rPr>
        <sz val="10"/>
        <color rgb="FF000000"/>
        <rFont val="Calibri"/>
      </rPr>
      <t>correspondingly i/c splicing &amp; marking etc complete as required.</t>
    </r>
  </si>
  <si>
    <r>
      <rPr>
        <sz val="10"/>
        <color theme="1"/>
        <rFont val="Calibri"/>
      </rPr>
      <t>24 Core Multi Mode Optical Fiber Cable</t>
    </r>
  </si>
  <si>
    <r>
      <rPr>
        <sz val="10"/>
        <color theme="1"/>
        <rFont val="Calibri"/>
      </rPr>
      <t>P/Mtr.</t>
    </r>
  </si>
  <si>
    <r>
      <rPr>
        <sz val="10"/>
        <color rgb="FF000000"/>
        <rFont val="Calibri"/>
      </rPr>
      <t xml:space="preserve">Supplying Installation Testing and  Commissioning of Patch Cord of Optical Fiber Multi Mode or Single Mode LC
</t>
    </r>
    <r>
      <rPr>
        <sz val="10"/>
        <color rgb="FF000000"/>
        <rFont val="Calibri"/>
      </rPr>
      <t xml:space="preserve">to LC Fiber Duplex having high precision ceramic ferrule with good concentricity, Fiber corning   single mode G652D, Cable Type 2mm with   Mechanical specification Apex Offset    &lt; 50 µm, Fiber Height  +  100 nm, End- face radius of Curvature 7mm  &lt;  R  &lt;25mm,  Repeatability   &lt;  0.2  db,  Working ambient Temperature – 5 0C to +50 0C, Storage Temperature  – 10  0C  to  +50  0C,  Length  --  5meter, Type -- LC-LC Duplex etc complete
</t>
    </r>
    <r>
      <rPr>
        <sz val="10"/>
        <color rgb="FF000000"/>
        <rFont val="Calibri"/>
      </rPr>
      <t>as required.</t>
    </r>
  </si>
  <si>
    <r>
      <rPr>
        <sz val="10"/>
        <color theme="1"/>
        <rFont val="Calibri"/>
      </rPr>
      <t>Each</t>
    </r>
  </si>
  <si>
    <r>
      <rPr>
        <sz val="10"/>
        <color theme="1"/>
        <rFont val="Calibri"/>
      </rPr>
      <t>39.21.3</t>
    </r>
  </si>
  <si>
    <r>
      <rPr>
        <sz val="10"/>
        <color theme="1"/>
        <rFont val="Calibri"/>
      </rPr>
      <t>Supplying Installation Testing and  Commissioning of following  port  Rack  Mount  loaded 24 Port LIU   with pigtail,   Front-mounted   cable  saddles  for jumper management, suitable to manage both splices and terminations, Pre-assembled shelves in multiple configurations, Rubber fiber slotted bracket built-in, metal splice shelf to protect the fibers, 2 fiber spools built-in for 900μm tight buffered fiber storing, Capable of storing up to 3 meters of 900μm tight buffered fiber  per  adapter,  Removable  front  and  rear  covers  for better access  to  interior  of  LIU,  Should  be  Single  / Multi   mode   LC   Type   fully   loaded.   Accessory   kit consists of cable ties, mounting ear screws, and spiral wrap tube etc complete as required</t>
    </r>
  </si>
  <si>
    <r>
      <rPr>
        <sz val="10"/>
        <color theme="1"/>
        <rFont val="Calibri"/>
      </rPr>
      <t>Each</t>
    </r>
  </si>
  <si>
    <r>
      <rPr>
        <sz val="10"/>
        <color theme="1"/>
        <rFont val="Calibri"/>
      </rPr>
      <t>Supplying Installation Testing and  Commissioning of 42U rack 1000X800mm Dimension(DxW in mm),, floor- standing type, made from minimum 1.6 mm CRCA steel with adjustable 2 mm thick vertical mounting rails marked with all 42U positions, provision for minimum four cooling fans, and at least eight cable entry/exit points at the top and bottom with rubber grommets. It shall be powder coated in RAL 7035 or black and comply with UL and RoHS standards. The supply shall include two 6-socket 16A PDUs, three closed cable organizers, and a 20-piece hardware mounting kit, delivered in knocked-down condition with all required accessories.</t>
    </r>
  </si>
  <si>
    <r>
      <rPr>
        <sz val="10"/>
        <color theme="1"/>
        <rFont val="Calibri"/>
      </rPr>
      <t>Each</t>
    </r>
  </si>
  <si>
    <r>
      <rPr>
        <sz val="10"/>
        <color theme="1"/>
        <rFont val="Calibri"/>
      </rPr>
      <t>Supplying Installation Testing and  Commissioning of 42U rack 1200X600mm Dimension(DxW in mm),, floor- standing type, made from minimum 1.6 mm CRCA steel with adjustable 2 mm thick vertical mounting rails marked with all 42U positions, provision for minimum four cooling fans, and at least eight cable entry/exit points at the top and bottom with rubber grommets. It shall be powder coated in RAL 7035 or black and comply with UL and RoHS standards. The supply shall include two 6-socket 16A PDUs, three closed cable organizers, and a 20-piece hardware mounting kit, delivered in knocked-down condition with all required accessories.</t>
    </r>
  </si>
  <si>
    <r>
      <rPr>
        <sz val="10"/>
        <color theme="1"/>
        <rFont val="Calibri"/>
      </rPr>
      <t>Each</t>
    </r>
  </si>
  <si>
    <r>
      <rPr>
        <sz val="10"/>
        <color theme="1"/>
        <rFont val="Calibri"/>
      </rPr>
      <t>39.23.3</t>
    </r>
  </si>
  <si>
    <r>
      <rPr>
        <sz val="10"/>
        <color theme="1"/>
        <rFont val="Calibri"/>
      </rPr>
      <t>Supplying Installation Testing and  Commissioning of 15U Wall Mount Rack  1000X800mm Dimension(DxW in mm), having Fixed Structure with 0.8mm CRCA Sheet, completely knocked-down condition (CKD) Shape, Vertical Mounting Rail 1.6 mm with 'U'Marking, Minimum  2  cable  entry/exit  provision  at  Top  and bottom with rubber protection, Front 5mm Toughened Glass with lock, wall mounting kit,   Powder coated Color- RAL- 7035, complied with UL &amp; RoHS, 2 x 6 sockets   16A   power   distribution   units,   3   numbers closed cable organizer, Hardware mounting screws packet of 20 x 1 number, etc. complete as required.</t>
    </r>
  </si>
  <si>
    <r>
      <rPr>
        <sz val="10"/>
        <color theme="1"/>
        <rFont val="Calibri"/>
      </rPr>
      <t>Each</t>
    </r>
  </si>
  <si>
    <r>
      <rPr>
        <b/>
        <sz val="10"/>
        <color theme="1"/>
        <rFont val="Calibri"/>
      </rPr>
      <t>WIFI AP</t>
    </r>
  </si>
  <si>
    <r>
      <rPr>
        <sz val="10"/>
        <color rgb="FF000000"/>
        <rFont val="Calibri"/>
      </rPr>
      <t xml:space="preserve">Supplying Installation Testing and  Commissioning of Enterprise-Class Wi-Fi 6E Tri-Band Indoor Access Point (4x4 MIMO):
</t>
    </r>
    <r>
      <rPr>
        <sz val="10"/>
        <color rgb="FF000000"/>
        <rFont val="Calibri"/>
      </rPr>
      <t>High-performance indoor wireless access point supporting tri-band operation (2.4 GHz, 5 GHz, and 6 GHz) with 4x4 multiple-input multiple-output (MIMO) technology. Designed for high-density enterprise or smart-building environments, supporting cloud-based or on-premises network management platforms.</t>
    </r>
  </si>
  <si>
    <r>
      <rPr>
        <sz val="10"/>
        <color theme="1"/>
        <rFont val="Calibri"/>
      </rPr>
      <t>Each</t>
    </r>
  </si>
  <si>
    <r>
      <rPr>
        <sz val="10"/>
        <color theme="1"/>
        <rFont val="Calibri"/>
      </rPr>
      <t>Supplying Installation Testing and  Commissioning of enterprise-grade wireless access point software license valid for 5 years per individual access point</t>
    </r>
  </si>
  <si>
    <r>
      <rPr>
        <sz val="10"/>
        <color theme="1"/>
        <rFont val="Calibri"/>
      </rPr>
      <t>Each</t>
    </r>
  </si>
  <si>
    <r>
      <rPr>
        <sz val="10"/>
        <color rgb="FF000000"/>
        <rFont val="Calibri"/>
      </rPr>
      <t xml:space="preserve">Supplying, Installation, Testing and commissioning of indoor On Prem Hardware-based Wireless Controller designed for centralized WLAN management, supporting a minimum of 250 access points and 5,000 wireless clients with at least 5 Gbps throughput and up to 4,096 VLANs. Provides automated AP discovery, provisioning, firmware upgrades, monitoring, and troubleshooting. Includes RF optimization features such as Automatic Channel Selection (ACS), Transmit Power Control (TPC), Dynamic Frequency Selection (DFS), Radio Resource Management (RRM), and spectrum analysis. Supports WPA3, WPA2, WPA, and 802.1X authentication, captive portal guest access, WIPS, rogue AP detection, and seamless roaming using 802.11r/k/v with client load balancing. Offers wired and wireless QoS, traffic shaping, and application-aware policies. Equipped with 2x10G uplink ports and 4x2.5G/1G downlink ports, supporting LAG, 802.1Q VLAN tagging, static routing, and DHCP relay. Management via web GUI, CLI, SNMP v2c/v3, and Syslog, with secure boot, RBAC, HTTPS/SSH
</t>
    </r>
    <r>
      <rPr>
        <sz val="10"/>
        <color rgb="FF000000"/>
        <rFont val="Calibri"/>
      </rPr>
      <t>encryption, clustering, N+1 redundancy.</t>
    </r>
  </si>
  <si>
    <r>
      <rPr>
        <sz val="10"/>
        <color theme="1"/>
        <rFont val="Calibri"/>
      </rPr>
      <t>Each</t>
    </r>
  </si>
  <si>
    <r>
      <rPr>
        <b/>
        <sz val="10"/>
        <color theme="1"/>
        <rFont val="Calibri"/>
      </rPr>
      <t>Access Switches</t>
    </r>
  </si>
  <si>
    <r>
      <rPr>
        <sz val="10"/>
        <color rgb="FF000000"/>
        <rFont val="Calibri"/>
      </rPr>
      <t xml:space="preserve">Supplying Installation Testing and  Commissioning of Enterprise-Class 48-Port Gigabit Network Switch with 10G
</t>
    </r>
    <r>
      <rPr>
        <sz val="10"/>
        <color rgb="FF000000"/>
        <rFont val="Calibri"/>
      </rPr>
      <t>Uplinks with Fixed-configuration Layer 2/Layer 3 network switch featuring 48 × 1 Gigabit Ethernet data ports and 4 × 10 Gigabit SFP+ uplink ports. Supplied with manufacturer essential feature set license for enterprise access-layer deployments and service coverage validity for 5 years. Shall include power adaptors and other accessories as required</t>
    </r>
  </si>
  <si>
    <r>
      <rPr>
        <sz val="10"/>
        <color theme="1"/>
        <rFont val="Calibri"/>
      </rPr>
      <t>Each</t>
    </r>
  </si>
  <si>
    <r>
      <rPr>
        <sz val="10"/>
        <color rgb="FF000000"/>
        <rFont val="Calibri"/>
      </rPr>
      <t xml:space="preserve">Supplying Installation Testing and  Commissioning of Enterprise-Class 24-Port Gigabit Network Switch with 10G
</t>
    </r>
    <r>
      <rPr>
        <sz val="10"/>
        <color rgb="FF000000"/>
        <rFont val="Calibri"/>
      </rPr>
      <t>Uplinks with Fixed-configuration Layer 2/Layer 3 switch featuring 24 × 1 Gigabit Ethernet data ports and 4 × 10 Gigabit SFP+ uplink ports.Supplied with manufacturer essential feature set license for enterprise access-layer deployments and service coverage validity for 5 years. Shall include power adaptors and other accessories as required</t>
    </r>
  </si>
  <si>
    <r>
      <rPr>
        <sz val="10"/>
        <color theme="1"/>
        <rFont val="Calibri"/>
      </rPr>
      <t>Each</t>
    </r>
  </si>
  <si>
    <r>
      <rPr>
        <b/>
        <sz val="10"/>
        <color theme="1"/>
        <rFont val="Calibri"/>
      </rPr>
      <t>Sub-Total (A)</t>
    </r>
  </si>
  <si>
    <r>
      <rPr>
        <b/>
        <sz val="10"/>
        <color theme="1"/>
        <rFont val="Calibri"/>
      </rPr>
      <t>Total (A)</t>
    </r>
  </si>
  <si>
    <r>
      <rPr>
        <b/>
        <i/>
        <sz val="7"/>
        <color theme="1"/>
        <rFont val="Verdana"/>
      </rPr>
      <t>Bill of Quantities</t>
    </r>
  </si>
  <si>
    <r>
      <rPr>
        <b/>
        <i/>
        <sz val="7"/>
        <color theme="1"/>
        <rFont val="Verdana"/>
      </rPr>
      <t>Name of Project: “Interior Fit-out work in the office space of Power Finance Corporation Limited, Tower-H, World Trade Centre, Nauroji Nagar, New Delhi-110029 including Operation &amp; Maintenance for 06 years”</t>
    </r>
  </si>
  <si>
    <t xml:space="preserve">Name of Work :  </t>
  </si>
  <si>
    <r>
      <rPr>
        <b/>
        <sz val="7"/>
        <color rgb="FF000000"/>
        <rFont val="Verdana"/>
      </rPr>
      <t xml:space="preserve">Sr.
</t>
    </r>
    <r>
      <rPr>
        <b/>
        <sz val="7"/>
        <color rgb="FF000000"/>
        <rFont val="Verdana"/>
      </rPr>
      <t>No.</t>
    </r>
  </si>
  <si>
    <r>
      <rPr>
        <b/>
        <sz val="7"/>
        <color theme="1"/>
        <rFont val="Verdana"/>
      </rPr>
      <t>DSR/ MR</t>
    </r>
  </si>
  <si>
    <r>
      <rPr>
        <b/>
        <sz val="7"/>
        <color theme="1"/>
        <rFont val="Verdana"/>
      </rPr>
      <t>DESCRIPTION OF ITEM</t>
    </r>
  </si>
  <si>
    <r>
      <rPr>
        <b/>
        <sz val="7"/>
        <color theme="1"/>
        <rFont val="Verdana"/>
      </rPr>
      <t>UNIT</t>
    </r>
  </si>
  <si>
    <r>
      <rPr>
        <b/>
        <sz val="7"/>
        <color theme="1"/>
        <rFont val="Verdana"/>
      </rPr>
      <t>QTY.</t>
    </r>
  </si>
  <si>
    <r>
      <rPr>
        <b/>
        <sz val="7"/>
        <color theme="1"/>
        <rFont val="Verdana"/>
      </rPr>
      <t>Rate (In Rs.)</t>
    </r>
  </si>
  <si>
    <r>
      <rPr>
        <b/>
        <sz val="7"/>
        <color theme="1"/>
        <rFont val="Verdana"/>
      </rPr>
      <t>Amount (In Rs.)</t>
    </r>
  </si>
  <si>
    <r>
      <rPr>
        <b/>
        <sz val="7"/>
        <color theme="1"/>
        <rFont val="Verdana"/>
      </rPr>
      <t>DSR</t>
    </r>
  </si>
  <si>
    <r>
      <rPr>
        <b/>
        <sz val="7"/>
        <color theme="1"/>
        <rFont val="Verdana"/>
      </rPr>
      <t>Non-DSR</t>
    </r>
  </si>
  <si>
    <r>
      <rPr>
        <b/>
        <sz val="7"/>
        <color theme="1"/>
        <rFont val="Verdana"/>
      </rPr>
      <t>DSR</t>
    </r>
  </si>
  <si>
    <r>
      <rPr>
        <b/>
        <sz val="7"/>
        <color theme="1"/>
        <rFont val="Verdana"/>
      </rPr>
      <t>Non-DSR</t>
    </r>
  </si>
  <si>
    <r>
      <rPr>
        <b/>
        <sz val="7"/>
        <color theme="1"/>
        <rFont val="Verdana"/>
      </rPr>
      <t>A</t>
    </r>
  </si>
  <si>
    <r>
      <rPr>
        <b/>
        <sz val="7"/>
        <color theme="1"/>
        <rFont val="Verdana"/>
      </rPr>
      <t>Hybrid PBX</t>
    </r>
  </si>
  <si>
    <r>
      <rPr>
        <sz val="7"/>
        <color theme="1"/>
        <rFont val="Verdana"/>
      </rPr>
      <t>MR</t>
    </r>
  </si>
  <si>
    <r>
      <rPr>
        <sz val="7"/>
        <color theme="1"/>
        <rFont val="Verdana"/>
      </rPr>
      <t>Supplying Installation Testing and  Commissioning of The Hybrid PBX/PABX/Communication System shall employ IP at its core with IP switching technology and 100% non-blocking,The 1000 port communication system should be configured for 1000 no’s Analog extension port and expandable upto 5000 ports , 02 no’s of Operator console,100 SIP Extensions, 16 Digital Extensions,  8 no’s of PSTN trunk port, 1 no’s of PRI port, 32 no’s of SIP trunk/channel License.Voice mail system with 256 hours of recording capacity. EPABX system should have server client architecture &amp; FCAPS  based  NMS sysystem and NMS system should support redundancy as and when required . The system should be IPV6 ready,the system should have VoIP and VMS at its core i.e. VoIP and VMS modules should be mounted on the CPU. It should support digital key phone, GSM/3G/4G for voice. All interfaces except VoIP and VMS shall be in the form of expansion cards and can be plugged into the universal slots of the system as and when required in the future. VoIP and VMS Board module should sit on the CPU,The systems should be redundant which offer 100% duplication of power supply and CPU card. In the event of failure of the main power supply or CPU card, the standby will take over without disruption of on-going calls. : Certification:TEC,CE,FCC,ROHS, EMI-EMC" System should also support Cloud-based, enterprise-grade UC Solution Providing IM/Telephony Presence, click to call (dial by name, answer, release), Call Log, P2P Audio/Screen Sharing for All Users</t>
    </r>
  </si>
  <si>
    <r>
      <rPr>
        <sz val="7"/>
        <color theme="1"/>
        <rFont val="Verdana"/>
      </rPr>
      <t>Each</t>
    </r>
  </si>
  <si>
    <r>
      <rPr>
        <sz val="7"/>
        <color theme="1"/>
        <rFont val="Verdana"/>
      </rPr>
      <t>MR</t>
    </r>
  </si>
  <si>
    <r>
      <rPr>
        <sz val="7"/>
        <color theme="1"/>
        <rFont val="Verdana"/>
      </rPr>
      <t>Supplying Installation Testing and  Commissioning of Telephones for Workstations, Meeting rooms with DTMF/ FSK compatible Caller ID, 16-digit LCD display, Ringer volume control Switch,30 incoming calls memory, Two-way speaker Phone with adjustable Volume,Two-way speaker Phone with adjustable Volume.</t>
    </r>
  </si>
  <si>
    <r>
      <rPr>
        <sz val="7"/>
        <color theme="1"/>
        <rFont val="Verdana"/>
      </rPr>
      <t>Each</t>
    </r>
  </si>
  <si>
    <r>
      <rPr>
        <sz val="7"/>
        <color theme="1"/>
        <rFont val="Verdana"/>
      </rPr>
      <t>MR</t>
    </r>
  </si>
  <si>
    <r>
      <rPr>
        <sz val="7"/>
        <color theme="1"/>
        <rFont val="Verdana"/>
      </rPr>
      <t>Supplying Installation Testing and  Commissioning of Telephones for GM, CGM &amp; ED Cabins having 16-Digit LCD Display with Backlight, 99 Nos Incoming Call Memory, 6-One Touch Memory,2 - Way Speaker Phone, Adjustable LCD Screen</t>
    </r>
  </si>
  <si>
    <r>
      <rPr>
        <sz val="7"/>
        <color theme="1"/>
        <rFont val="Verdana"/>
      </rPr>
      <t>Each</t>
    </r>
  </si>
  <si>
    <r>
      <rPr>
        <sz val="7"/>
        <color theme="1"/>
        <rFont val="Verdana"/>
      </rPr>
      <t>MR</t>
    </r>
  </si>
  <si>
    <r>
      <rPr>
        <sz val="7"/>
        <color rgb="FF000000"/>
        <rFont val="Verdana"/>
      </rPr>
      <t xml:space="preserve">Supplying Installation Testing and  Commissioning of Telephones for Executive floor with
</t>
    </r>
    <r>
      <rPr>
        <sz val="7"/>
        <color rgb="FF000000"/>
        <rFont val="Verdana"/>
      </rPr>
      <t>2.3 -inch, 128*64 backlit black and white display. The phone should provide handsfree mute and message keys, directory of 1000 contact, Provides fixed keys for common features like redial,hold, and mute, 4 menu keys for navigation. IEEE 802.3af. Power over Ethernet (PoE) or External Power Adapter Required.</t>
    </r>
  </si>
  <si>
    <r>
      <rPr>
        <sz val="7"/>
        <color theme="1"/>
        <rFont val="Verdana"/>
      </rPr>
      <t>Each</t>
    </r>
  </si>
  <si>
    <r>
      <rPr>
        <sz val="7"/>
        <color theme="1"/>
        <rFont val="Verdana"/>
      </rPr>
      <t>MR</t>
    </r>
  </si>
  <si>
    <r>
      <rPr>
        <sz val="7"/>
        <color rgb="FF000000"/>
        <rFont val="Verdana"/>
      </rPr>
      <t xml:space="preserve">Supplying Installation Testing and  Commissioning of Telephones for CMD cabin with
</t>
    </r>
    <r>
      <rPr>
        <sz val="7"/>
        <color rgb="FF000000"/>
        <rFont val="Verdana"/>
      </rPr>
      <t xml:space="preserve">5.5” touch screen, cordless handset, 2x6 virtual keyst, Dual-band Wi-Fi and Bluetooth
</t>
    </r>
    <r>
      <rPr>
        <sz val="7"/>
        <color rgb="FF000000"/>
        <rFont val="Verdana"/>
      </rPr>
      <t>5.0 for wireless headset, 2x5 contextual touch keys, 5 function keys (F1-F5), VPN for secure work from home, Dual Gigabit Ethernet port, it shall  have capability to pair with computer and smartphone by USB or Bluetooth.</t>
    </r>
  </si>
  <si>
    <r>
      <rPr>
        <sz val="7"/>
        <color theme="1"/>
        <rFont val="Verdana"/>
      </rPr>
      <t>Each</t>
    </r>
  </si>
  <si>
    <r>
      <rPr>
        <b/>
        <sz val="7"/>
        <color theme="1"/>
        <rFont val="Verdana"/>
      </rPr>
      <t>Sub-Total (A)</t>
    </r>
  </si>
  <si>
    <r>
      <rPr>
        <b/>
        <i/>
        <sz val="6"/>
        <color theme="1"/>
        <rFont val="Verdana"/>
      </rPr>
      <t>Name of Project: “Interior Fit-out work in the office space of Power Finance Corporation Limited, Tower-H, World Trade Centre, Nauroji Nagar, New Delhi-110029 including Operation &amp; Maintenance for 06 years”</t>
    </r>
  </si>
  <si>
    <r>
      <rPr>
        <b/>
        <sz val="6"/>
        <color theme="1"/>
        <rFont val="Verdana"/>
      </rPr>
      <t>Summary of AV BOQ</t>
    </r>
  </si>
  <si>
    <r>
      <rPr>
        <b/>
        <u/>
        <sz val="6"/>
        <rFont val="Verdana"/>
      </rPr>
      <t>SR.NO</t>
    </r>
  </si>
  <si>
    <r>
      <rPr>
        <b/>
        <sz val="6"/>
        <color theme="1"/>
        <rFont val="Verdana"/>
      </rPr>
      <t>DESCRIPTION</t>
    </r>
  </si>
  <si>
    <r>
      <rPr>
        <b/>
        <sz val="6"/>
        <color theme="1"/>
        <rFont val="Verdana"/>
      </rPr>
      <t>Ground Floor</t>
    </r>
  </si>
  <si>
    <r>
      <rPr>
        <b/>
        <sz val="6"/>
        <color theme="1"/>
        <rFont val="Verdana"/>
      </rPr>
      <t>1st Floor</t>
    </r>
  </si>
  <si>
    <r>
      <rPr>
        <b/>
        <sz val="6"/>
        <color theme="1"/>
        <rFont val="Verdana"/>
      </rPr>
      <t>2nd Floor</t>
    </r>
  </si>
  <si>
    <r>
      <rPr>
        <b/>
        <sz val="6"/>
        <color rgb="FF000000"/>
        <rFont val="Verdana"/>
      </rPr>
      <t xml:space="preserve">Typical
</t>
    </r>
    <r>
      <rPr>
        <b/>
        <sz val="6"/>
        <color rgb="FF000000"/>
        <rFont val="Verdana"/>
      </rPr>
      <t>Floors 3rd,</t>
    </r>
  </si>
  <si>
    <r>
      <rPr>
        <b/>
        <sz val="6"/>
        <color theme="1"/>
        <rFont val="Verdana"/>
      </rPr>
      <t>5th Floor</t>
    </r>
  </si>
  <si>
    <r>
      <rPr>
        <b/>
        <sz val="6"/>
        <color theme="1"/>
        <rFont val="Verdana"/>
      </rPr>
      <t>7th Floor</t>
    </r>
  </si>
  <si>
    <r>
      <rPr>
        <b/>
        <sz val="6"/>
        <color theme="1"/>
        <rFont val="Verdana"/>
      </rPr>
      <t>8th Floor</t>
    </r>
  </si>
  <si>
    <r>
      <rPr>
        <b/>
        <sz val="6"/>
        <color theme="1"/>
        <rFont val="Verdana"/>
      </rPr>
      <t>9th Floor</t>
    </r>
  </si>
  <si>
    <r>
      <rPr>
        <b/>
        <sz val="6"/>
        <color theme="1"/>
        <rFont val="Verdana"/>
      </rPr>
      <t>QTY</t>
    </r>
  </si>
  <si>
    <r>
      <rPr>
        <b/>
        <sz val="6"/>
        <color theme="1"/>
        <rFont val="Verdana"/>
      </rPr>
      <t>UNIT RATE (INR)</t>
    </r>
  </si>
  <si>
    <r>
      <rPr>
        <b/>
        <sz val="6"/>
        <color theme="1"/>
        <rFont val="Verdana"/>
      </rPr>
      <t>TOTAL AMOUNT(INR)</t>
    </r>
  </si>
  <si>
    <r>
      <rPr>
        <b/>
        <sz val="6"/>
        <color theme="1"/>
        <rFont val="Verdana"/>
      </rPr>
      <t>SPACE</t>
    </r>
  </si>
  <si>
    <r>
      <rPr>
        <sz val="6"/>
        <color theme="1"/>
        <rFont val="Verdana"/>
      </rPr>
      <t>Reception &amp; Waiting Area</t>
    </r>
  </si>
  <si>
    <r>
      <rPr>
        <sz val="6"/>
        <color theme="1"/>
        <rFont val="Verdana"/>
      </rPr>
      <t>Client Experience Zone</t>
    </r>
  </si>
  <si>
    <r>
      <rPr>
        <sz val="6"/>
        <color theme="1"/>
        <rFont val="Verdana"/>
      </rPr>
      <t>Discussion Lounge</t>
    </r>
  </si>
  <si>
    <r>
      <rPr>
        <sz val="6"/>
        <color theme="1"/>
        <rFont val="Verdana"/>
      </rPr>
      <t>4 PAX Meeting Room</t>
    </r>
  </si>
  <si>
    <r>
      <rPr>
        <sz val="6"/>
        <color theme="1"/>
        <rFont val="Verdana"/>
      </rPr>
      <t>6 PAX Meeting Room</t>
    </r>
  </si>
  <si>
    <r>
      <rPr>
        <sz val="6"/>
        <color theme="1"/>
        <rFont val="Verdana"/>
      </rPr>
      <t>7 PAX Meeting Room</t>
    </r>
  </si>
  <si>
    <r>
      <rPr>
        <sz val="6"/>
        <color theme="1"/>
        <rFont val="Verdana"/>
      </rPr>
      <t>Two 8 PAX Divisible Meeting Rooms-Combined</t>
    </r>
  </si>
  <si>
    <r>
      <rPr>
        <sz val="6"/>
        <color theme="1"/>
        <rFont val="Verdana"/>
      </rPr>
      <t>10 PAX Meeting Room</t>
    </r>
  </si>
  <si>
    <r>
      <rPr>
        <sz val="6"/>
        <color theme="1"/>
        <rFont val="Verdana"/>
      </rPr>
      <t>12 PAX Meeting Room</t>
    </r>
  </si>
  <si>
    <r>
      <rPr>
        <sz val="6"/>
        <color theme="1"/>
        <rFont val="Verdana"/>
      </rPr>
      <t>Two 12 PAX Divisible Meeting Rooms-Combined</t>
    </r>
  </si>
  <si>
    <r>
      <rPr>
        <sz val="6"/>
        <color rgb="FF000000"/>
        <rFont val="Verdana"/>
      </rPr>
      <t xml:space="preserve">9F - Two 12 PAX Divisible Meeting Rooms-
</t>
    </r>
    <r>
      <rPr>
        <sz val="6"/>
        <color rgb="FF000000"/>
        <rFont val="Verdana"/>
      </rPr>
      <t>Combined</t>
    </r>
  </si>
  <si>
    <r>
      <rPr>
        <sz val="6"/>
        <color theme="1"/>
        <rFont val="Verdana"/>
      </rPr>
      <t>22 PAX Training Room</t>
    </r>
  </si>
  <si>
    <r>
      <rPr>
        <sz val="6"/>
        <color theme="1"/>
        <rFont val="Verdana"/>
      </rPr>
      <t>16 PAX Training Room</t>
    </r>
  </si>
  <si>
    <r>
      <rPr>
        <sz val="6"/>
        <color theme="1"/>
        <rFont val="Verdana"/>
      </rPr>
      <t>4 Confrence Halls (individual and combined)</t>
    </r>
  </si>
  <si>
    <r>
      <rPr>
        <sz val="6"/>
        <color theme="1"/>
        <rFont val="Verdana"/>
      </rPr>
      <t>Dealing Room</t>
    </r>
  </si>
  <si>
    <r>
      <rPr>
        <sz val="6"/>
        <color theme="1"/>
        <rFont val="Verdana"/>
      </rPr>
      <t>Borrower's Lounge</t>
    </r>
  </si>
  <si>
    <r>
      <rPr>
        <sz val="6"/>
        <color theme="1"/>
        <rFont val="Verdana"/>
      </rPr>
      <t>Interview Room</t>
    </r>
  </si>
  <si>
    <r>
      <rPr>
        <sz val="6"/>
        <color theme="1"/>
        <rFont val="Verdana"/>
      </rPr>
      <t>Meeting Lounge</t>
    </r>
  </si>
  <si>
    <r>
      <rPr>
        <sz val="6"/>
        <color theme="1"/>
        <rFont val="Verdana"/>
      </rPr>
      <t>ED Cabin</t>
    </r>
  </si>
  <si>
    <r>
      <rPr>
        <sz val="6"/>
        <color theme="1"/>
        <rFont val="Verdana"/>
      </rPr>
      <t>Executive Dining</t>
    </r>
  </si>
  <si>
    <r>
      <rPr>
        <sz val="6"/>
        <color theme="1"/>
        <rFont val="Verdana"/>
      </rPr>
      <t>Cafeteria/Townhall</t>
    </r>
  </si>
  <si>
    <r>
      <rPr>
        <sz val="6"/>
        <color theme="1"/>
        <rFont val="Verdana"/>
      </rPr>
      <t>NOC Room</t>
    </r>
  </si>
  <si>
    <r>
      <rPr>
        <sz val="6"/>
        <color theme="1"/>
        <rFont val="Verdana"/>
      </rPr>
      <t>SOC Room</t>
    </r>
  </si>
  <si>
    <r>
      <rPr>
        <sz val="6"/>
        <color theme="1"/>
        <rFont val="Verdana"/>
      </rPr>
      <t>Multipurpose Rooms</t>
    </r>
  </si>
  <si>
    <r>
      <rPr>
        <sz val="6"/>
        <color theme="1"/>
        <rFont val="Verdana"/>
      </rPr>
      <t>Podcast Room</t>
    </r>
  </si>
  <si>
    <r>
      <rPr>
        <sz val="6"/>
        <color theme="1"/>
        <rFont val="Verdana"/>
      </rPr>
      <t>Chief Vigilance Office</t>
    </r>
  </si>
  <si>
    <r>
      <rPr>
        <sz val="6"/>
        <color theme="1"/>
        <rFont val="Verdana"/>
      </rPr>
      <t>Functional Director Cabin</t>
    </r>
  </si>
  <si>
    <r>
      <rPr>
        <sz val="6"/>
        <color theme="1"/>
        <rFont val="Verdana"/>
      </rPr>
      <t>CMD Cabin</t>
    </r>
  </si>
  <si>
    <r>
      <rPr>
        <sz val="6"/>
        <color theme="1"/>
        <rFont val="Verdana"/>
      </rPr>
      <t>25 PAX Board Room</t>
    </r>
  </si>
  <si>
    <r>
      <rPr>
        <sz val="6"/>
        <color theme="1"/>
        <rFont val="Verdana"/>
      </rPr>
      <t>Ante Room Lounge /Lounge room</t>
    </r>
  </si>
  <si>
    <r>
      <rPr>
        <sz val="6"/>
        <color theme="1"/>
        <rFont val="Verdana"/>
      </rPr>
      <t>Pre Function Area</t>
    </r>
  </si>
  <si>
    <r>
      <rPr>
        <sz val="6"/>
        <color theme="1"/>
        <rFont val="Verdana"/>
      </rPr>
      <t>Immersive Experience</t>
    </r>
  </si>
  <si>
    <r>
      <rPr>
        <sz val="6"/>
        <color theme="1"/>
        <rFont val="Verdana"/>
      </rPr>
      <t>Gym</t>
    </r>
  </si>
  <si>
    <r>
      <rPr>
        <sz val="6"/>
        <color theme="1"/>
        <rFont val="Verdana"/>
      </rPr>
      <t>Creche</t>
    </r>
  </si>
  <si>
    <r>
      <rPr>
        <sz val="6"/>
        <color theme="1"/>
        <rFont val="Verdana"/>
      </rPr>
      <t>Jumba &amp; Meditation Room</t>
    </r>
  </si>
  <si>
    <r>
      <rPr>
        <sz val="6"/>
        <color theme="1"/>
        <rFont val="Verdana"/>
      </rPr>
      <t>Displays on Trolley</t>
    </r>
  </si>
  <si>
    <r>
      <rPr>
        <sz val="6"/>
        <color theme="1"/>
        <rFont val="Verdana"/>
      </rPr>
      <t>Workplace Signage</t>
    </r>
  </si>
  <si>
    <r>
      <rPr>
        <sz val="6"/>
        <color theme="1"/>
        <rFont val="Verdana"/>
      </rPr>
      <t>Workplace Signage Software</t>
    </r>
  </si>
  <si>
    <r>
      <rPr>
        <b/>
        <sz val="6"/>
        <color theme="1"/>
        <rFont val="Verdana"/>
      </rPr>
      <t>Sub- Total (A)</t>
    </r>
  </si>
  <si>
    <r>
      <rPr>
        <b/>
        <i/>
        <sz val="8"/>
        <color theme="1"/>
        <rFont val="Verdana"/>
      </rPr>
      <t>Bill of Quantities</t>
    </r>
  </si>
  <si>
    <r>
      <rPr>
        <b/>
        <i/>
        <sz val="8"/>
        <color rgb="FF000000"/>
        <rFont val="Verdana"/>
      </rPr>
      <t xml:space="preserve">Name of Project: “Interior Fit-out work in the office space of Power Finance Corporation Limited, Tower-H, World Trade Centre, Nauroji Nagar,
</t>
    </r>
    <r>
      <rPr>
        <b/>
        <i/>
        <sz val="8"/>
        <color rgb="FF000000"/>
        <rFont val="Verdana"/>
      </rPr>
      <t>New Delhi-110029 including Operation &amp; Maintenance for 06 years”</t>
    </r>
  </si>
  <si>
    <t>Name of Work: AUDIO &amp; VISUAL SYSTEMS</t>
  </si>
  <si>
    <r>
      <rPr>
        <b/>
        <sz val="8"/>
        <color theme="1"/>
        <rFont val="Verdana"/>
      </rPr>
      <t>S.NO</t>
    </r>
  </si>
  <si>
    <r>
      <rPr>
        <b/>
        <sz val="8"/>
        <color theme="1"/>
        <rFont val="Verdana"/>
      </rPr>
      <t>DESCRIPTION</t>
    </r>
  </si>
  <si>
    <r>
      <rPr>
        <b/>
        <sz val="8"/>
        <color theme="1"/>
        <rFont val="Verdana"/>
      </rPr>
      <t>UNIT</t>
    </r>
  </si>
  <si>
    <r>
      <rPr>
        <b/>
        <sz val="8"/>
        <color theme="1"/>
        <rFont val="Verdana"/>
      </rPr>
      <t>QTY</t>
    </r>
  </si>
  <si>
    <r>
      <rPr>
        <b/>
        <sz val="8"/>
        <color theme="1"/>
        <rFont val="Verdana"/>
      </rPr>
      <t>UNIT PRICE</t>
    </r>
  </si>
  <si>
    <r>
      <rPr>
        <b/>
        <sz val="8"/>
        <color theme="1"/>
        <rFont val="Verdana"/>
      </rPr>
      <t>TOTAL PRICE</t>
    </r>
  </si>
  <si>
    <r>
      <rPr>
        <b/>
        <sz val="8"/>
        <color theme="1"/>
        <rFont val="Verdana"/>
      </rPr>
      <t>Reception &amp; Waiting Area</t>
    </r>
  </si>
  <si>
    <r>
      <rPr>
        <b/>
        <sz val="8"/>
        <color theme="1"/>
        <rFont val="Verdana"/>
      </rPr>
      <t>A</t>
    </r>
  </si>
  <si>
    <r>
      <rPr>
        <b/>
        <sz val="8"/>
        <color theme="1"/>
        <rFont val="Verdana"/>
      </rPr>
      <t>Display Devices &amp; Accessories</t>
    </r>
  </si>
  <si>
    <r>
      <rPr>
        <sz val="7"/>
        <color theme="1"/>
        <rFont val="Verdana"/>
      </rPr>
      <t>SITC of Indoor Active LED : 254 inch diagonal(6x2.37m), SMD, Die-Cast aluminium cabinet configuration, Pixel Pitch: 1.5 mm, 16:9 aspect ratio, minimum Brightness: 600 cd/m² , upto Contrast (10000:1), Wall resolution (W X H): 1920 X 1080, IP605rated(Module), Viewing angle degree (H 170 / V 170), LED Life range of 100000 hours, Refresh Rate(3840Hz), 18 bits processing, Front access 5% Spare support, 3 years warranty with Required Mounting and controls</t>
    </r>
  </si>
  <si>
    <r>
      <rPr>
        <sz val="8"/>
        <color theme="1"/>
        <rFont val="Verdana"/>
      </rPr>
      <t>Nos</t>
    </r>
  </si>
  <si>
    <r>
      <rPr>
        <sz val="7"/>
        <color theme="1"/>
        <rFont val="Verdana"/>
      </rPr>
      <t>SITC of Interactive 55" UHD resolution (3840x2160);Brightness - 500nits; Professional large format display with 3xHDMI input connectivity &amp; built in speakers; Operating environment - 24/7 (with 3 years warranty)</t>
    </r>
  </si>
  <si>
    <r>
      <rPr>
        <sz val="8"/>
        <color theme="1"/>
        <rFont val="Verdana"/>
      </rPr>
      <t>Nos</t>
    </r>
  </si>
  <si>
    <r>
      <rPr>
        <sz val="7"/>
        <color rgb="FF000000"/>
        <rFont val="Verdana"/>
      </rPr>
      <t xml:space="preserve">SITC of Signage display kiosk designed to portrait mount a single digital signage screen with a rigid chassis
</t>
    </r>
    <r>
      <rPr>
        <sz val="7"/>
        <color rgb="FF000000"/>
        <rFont val="Verdana"/>
      </rPr>
      <t>which is fixed to a heavy duty steel base which can be used freestanding or bolted to the floor allowing 8-point micro-adjustment to ensure the mounted screen sits perfectly level and flush with the front opening of the kiosk, which is laser cut to match screens: from 39" up to 70" with Max load: 50kg  VESA and Non-VESA fixings: 200 x 200 up to 600 x 400</t>
    </r>
  </si>
  <si>
    <r>
      <rPr>
        <sz val="8"/>
        <color theme="1"/>
        <rFont val="Verdana"/>
      </rPr>
      <t>Nos</t>
    </r>
  </si>
  <si>
    <r>
      <rPr>
        <b/>
        <sz val="8"/>
        <color theme="1"/>
        <rFont val="Verdana"/>
      </rPr>
      <t>B</t>
    </r>
  </si>
  <si>
    <r>
      <rPr>
        <b/>
        <sz val="7"/>
        <color theme="1"/>
        <rFont val="Verdana"/>
      </rPr>
      <t>Audio Devices</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</si>
  <si>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</si>
  <si>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</si>
  <si>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rgb="FF000000"/>
        <rFont val="Verdana"/>
      </rPr>
      <t xml:space="preserve">SITC of 4-channel digital amplifier (4*600W) with a 4 × 4 routing matrix and the following spec:
</t>
    </r>
    <r>
      <rPr>
        <sz val="7"/>
        <color rgb="FF000000"/>
        <rFont val="Verdana"/>
      </rPr>
      <t xml:space="preserve">frequency response : 20 Hz – 20 kHz,  signal/noise ratio &gt; 103 dB/A
</t>
    </r>
    <r>
      <rPr>
        <sz val="7"/>
        <color rgb="FF000000"/>
        <rFont val="Verdana"/>
      </rPr>
      <t xml:space="preserve">THD+N 0,15% (1 kHz, 8 ohms, 3 dB below clipping) dynamic range &gt; 120 dB,  DSP with 20 independent limiters,
</t>
    </r>
    <r>
      <rPr>
        <sz val="7"/>
        <color rgb="FF000000"/>
        <rFont val="Verdana"/>
      </rPr>
      <t>FIR filters, 8 × 10 fully parametric filter, 8 compressors, 8 noise gates &amp; delays</t>
    </r>
  </si>
  <si>
    <r>
      <rPr>
        <sz val="8"/>
        <color theme="1"/>
        <rFont val="Verdana"/>
      </rPr>
      <t>Nos</t>
    </r>
  </si>
  <si>
    <r>
      <rPr>
        <b/>
        <sz val="8"/>
        <color theme="1"/>
        <rFont val="Verdana"/>
      </rPr>
      <t>C</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</si>
  <si>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</si>
  <si>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</si>
  <si>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</si>
  <si>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sz val="7"/>
        <color rgb="FF000000"/>
        <rFont val="Verdana"/>
      </rPr>
      <t xml:space="preserve">SITC of Multiple video windows can be positioned on LED, display based video walls or projector edge blends,
</t>
    </r>
    <r>
      <rPr>
        <sz val="7"/>
        <color rgb="FF000000"/>
        <rFont val="Verdana"/>
      </rPr>
      <t>displaying any of the sources connected to Processor, Up-Down-Cross Conversion, EDID manager, custom resolution editor, Modular chassis based Ultra-compact processor with Integrated front button panel for up to 2 x 4K HDMI input &amp; 2 x 4K HDMI output</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</si>
  <si>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</si>
  <si>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 xml:space="preserve">control ports. Thed Device should have advanced security standards and Gigabit Ethernet, which ensures
</t>
    </r>
    <r>
      <rPr>
        <sz val="7"/>
        <color rgb="FF000000"/>
        <rFont val="Verdana"/>
      </rPr>
      <t>compatibility with interfaces using a standard network infrastructure.The Device should include all the required license to meet the requirement</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</si>
  <si>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</si>
  <si>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</si>
  <si>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</si>
  <si>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</si>
  <si>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</si>
  <si>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</si>
  <si>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</si>
  <si>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b/>
        <sz val="8"/>
        <color theme="1"/>
        <rFont val="Verdana"/>
      </rPr>
      <t>D</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</si>
  <si>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</si>
  <si>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</si>
  <si>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</si>
  <si>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</si>
  <si>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</si>
  <si>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</si>
  <si>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</si>
  <si>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</si>
  <si>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</si>
  <si>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</si>
  <si>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</si>
  <si>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42U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</si>
  <si>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</si>
  <si>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</si>
  <si>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Client Experience Zone</t>
    </r>
  </si>
  <si>
    <r>
      <rPr>
        <b/>
        <sz val="8"/>
        <color theme="1"/>
        <rFont val="Verdana"/>
      </rPr>
      <t>A</t>
    </r>
  </si>
  <si>
    <r>
      <rPr>
        <b/>
        <sz val="7"/>
        <color theme="1"/>
        <rFont val="Verdana"/>
      </rPr>
      <t>Display Devices &amp; Accessories</t>
    </r>
  </si>
  <si>
    <r>
      <rPr>
        <sz val="7"/>
        <color rgb="FF000000"/>
        <rFont val="Verdana"/>
      </rPr>
      <t xml:space="preserve">SITC of Indoor DVLED : 163 inch diagonal(3.6x2.03m), Fully flip chip COB, Die-Cast aluminium cabinet configuration, Pixel Pitch: 1.5mm , 16:9 aspect ratio, Brightness: 600 cd/m² , Contrast (10000:1), Wall resolution (W X H): 1920 X 1080, IP605rated(Module), Cabinet dimensions ( W X H X D) : 600mm X
</t>
    </r>
    <r>
      <rPr>
        <sz val="7"/>
        <color rgb="FF000000"/>
        <rFont val="Verdana"/>
      </rPr>
      <t>337.5mm X 29.9mm, Viewing angle degree (H 170 / V 170), LED Life (100000 hours), Refresh Rate(3840Hz), 18 bits processing, Front access 5% Spare support, 3 years warranty with Required Mounting and Controls including SITC of Multiple video windows can be positioned on LED, display based video walls or projector edge blends, displaying any of the sources connected to Processor, Up-Down-Cross Conversion, EDID manager, custom resolution editor, Modular chassis based Ultra-compact processor with Integrated front button panel  for up to 2 x 4K HDMI input &amp; 2 x 4K HDMI output</t>
    </r>
  </si>
  <si>
    <r>
      <rPr>
        <sz val="8"/>
        <color theme="1"/>
        <rFont val="Verdana"/>
      </rPr>
      <t>Nos</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</si>
  <si>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</si>
  <si>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</si>
  <si>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B</t>
    </r>
  </si>
  <si>
    <r>
      <rPr>
        <b/>
        <sz val="7"/>
        <color theme="1"/>
        <rFont val="Verdana"/>
      </rPr>
      <t>Audio Devices</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</si>
  <si>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</si>
  <si>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</si>
  <si>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</si>
  <si>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sz val="8"/>
        <color theme="1"/>
        <rFont val="Verdana"/>
      </rPr>
      <t>Nos</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</si>
  <si>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</si>
  <si>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</si>
  <si>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</si>
  <si>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</si>
  <si>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C</t>
    </r>
  </si>
  <si>
    <r>
      <rPr>
        <b/>
        <sz val="7"/>
        <color theme="1"/>
        <rFont val="Verdana"/>
      </rPr>
      <t>Control &amp; Interface</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</si>
  <si>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</si>
  <si>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</si>
  <si>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</si>
  <si>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</si>
  <si>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theme="1"/>
        <rFont val="Verdana"/>
      </rPr>
      <t>SITC of Universal Switcher with HDMI 2.0 and USB-C connectivity, Provides atleast Two HDMI® input and One USB-C Input and one HDMI output. The Device should be able to provide USB connections for peripherals</t>
    </r>
  </si>
  <si>
    <r>
      <rPr>
        <sz val="8"/>
        <color theme="1"/>
        <rFont val="Verdana"/>
      </rPr>
      <t>Nos</t>
    </r>
  </si>
  <si>
    <r>
      <rPr>
        <sz val="7"/>
        <color rgb="FF000000"/>
        <rFont val="Verdana"/>
      </rPr>
      <t>SITC of HDMI &amp; USB</t>
    </r>
    <r>
      <rPr>
        <sz val="7"/>
        <color rgb="FF000000"/>
        <rFont val="Cambria Math"/>
      </rPr>
      <t>‑</t>
    </r>
    <r>
      <rPr>
        <sz val="7"/>
        <color rgb="FF000000"/>
        <rFont val="Verdana"/>
      </rPr>
      <t xml:space="preserve">C® wallplate for video, audio and control up to 330’ (100 m) over a shielded CAT 6A
</t>
    </r>
    <r>
      <rPr>
        <sz val="7"/>
        <color rgb="FF000000"/>
        <rFont val="Verdana"/>
      </rPr>
      <t>cable</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</si>
  <si>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</si>
  <si>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</si>
  <si>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</si>
  <si>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</si>
  <si>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</si>
  <si>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b/>
        <sz val="8"/>
        <color theme="1"/>
        <rFont val="Verdana"/>
      </rPr>
      <t>D</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</si>
  <si>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</si>
  <si>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</si>
  <si>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</si>
  <si>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</si>
  <si>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</si>
  <si>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</si>
  <si>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</si>
  <si>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</si>
  <si>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</si>
  <si>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</si>
  <si>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</si>
  <si>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</si>
  <si>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</si>
  <si>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</si>
  <si>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</si>
  <si>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USB-C to HDMI Female Active Adapter</t>
    </r>
  </si>
  <si>
    <r>
      <rPr>
        <sz val="8"/>
        <color theme="1"/>
        <rFont val="Verdana"/>
      </rPr>
      <t>Set</t>
    </r>
  </si>
  <si>
    <r>
      <rPr>
        <b/>
        <sz val="7"/>
        <color theme="1"/>
        <rFont val="Verdana"/>
      </rPr>
      <t>Total (Inclusive of GST)</t>
    </r>
  </si>
  <si>
    <r>
      <rPr>
        <b/>
        <sz val="7"/>
        <color theme="1"/>
        <rFont val="Verdana"/>
      </rPr>
      <t>Immersive Experience Area</t>
    </r>
  </si>
  <si>
    <r>
      <rPr>
        <b/>
        <sz val="8"/>
        <color theme="1"/>
        <rFont val="Verdana"/>
      </rPr>
      <t>A</t>
    </r>
  </si>
  <si>
    <r>
      <rPr>
        <b/>
        <sz val="7"/>
        <color theme="1"/>
        <rFont val="Verdana"/>
      </rPr>
      <t>Display Devices &amp; Accessories</t>
    </r>
  </si>
  <si>
    <r>
      <rPr>
        <sz val="7"/>
        <color rgb="FF000000"/>
        <rFont val="Verdana"/>
      </rPr>
      <t xml:space="preserve">SITC of Indoor DVLED : 163 inch diagonal(3.6x2.03m), Fully flip chip COB, Die-Cast aluminium cabinet configuration, Pixel Pitch: 1.5mm , 16:9 aspect ratio, Brightness: 600 cd/m² , Contrast (10000:1), Wall resolution (W X H): 1920 X 1080, IP605rated(Module), Cabinet dimensions ( W X H X D) : 600mm X
</t>
    </r>
    <r>
      <rPr>
        <sz val="7"/>
        <color rgb="FF000000"/>
        <rFont val="Verdana"/>
      </rPr>
      <t>337.5mm X 29.9mm, Viewing angle degree (H 170 / V 170), LED Life (100000 hours), Refresh Rate(3840Hz), 18 bits processing, Front access 5% Spare support, 3 years warranty with Required Mounting and Controls</t>
    </r>
  </si>
  <si>
    <r>
      <rPr>
        <sz val="8"/>
        <color theme="1"/>
        <rFont val="Verdana"/>
      </rPr>
      <t>Nos</t>
    </r>
  </si>
  <si>
    <r>
      <rPr>
        <sz val="7"/>
        <color theme="1"/>
        <rFont val="Verdana"/>
      </rPr>
      <t>SITC of Multiple video windows can be positioned on LED, display based video walls or projector edge blends, displaying any of the sources connected to Processor, Up-Down-Cross Conversion, EDID manager, custom resolution editor, Modular chassis based Ultra-compact processor with Integrated front button panel for up to 4 x 4K HDMI input &amp; 2 x 4K HDMI output</t>
    </r>
  </si>
  <si>
    <r>
      <rPr>
        <sz val="8"/>
        <color theme="1"/>
        <rFont val="Verdana"/>
      </rPr>
      <t>Nos</t>
    </r>
  </si>
  <si>
    <r>
      <rPr>
        <sz val="7"/>
        <color theme="1"/>
        <rFont val="Verdana"/>
      </rPr>
      <t>SITC of Interactive 55"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</si>
  <si>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</si>
  <si>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Custom Kiosk to fit the 55' Display with a Architect Approved Finish</t>
    </r>
  </si>
  <si>
    <r>
      <rPr>
        <sz val="8"/>
        <color theme="1"/>
        <rFont val="Verdana"/>
      </rPr>
      <t>Nos</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</si>
  <si>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</si>
  <si>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</si>
  <si>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B</t>
    </r>
  </si>
  <si>
    <r>
      <rPr>
        <b/>
        <sz val="7"/>
        <color theme="1"/>
        <rFont val="Verdana"/>
      </rPr>
      <t>Audio System</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</si>
  <si>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</si>
  <si>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</si>
  <si>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rgb="FF000000"/>
        <rFont val="Verdana"/>
      </rPr>
      <t xml:space="preserve">SITC of 4-channel digital amplifier (4*600W) with a 4 × 4 routing matrix and the following spec:
</t>
    </r>
    <r>
      <rPr>
        <sz val="7"/>
        <color rgb="FF000000"/>
        <rFont val="Verdana"/>
      </rPr>
      <t xml:space="preserve">frequency response : 20 Hz – 20 kHz,  signal/noise ratio &gt; 103 dB/A
</t>
    </r>
    <r>
      <rPr>
        <sz val="7"/>
        <color rgb="FF000000"/>
        <rFont val="Verdana"/>
      </rPr>
      <t xml:space="preserve">THD+N 0,15% (1 kHz, 8 ohms, 3 dB below clipping) dynamic range &gt; 120 dB,  DSP with 20 independent limiters,
</t>
    </r>
    <r>
      <rPr>
        <sz val="7"/>
        <color rgb="FF000000"/>
        <rFont val="Verdana"/>
      </rPr>
      <t>FIR filters, 8 × 10 fully parametric filter, 8 compressors, 8 noise gates &amp; delays</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</si>
  <si>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</si>
  <si>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</si>
  <si>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</si>
  <si>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</si>
  <si>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</si>
  <si>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</si>
  <si>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</si>
  <si>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SITC of HDMI &amp; USB</t>
    </r>
    <r>
      <rPr>
        <sz val="7"/>
        <color rgb="FF000000"/>
        <rFont val="Cambria Math"/>
      </rPr>
      <t>‑</t>
    </r>
    <r>
      <rPr>
        <sz val="7"/>
        <color rgb="FF000000"/>
        <rFont val="Verdana"/>
      </rPr>
      <t xml:space="preserve">C® wallplate for video, audio and control up to 330’ (100 m) over a shielded CAT 6A
</t>
    </r>
    <r>
      <rPr>
        <sz val="7"/>
        <color rgb="FF000000"/>
        <rFont val="Verdana"/>
      </rPr>
      <t>cable</t>
    </r>
  </si>
  <si>
    <r>
      <rPr>
        <sz val="8"/>
        <color theme="1"/>
        <rFont val="Verdana"/>
      </rPr>
      <t>Nos</t>
    </r>
  </si>
  <si>
    <r>
      <rPr>
        <sz val="7"/>
        <color theme="1"/>
        <rFont val="Verdana"/>
      </rPr>
      <t>SITC of Switcher enabled 8 HDMI 2.0 inputs and Eight HDMI output.</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</si>
  <si>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</si>
  <si>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</si>
  <si>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</si>
  <si>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</si>
  <si>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</si>
  <si>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theme="1"/>
        <rFont val="Verdana"/>
      </rPr>
      <t>SITC of Collaboration Device with 4K HDMI Output for Active LED Video Wall, 1 HDMI Input &amp; 1 KVM Touch Control Interactive Canvas expands 20 times the surface area of the physical touchscreen,Wireless device sharing supports macOS, iOS, Windows, Android, Linux,Annotation toolset to annotate anything on the Canvas, including live feeds,Easy Content Sharing share content from a USB on the fly, or select from integrated network drive or cloud server,Multiple remote users able to view and collaborate on the canvas with Unlimited Use License,Multi Touch Collaboration System with perpetual license</t>
    </r>
  </si>
  <si>
    <r>
      <rPr>
        <sz val="8"/>
        <color theme="1"/>
        <rFont val="Verdana"/>
      </rPr>
      <t>Nos</t>
    </r>
  </si>
  <si>
    <r>
      <rPr>
        <b/>
        <sz val="8"/>
        <color theme="1"/>
        <rFont val="Verdana"/>
      </rPr>
      <t>D</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</si>
  <si>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</si>
  <si>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</si>
  <si>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</si>
  <si>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</si>
  <si>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</si>
  <si>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</si>
  <si>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</si>
  <si>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</si>
  <si>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</si>
  <si>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</si>
  <si>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</si>
  <si>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</si>
  <si>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</si>
  <si>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</si>
  <si>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</si>
  <si>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24U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</si>
  <si>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</si>
  <si>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</si>
  <si>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Discussion Lounge</t>
    </r>
  </si>
  <si>
    <r>
      <rPr>
        <b/>
        <sz val="8"/>
        <color theme="1"/>
        <rFont val="Verdana"/>
      </rPr>
      <t>A</t>
    </r>
  </si>
  <si>
    <r>
      <rPr>
        <b/>
        <sz val="7"/>
        <color theme="1"/>
        <rFont val="Verdana"/>
      </rPr>
      <t>Display Devices &amp; Accessories</t>
    </r>
  </si>
  <si>
    <r>
      <rPr>
        <sz val="7"/>
        <color theme="1"/>
        <rFont val="Verdana"/>
      </rPr>
      <t>SITC of 85" UHD resolution (3840x2160);Brightness - 500nits; Professional large format display with 3xHDMI input connectivity &amp; built in speakers; Operating environment -  Min. 24/7 (with 3 years warranty)</t>
    </r>
  </si>
  <si>
    <r>
      <rPr>
        <sz val="8"/>
        <color theme="1"/>
        <rFont val="Verdana"/>
      </rPr>
      <t>Nos</t>
    </r>
  </si>
  <si>
    <r>
      <rPr>
        <sz val="7"/>
        <color theme="1"/>
        <rFont val="Verdana"/>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</si>
  <si>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</si>
  <si>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</si>
  <si>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</si>
  <si>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</si>
  <si>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</si>
  <si>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C</t>
    </r>
  </si>
  <si>
    <r>
      <rPr>
        <b/>
        <sz val="7"/>
        <color theme="1"/>
        <rFont val="Verdana"/>
      </rPr>
      <t>Switching &amp; Interface</t>
    </r>
  </si>
  <si>
    <r>
      <rPr>
        <sz val="7"/>
        <color theme="1"/>
        <rFont val="Verdana"/>
      </rPr>
      <t>SITC of Single-gang wall mount input or output for HDMI® digital video and audio.</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</si>
  <si>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</si>
  <si>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</si>
  <si>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</si>
  <si>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atleast Two HDMI® input and atleast One USB-C Input and atleast one HDMI output.</t>
    </r>
  </si>
  <si>
    <r>
      <rPr>
        <sz val="8"/>
        <color theme="1"/>
        <rFont val="Verdana"/>
      </rPr>
      <t>Nos</t>
    </r>
  </si>
  <si>
    <r>
      <rPr>
        <b/>
        <sz val="8"/>
        <color theme="1"/>
        <rFont val="Verdana"/>
      </rPr>
      <t>D</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</si>
  <si>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</si>
  <si>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</si>
  <si>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</si>
  <si>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</si>
  <si>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</si>
  <si>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</si>
  <si>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</si>
  <si>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</si>
  <si>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</si>
  <si>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</si>
  <si>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</si>
  <si>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</si>
  <si>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Interview Room</t>
    </r>
  </si>
  <si>
    <r>
      <rPr>
        <b/>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</si>
  <si>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</si>
  <si>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</si>
  <si>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</si>
  <si>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Push Pull mount for screens from 42" upto 75". Pop-out system with load bearing capacity of 50Kg. Micro- 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</si>
  <si>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</si>
  <si>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</si>
  <si>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</si>
  <si>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</si>
  <si>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</si>
  <si>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sz val="7"/>
        <color theme="1"/>
        <rFont val="Verdana"/>
      </rPr>
      <t>Microsoft Teams Room Compute along with a 10 inch Touch Panel to integrate with 3rd Party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</si>
  <si>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</si>
  <si>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</si>
  <si>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</si>
  <si>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</si>
  <si>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</si>
  <si>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</si>
  <si>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sz val="8"/>
        <color theme="1"/>
        <rFont val="Verdana"/>
      </rPr>
      <t>Nos</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</si>
  <si>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</si>
  <si>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</si>
  <si>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</si>
  <si>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</si>
  <si>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D</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</si>
  <si>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</si>
  <si>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</si>
  <si>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</si>
  <si>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</si>
  <si>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</si>
  <si>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atleast Two HDMI® input and atleast One USB-C Input and atleast one HDMI output.</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</si>
  <si>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</si>
  <si>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</si>
  <si>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</si>
  <si>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</si>
  <si>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</si>
  <si>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</si>
  <si>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</si>
  <si>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</si>
  <si>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</si>
  <si>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</si>
  <si>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</si>
  <si>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</si>
  <si>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</si>
  <si>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</si>
  <si>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</si>
  <si>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</si>
  <si>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</si>
  <si>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</si>
  <si>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</si>
  <si>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</si>
  <si>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</si>
  <si>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</si>
  <si>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</si>
  <si>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</si>
  <si>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4 PAX Meeting Room</t>
    </r>
  </si>
  <si>
    <r>
      <rPr>
        <b/>
        <sz val="8"/>
        <color theme="1"/>
        <rFont val="Verdana"/>
      </rPr>
      <t>A</t>
    </r>
  </si>
  <si>
    <r>
      <rPr>
        <b/>
        <sz val="7"/>
        <color theme="1"/>
        <rFont val="Verdana"/>
      </rPr>
      <t>Display Devices &amp; Accessories</t>
    </r>
  </si>
  <si>
    <r>
      <rPr>
        <sz val="7"/>
        <color theme="1"/>
        <rFont val="Verdana"/>
      </rPr>
      <t>SITC of 43"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</si>
  <si>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</si>
  <si>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</si>
  <si>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</si>
  <si>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</si>
  <si>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</si>
  <si>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a 4K Ultra HD camera and a maximum of 120 degree FOV. The device should be with a BYOD capability. The device should have capbility to support 2 displays if required.The Audio Pickup of Microphone  should be atleast 15ft.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</si>
  <si>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</si>
  <si>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</si>
  <si>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</si>
  <si>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</si>
  <si>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</si>
  <si>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b/>
        <sz val="8"/>
        <color theme="1"/>
        <rFont val="Verdana"/>
      </rPr>
      <t>D</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</si>
  <si>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</si>
  <si>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</si>
  <si>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</si>
  <si>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E</t>
    </r>
  </si>
  <si>
    <r>
      <rPr>
        <b/>
        <sz val="7"/>
        <color theme="1"/>
        <rFont val="Verdana"/>
      </rPr>
      <t>Cables &amp; connectors</t>
    </r>
  </si>
  <si>
    <r>
      <rPr>
        <sz val="7"/>
        <color theme="1"/>
        <rFont val="Verdana"/>
      </rPr>
      <t>SITC of 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</si>
  <si>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</si>
  <si>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</si>
  <si>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</si>
  <si>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</si>
  <si>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</si>
  <si>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</si>
  <si>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</si>
  <si>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</si>
  <si>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6PAX Meeting Room</t>
    </r>
  </si>
  <si>
    <r>
      <rPr>
        <b/>
        <sz val="8"/>
        <color theme="1"/>
        <rFont val="Verdana"/>
      </rPr>
      <t>A</t>
    </r>
  </si>
  <si>
    <r>
      <rPr>
        <b/>
        <sz val="7"/>
        <color theme="1"/>
        <rFont val="Verdana"/>
      </rPr>
      <t>Display Devices &amp; Accessories</t>
    </r>
  </si>
  <si>
    <r>
      <rPr>
        <sz val="7"/>
        <color theme="1"/>
        <rFont val="Verdana"/>
      </rPr>
      <t>SITC of 55"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</si>
  <si>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</si>
  <si>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</si>
  <si>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</si>
  <si>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</si>
  <si>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</si>
  <si>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a 4K Ultra HD camera and a maximum of 120 degree FOV. The device should be With native Teams MS teams with a 10' Touch Panel  and with a BYOD capability. The device should have capbility to support 2 displays if required.The Audio Pickup of Microphone  should be atleast 15ft.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</si>
  <si>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</si>
  <si>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</si>
  <si>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</si>
  <si>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</si>
  <si>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</si>
  <si>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b/>
        <sz val="8"/>
        <color theme="1"/>
        <rFont val="Verdana"/>
      </rPr>
      <t>D</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</si>
  <si>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</si>
  <si>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</si>
  <si>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Set</t>
    </r>
  </si>
  <si>
    <r>
      <rPr>
        <b/>
        <sz val="8"/>
        <color theme="1"/>
        <rFont val="Verdana"/>
      </rPr>
      <t>E</t>
    </r>
  </si>
  <si>
    <r>
      <rPr>
        <b/>
        <sz val="7"/>
        <color theme="1"/>
        <rFont val="Verdana"/>
      </rPr>
      <t>Cables &amp; connectors</t>
    </r>
  </si>
  <si>
    <r>
      <rPr>
        <sz val="7"/>
        <color theme="1"/>
        <rFont val="Verdana"/>
      </rPr>
      <t>SITC of 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</si>
  <si>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</si>
  <si>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</si>
  <si>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</si>
  <si>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</si>
  <si>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</si>
  <si>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</si>
  <si>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</si>
  <si>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</si>
  <si>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7 PAX Meeting Room</t>
    </r>
  </si>
  <si>
    <r>
      <rPr>
        <b/>
        <sz val="8"/>
        <color theme="1"/>
        <rFont val="Verdana"/>
      </rPr>
      <t>A</t>
    </r>
  </si>
  <si>
    <r>
      <rPr>
        <b/>
        <sz val="7"/>
        <color theme="1"/>
        <rFont val="Verdana"/>
      </rPr>
      <t>Display Devices &amp; Accessories</t>
    </r>
  </si>
  <si>
    <r>
      <rPr>
        <sz val="7"/>
        <color theme="1"/>
        <rFont val="Verdana"/>
      </rPr>
      <t>SITC of 55"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</si>
  <si>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</si>
  <si>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</si>
  <si>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</si>
  <si>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</si>
  <si>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</si>
  <si>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a 4K Ultra HD camera and a maximum of 120 degree FOV. The device should be With native Teams MS teams with a 10' Touch Panel  and with a BYOD capability. The device should have capbility to support 2 displays if required.The Audio Pickup of Microphone  should be atleast 15ft.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</si>
  <si>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</si>
  <si>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</si>
  <si>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</si>
  <si>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</si>
  <si>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</si>
  <si>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b/>
        <sz val="8"/>
        <color theme="1"/>
        <rFont val="Verdana"/>
      </rPr>
      <t>D</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</si>
  <si>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</si>
  <si>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</si>
  <si>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Set</t>
    </r>
  </si>
  <si>
    <r>
      <rPr>
        <b/>
        <sz val="8"/>
        <color theme="1"/>
        <rFont val="Verdana"/>
      </rPr>
      <t>E</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</si>
  <si>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</si>
  <si>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</si>
  <si>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</si>
  <si>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</si>
  <si>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</si>
  <si>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</si>
  <si>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</si>
  <si>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</si>
  <si>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</si>
  <si>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</si>
  <si>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10 PAX Meeting Room</t>
    </r>
  </si>
  <si>
    <r>
      <rPr>
        <b/>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</si>
  <si>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</si>
  <si>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</si>
  <si>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</si>
  <si>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</si>
  <si>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</si>
  <si>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</si>
  <si>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</si>
  <si>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Dual 4K Ultra HD camera and a FOV 0f 70-120. The device should be With native Teams MS teams with a 10' Touch Panel  and with a BYOD capability. The device should have capability to support 2 displays if required.The Audio Pickup of Microphone  should be atleast 25ft.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</si>
  <si>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</si>
  <si>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</si>
  <si>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</si>
  <si>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</si>
  <si>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</si>
  <si>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</si>
  <si>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</si>
  <si>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theme="1"/>
        <rFont val="Verdana"/>
      </rPr>
      <t>SITC of Universal Switcher with HDMI 2.0 and USB-C connectivity, Provides Two HDMI® input and One USB-C Input and one HDMI output.</t>
    </r>
  </si>
  <si>
    <r>
      <rPr>
        <sz val="8"/>
        <color theme="1"/>
        <rFont val="Verdana"/>
      </rPr>
      <t>Nos</t>
    </r>
  </si>
  <si>
    <r>
      <rPr>
        <b/>
        <sz val="8"/>
        <color theme="1"/>
        <rFont val="Verdana"/>
      </rPr>
      <t>D</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</si>
  <si>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</si>
  <si>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</si>
  <si>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</si>
  <si>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E</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</si>
  <si>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</si>
  <si>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</si>
  <si>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</si>
  <si>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</si>
  <si>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</si>
  <si>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</si>
  <si>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</si>
  <si>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</si>
  <si>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</si>
  <si>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</si>
  <si>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</si>
  <si>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</si>
  <si>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12 PAX Meeting Room</t>
    </r>
  </si>
  <si>
    <r>
      <rPr>
        <b/>
        <sz val="8"/>
        <color theme="1"/>
        <rFont val="Verdana"/>
      </rPr>
      <t>A</t>
    </r>
  </si>
  <si>
    <r>
      <rPr>
        <b/>
        <sz val="7"/>
        <color theme="1"/>
        <rFont val="Verdana"/>
      </rPr>
      <t>Display Devices &amp; Accessories</t>
    </r>
  </si>
  <si>
    <r>
      <rPr>
        <sz val="7"/>
        <color rgb="FF000000"/>
        <rFont val="Verdana"/>
      </rPr>
      <t xml:space="preserve">SITC of 65" UHD resolution (3840x2160);Brightness - 500nits; Professional large format display with 3xHDMI input connectivity &amp; built in speakers;
</t>
    </r>
    <r>
      <rPr>
        <sz val="7"/>
        <color rgb="FF000000"/>
        <rFont val="Verdana"/>
      </rPr>
      <t>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</si>
  <si>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</si>
  <si>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</si>
  <si>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</si>
  <si>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</si>
  <si>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</si>
  <si>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Dual 4K Ultra HD camera and a FOV 0f 70-120. The device should be With native Teams MS teams with a 10' Touch Panel  and with a BYOD capability. The device should have capability to support 2 displays if required.The Audio Pickup of Microphone  should be atleast 25ft.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</si>
  <si>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</si>
  <si>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</si>
  <si>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</si>
  <si>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</si>
  <si>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</si>
  <si>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</si>
  <si>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</si>
  <si>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theme="1"/>
        <rFont val="Verdana"/>
      </rPr>
      <t>SITC of Universal Switcher with HDMI 2.0 and USB-C connectivity, Provides Two HDMI® input and One USB-C Input and one HDMI output.</t>
    </r>
  </si>
  <si>
    <r>
      <rPr>
        <sz val="8"/>
        <color theme="1"/>
        <rFont val="Verdana"/>
      </rPr>
      <t>Nos</t>
    </r>
  </si>
  <si>
    <r>
      <rPr>
        <b/>
        <sz val="8"/>
        <color theme="1"/>
        <rFont val="Verdana"/>
      </rPr>
      <t>D</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</si>
  <si>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</si>
  <si>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</si>
  <si>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</si>
  <si>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E</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</si>
  <si>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</si>
  <si>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</si>
  <si>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</si>
  <si>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</si>
  <si>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</si>
  <si>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</si>
  <si>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</si>
  <si>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</si>
  <si>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</si>
  <si>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</si>
  <si>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</si>
  <si>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</si>
  <si>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Two Divisible 8 PAX Meeting Rooms</t>
    </r>
  </si>
  <si>
    <r>
      <rPr>
        <b/>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</si>
  <si>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</si>
  <si>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</si>
  <si>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</si>
  <si>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</si>
  <si>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</si>
  <si>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</si>
  <si>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</si>
  <si>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rgb="FF000000"/>
        <rFont val="Verdana"/>
      </rPr>
      <t xml:space="preserve">SITC all in one UC Video Bar  featuring inbuilt microphones and  stereo speakers. The device Should have Dual
</t>
    </r>
    <r>
      <rPr>
        <sz val="7"/>
        <color rgb="FF000000"/>
        <rFont val="Verdana"/>
      </rPr>
      <t>4K Ultra HD camera and a FOV of 70-120. The device should be With native Teams MS teams with a 10' Touch Panel  and with a BYOD capability. The device should have capbility to support 2 displays if required.The Audio Pickup of Microphone  should be atleast 25ft.</t>
    </r>
  </si>
  <si>
    <r>
      <rPr>
        <sz val="8"/>
        <color theme="1"/>
        <rFont val="Verdana"/>
      </rPr>
      <t>Nos</t>
    </r>
  </si>
  <si>
    <r>
      <rPr>
        <b/>
        <sz val="8"/>
        <color theme="1"/>
        <rFont val="Verdana"/>
      </rPr>
      <t>C</t>
    </r>
  </si>
  <si>
    <r>
      <rPr>
        <b/>
        <sz val="7"/>
        <color theme="1"/>
        <rFont val="Verdana"/>
      </rPr>
      <t>Switching &amp; Interface</t>
    </r>
  </si>
  <si>
    <r>
      <rPr>
        <sz val="7"/>
        <color theme="1"/>
        <rFont val="Verdana"/>
      </rPr>
      <t>SITC of Single-gang wall mount input or output for HDMI® digital video and audio.</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</si>
  <si>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</si>
  <si>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</si>
  <si>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</si>
  <si>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atleast Two HDMI® input and atleast Two USB-C Input and atleast Two HDMI output.</t>
    </r>
  </si>
  <si>
    <r>
      <rPr>
        <sz val="8"/>
        <color theme="1"/>
        <rFont val="Verdana"/>
      </rPr>
      <t>Nos</t>
    </r>
  </si>
  <si>
    <r>
      <rPr>
        <b/>
        <sz val="8"/>
        <color theme="1"/>
        <rFont val="Verdana"/>
      </rPr>
      <t>D</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</si>
  <si>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</si>
  <si>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</si>
  <si>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Set</t>
    </r>
  </si>
  <si>
    <r>
      <rPr>
        <b/>
        <sz val="8"/>
        <color theme="1"/>
        <rFont val="Verdana"/>
      </rPr>
      <t>E</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</si>
  <si>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</si>
  <si>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</si>
  <si>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</si>
  <si>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</si>
  <si>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</si>
  <si>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</si>
  <si>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</si>
  <si>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</si>
  <si>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</si>
  <si>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</si>
  <si>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</si>
  <si>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</si>
  <si>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Two Divisible 12 PAX Meeting Room</t>
    </r>
  </si>
  <si>
    <r>
      <rPr>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</si>
  <si>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</si>
  <si>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</si>
  <si>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</si>
  <si>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</si>
  <si>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</si>
  <si>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</si>
  <si>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</si>
  <si>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</si>
  <si>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</si>
  <si>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</si>
  <si>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</si>
  <si>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</si>
  <si>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</si>
  <si>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</si>
  <si>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</si>
  <si>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Full rack 19” 1RU processor mainframe with sixteen user-configured card slots (16 blank cards included.Selectable 48 &amp; 96kHz sampling rates. Integrated license-activated AEC. Dual core processing 40-bit floating DSP .Front panel OLED display with jog wheel. Rear panel includes an Ethernet module with RJ45 connector and internal power supply connection with built-in MOD-Dante-ETH module already pre- installed.Dante mainframe to provide 64x64 I/O channels of Dante network audio. Dual RJ45 Dante and single RJ45 Ethernet connectors.16ch Mic/Line inputs  with selectable mic, line, mic gain, and phantom power per input. 32-bit analog to digital converters.6ch Line output. 32-bit digital to analog converters.Softwarelicense activated AEC. 8ch of AEC @ 250ms delay / 16ch @ 100ms.</t>
    </r>
  </si>
  <si>
    <r>
      <rPr>
        <sz val="8"/>
        <color theme="1"/>
        <rFont val="Verdana"/>
      </rPr>
      <t>Nos</t>
    </r>
  </si>
  <si>
    <r>
      <rPr>
        <sz val="7"/>
        <color theme="1"/>
        <rFont val="Verdana"/>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</si>
  <si>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</si>
  <si>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</si>
  <si>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</si>
  <si>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sz val="7"/>
        <color rgb="FF000000"/>
        <rFont val="Verdana"/>
      </rPr>
      <t xml:space="preserve">SITC of USB2.0 to Dante network endpoint, PoE-powered with single CatX cable and suitable for mounting
</t>
    </r>
    <r>
      <rPr>
        <sz val="7"/>
        <color rgb="FF000000"/>
        <rFont val="Verdana"/>
      </rPr>
      <t>under the table or behind a display, with UC mute sync.</t>
    </r>
  </si>
  <si>
    <r>
      <rPr>
        <sz val="8"/>
        <color theme="1"/>
        <rFont val="Verdana"/>
      </rPr>
      <t>Nos</t>
    </r>
  </si>
  <si>
    <r>
      <rPr>
        <sz val="7"/>
        <color rgb="FF000000"/>
        <rFont val="Verdana"/>
      </rPr>
      <t xml:space="preserve">SITC of Designer IP-based wall control with recessed rotary encoder, PoE power and configurable OLED
</t>
    </r>
    <r>
      <rPr>
        <sz val="7"/>
        <color rgb="FF000000"/>
        <rFont val="Verdana"/>
      </rPr>
      <t>display. Mounts into single-gang Decora® cut-out (not included).</t>
    </r>
  </si>
  <si>
    <r>
      <rPr>
        <sz val="8"/>
        <color theme="1"/>
        <rFont val="Verdana"/>
      </rPr>
      <t>Nos</t>
    </r>
  </si>
  <si>
    <r>
      <rPr>
        <sz val="8"/>
        <color theme="1"/>
        <rFont val="Verdana"/>
      </rPr>
      <t>C</t>
    </r>
  </si>
  <si>
    <r>
      <rPr>
        <b/>
        <sz val="7"/>
        <color theme="1"/>
        <rFont val="Verdana"/>
      </rPr>
      <t>Switching &amp; Interface</t>
    </r>
  </si>
  <si>
    <r>
      <rPr>
        <sz val="7"/>
        <color rgb="FF000000"/>
        <rFont val="Verdana"/>
      </rPr>
      <t>SITC of HDMI &amp; USB</t>
    </r>
    <r>
      <rPr>
        <sz val="7"/>
        <color rgb="FF000000"/>
        <rFont val="Cambria Math"/>
      </rPr>
      <t>‑</t>
    </r>
    <r>
      <rPr>
        <sz val="7"/>
        <color rgb="FF000000"/>
        <rFont val="Verdana"/>
      </rPr>
      <t xml:space="preserve">C® wallplate for video, audio and control up to 330’ (100 m) over a shielded CAT 6A
</t>
    </r>
    <r>
      <rPr>
        <sz val="7"/>
        <color rgb="FF000000"/>
        <rFont val="Verdana"/>
      </rPr>
      <t>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</si>
  <si>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</si>
  <si>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</si>
  <si>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</si>
  <si>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</si>
  <si>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</si>
  <si>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atleast Two HDMI® input and atleast Two USB-C Input and atleast Two HDMI output.</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</si>
  <si>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</si>
  <si>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</si>
  <si>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</si>
  <si>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</si>
  <si>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</si>
  <si>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 xml:space="preserve">SITC of 8x1G PoE+ 125W 2x1G and 2xSFP Managed Switch. Additional power supply to be considered to
</t>
    </r>
    <r>
      <rPr>
        <sz val="7"/>
        <color rgb="FF000000"/>
        <rFont val="Verdana"/>
      </rPr>
      <t>manage the POE Budget</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</si>
  <si>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</si>
  <si>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</si>
  <si>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</si>
  <si>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</si>
  <si>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</si>
  <si>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</si>
  <si>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</si>
  <si>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</si>
  <si>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</si>
  <si>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</si>
  <si>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</si>
  <si>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</si>
  <si>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</si>
  <si>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</si>
  <si>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</si>
  <si>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</si>
  <si>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</si>
  <si>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</si>
  <si>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</si>
  <si>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</si>
  <si>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</si>
  <si>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24U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</si>
  <si>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</si>
  <si>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</si>
  <si>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9F Two Divisible 12 PAX Meeting Room</t>
    </r>
  </si>
  <si>
    <r>
      <rPr>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</si>
  <si>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</si>
  <si>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</si>
  <si>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</si>
  <si>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</si>
  <si>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</si>
  <si>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</si>
  <si>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</si>
  <si>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</si>
  <si>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</si>
  <si>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</si>
  <si>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</si>
  <si>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</si>
  <si>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</si>
  <si>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</si>
  <si>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</si>
  <si>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</si>
  <si>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sz val="8"/>
        <color theme="1"/>
        <rFont val="Verdana"/>
      </rPr>
      <t>Nos</t>
    </r>
  </si>
  <si>
    <r>
      <rPr>
        <sz val="7"/>
        <color theme="1"/>
        <rFont val="Verdana"/>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</si>
  <si>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</si>
  <si>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</si>
  <si>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</si>
  <si>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sz val="7"/>
        <color rgb="FF000000"/>
        <rFont val="Verdana"/>
      </rPr>
      <t xml:space="preserve">SITC of USB2.0 to Dante network endpoint, PoE-powered with single CatX cable and suitable for mounting
</t>
    </r>
    <r>
      <rPr>
        <sz val="7"/>
        <color rgb="FF000000"/>
        <rFont val="Verdana"/>
      </rPr>
      <t>under the table or behind a display, with UC mute sync.</t>
    </r>
  </si>
  <si>
    <r>
      <rPr>
        <sz val="8"/>
        <color theme="1"/>
        <rFont val="Verdana"/>
      </rPr>
      <t>Nos</t>
    </r>
  </si>
  <si>
    <r>
      <rPr>
        <sz val="7"/>
        <color rgb="FF000000"/>
        <rFont val="Verdana"/>
      </rPr>
      <t xml:space="preserve">SITC of Designer IP-based wall control with recessed rotary encoder, PoE power and configurable OLED
</t>
    </r>
    <r>
      <rPr>
        <sz val="7"/>
        <color rgb="FF000000"/>
        <rFont val="Verdana"/>
      </rPr>
      <t>display. Mounts into single-gang Decora® cut-out (not included).</t>
    </r>
  </si>
  <si>
    <r>
      <rPr>
        <sz val="8"/>
        <color theme="1"/>
        <rFont val="Verdana"/>
      </rPr>
      <t>Nos</t>
    </r>
  </si>
  <si>
    <r>
      <rPr>
        <sz val="8"/>
        <color theme="1"/>
        <rFont val="Verdana"/>
      </rPr>
      <t>C</t>
    </r>
  </si>
  <si>
    <r>
      <rPr>
        <b/>
        <sz val="7"/>
        <color theme="1"/>
        <rFont val="Verdana"/>
      </rPr>
      <t>Switching &amp; Interface</t>
    </r>
  </si>
  <si>
    <r>
      <rPr>
        <sz val="7"/>
        <color rgb="FF000000"/>
        <rFont val="Verdana"/>
      </rPr>
      <t>SITC of HDMI &amp; USB</t>
    </r>
    <r>
      <rPr>
        <sz val="7"/>
        <color rgb="FF000000"/>
        <rFont val="Cambria Math"/>
      </rPr>
      <t>‑</t>
    </r>
    <r>
      <rPr>
        <sz val="7"/>
        <color rgb="FF000000"/>
        <rFont val="Verdana"/>
      </rPr>
      <t xml:space="preserve">C® wallplate for video, audio and control up to 330’ (100 m) over a shielded CAT 6A
</t>
    </r>
    <r>
      <rPr>
        <sz val="7"/>
        <color rgb="FF000000"/>
        <rFont val="Verdana"/>
      </rPr>
      <t>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</si>
  <si>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</si>
  <si>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</si>
  <si>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</si>
  <si>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</si>
  <si>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</si>
  <si>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Universal Switcher with  AVoIP enabled HDMI 2.0 and USB-C connectivity, Provides atleast  Two HDMI® input and Two USB-C Input and Two HDMI output.</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</si>
  <si>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</si>
  <si>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</si>
  <si>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</si>
  <si>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</si>
  <si>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</si>
  <si>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 xml:space="preserve">SITC of 8x1G PoE+ 125W 2x1G and 2xSFP Managed Switch. Additional power supply to be considered to
</t>
    </r>
    <r>
      <rPr>
        <sz val="7"/>
        <color rgb="FF000000"/>
        <rFont val="Verdana"/>
      </rPr>
      <t>manage the POE Budget</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</si>
  <si>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</si>
  <si>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</si>
  <si>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</si>
  <si>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</si>
  <si>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</si>
  <si>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</si>
  <si>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</si>
  <si>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</si>
  <si>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</si>
  <si>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</si>
  <si>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</si>
  <si>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</si>
  <si>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</si>
  <si>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</si>
  <si>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</si>
  <si>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</si>
  <si>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</si>
  <si>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</si>
  <si>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</si>
  <si>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</si>
  <si>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</si>
  <si>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24U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</si>
  <si>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</si>
  <si>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</si>
  <si>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22 PAX Training Room</t>
    </r>
  </si>
  <si>
    <r>
      <rPr>
        <b/>
        <sz val="8"/>
        <color theme="1"/>
        <rFont val="Verdana"/>
      </rPr>
      <t>A</t>
    </r>
  </si>
  <si>
    <r>
      <rPr>
        <b/>
        <sz val="7"/>
        <color theme="1"/>
        <rFont val="Verdana"/>
      </rPr>
      <t>Display Devices &amp; Accessories</t>
    </r>
  </si>
  <si>
    <r>
      <rPr>
        <sz val="7"/>
        <color theme="1"/>
        <rFont val="Verdana"/>
      </rPr>
      <t>SITC of 85" UHD resolution (3840x2160);Brightness - 500nits; Professional large format display with 3xHDMI input connectivity &amp; built in speakers; Operating environment -  Min. 16/7 (with 3 years warranty)</t>
    </r>
  </si>
  <si>
    <r>
      <rPr>
        <sz val="8"/>
        <color theme="1"/>
        <rFont val="Verdana"/>
      </rPr>
      <t>Nos</t>
    </r>
  </si>
  <si>
    <r>
      <rPr>
        <sz val="7"/>
        <color theme="1"/>
        <rFont val="Verdana"/>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</si>
  <si>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</si>
  <si>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</si>
  <si>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</si>
  <si>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</si>
  <si>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</si>
  <si>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</si>
  <si>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</si>
  <si>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</si>
  <si>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</si>
  <si>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</si>
  <si>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</si>
  <si>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</si>
  <si>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sz val="8"/>
        <color theme="1"/>
        <rFont val="Verdana"/>
      </rPr>
      <t>Nos</t>
    </r>
  </si>
  <si>
    <r>
      <rPr>
        <sz val="7"/>
        <color theme="1"/>
        <rFont val="Verdana"/>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</si>
  <si>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</si>
  <si>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</si>
  <si>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</si>
  <si>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D</t>
    </r>
  </si>
  <si>
    <r>
      <rPr>
        <b/>
        <sz val="7"/>
        <color theme="1"/>
        <rFont val="Verdana"/>
      </rPr>
      <t>Switching &amp; Interface</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</si>
  <si>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</si>
  <si>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</si>
  <si>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rgb="FF000000"/>
        <rFont val="Verdana"/>
      </rPr>
      <t>SITC of  wallplate USB</t>
    </r>
    <r>
      <rPr>
        <sz val="7"/>
        <color rgb="FF000000"/>
        <rFont val="Cambria Math"/>
      </rPr>
      <t>‑</t>
    </r>
    <r>
      <rPr>
        <sz val="7"/>
        <color rgb="FF000000"/>
        <rFont val="Verdana"/>
      </rPr>
      <t>C® video, HDMI, audio and control up to 330’ (100 m) over a shielded CAT 6A cable</t>
    </r>
  </si>
  <si>
    <r>
      <rPr>
        <sz val="8"/>
        <color theme="1"/>
        <rFont val="Verdana"/>
      </rPr>
      <t>Nos</t>
    </r>
  </si>
  <si>
    <r>
      <rPr>
        <sz val="7"/>
        <color theme="1"/>
        <rFont val="Verdana"/>
      </rPr>
      <t>SITC of Universal Switcher with HDMI 2.0 and USB-C connectivity, Provides One  HDMI® input and One USB-C Input and one HDMI output.</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</si>
  <si>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</si>
  <si>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</si>
  <si>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</si>
  <si>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</si>
  <si>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</si>
  <si>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</si>
  <si>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</si>
  <si>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</si>
  <si>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</si>
  <si>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</si>
  <si>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</si>
  <si>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</si>
  <si>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</si>
  <si>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</si>
  <si>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</si>
  <si>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</si>
  <si>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</si>
  <si>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</si>
  <si>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</si>
  <si>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</si>
  <si>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</si>
  <si>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</si>
  <si>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</si>
  <si>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</si>
  <si>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</si>
  <si>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</si>
  <si>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</si>
  <si>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</si>
  <si>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</si>
  <si>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</si>
  <si>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</si>
  <si>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</si>
  <si>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16 PAX Training Room</t>
    </r>
  </si>
  <si>
    <r>
      <rPr>
        <b/>
        <sz val="8"/>
        <color theme="1"/>
        <rFont val="Verdana"/>
      </rPr>
      <t>A</t>
    </r>
  </si>
  <si>
    <r>
      <rPr>
        <b/>
        <sz val="7"/>
        <color theme="1"/>
        <rFont val="Verdana"/>
      </rPr>
      <t>Display Devices &amp; Accessories</t>
    </r>
  </si>
  <si>
    <r>
      <rPr>
        <sz val="7"/>
        <color theme="1"/>
        <rFont val="Verdana"/>
      </rPr>
      <t>SITC of 85" UHD resolution (3840x2160);Brightness - 500nits; Professional large format display with 3xHDMI input connectivity &amp; built in speakers; Operating environment -  Min. 16/7 (with 3 years warranty)</t>
    </r>
  </si>
  <si>
    <r>
      <rPr>
        <sz val="8"/>
        <color theme="1"/>
        <rFont val="Verdana"/>
      </rPr>
      <t>Nos</t>
    </r>
  </si>
  <si>
    <r>
      <rPr>
        <sz val="7"/>
        <color theme="1"/>
        <rFont val="Verdana"/>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</si>
  <si>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</si>
  <si>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</si>
  <si>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</si>
  <si>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</si>
  <si>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</si>
  <si>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</si>
  <si>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</si>
  <si>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</si>
  <si>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</si>
  <si>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</si>
  <si>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</si>
  <si>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</si>
  <si>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sz val="8"/>
        <color theme="1"/>
        <rFont val="Verdana"/>
      </rPr>
      <t>Nos</t>
    </r>
  </si>
  <si>
    <r>
      <rPr>
        <sz val="7"/>
        <color theme="1"/>
        <rFont val="Verdana"/>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</si>
  <si>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</si>
  <si>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</si>
  <si>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</si>
  <si>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D</t>
    </r>
  </si>
  <si>
    <r>
      <rPr>
        <b/>
        <sz val="7"/>
        <color theme="1"/>
        <rFont val="Verdana"/>
      </rPr>
      <t>Switching &amp; Interface</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</si>
  <si>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</si>
  <si>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</si>
  <si>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rgb="FF000000"/>
        <rFont val="Verdana"/>
      </rPr>
      <t>SITC of  wallplate USB</t>
    </r>
    <r>
      <rPr>
        <sz val="7"/>
        <color rgb="FF000000"/>
        <rFont val="Cambria Math"/>
      </rPr>
      <t>‑</t>
    </r>
    <r>
      <rPr>
        <sz val="7"/>
        <color rgb="FF000000"/>
        <rFont val="Verdana"/>
      </rPr>
      <t>C® video, HDMI, audio and control up to 330’ (100 m) over a shielded CAT 6A cable</t>
    </r>
  </si>
  <si>
    <r>
      <rPr>
        <sz val="8"/>
        <color theme="1"/>
        <rFont val="Verdana"/>
      </rPr>
      <t>Nos</t>
    </r>
  </si>
  <si>
    <r>
      <rPr>
        <sz val="7"/>
        <color theme="1"/>
        <rFont val="Verdana"/>
      </rPr>
      <t>SITC of Universal Switcher with HDMI 2.0 and USB-C connectivity, Provides One  HDMI® input and One USB-C Input and one HDMI output.</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</si>
  <si>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</si>
  <si>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</si>
  <si>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</si>
  <si>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</si>
  <si>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</si>
  <si>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</si>
  <si>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</si>
  <si>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</si>
  <si>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</si>
  <si>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</si>
  <si>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</si>
  <si>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</si>
  <si>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</si>
  <si>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</si>
  <si>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</si>
  <si>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</si>
  <si>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</si>
  <si>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</si>
  <si>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</si>
  <si>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</si>
  <si>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</si>
  <si>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</si>
  <si>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</si>
  <si>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</si>
  <si>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</si>
  <si>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</si>
  <si>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</si>
  <si>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</si>
  <si>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</si>
  <si>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</si>
  <si>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</si>
  <si>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</si>
  <si>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Hall</t>
    </r>
  </si>
  <si>
    <r>
      <rPr>
        <b/>
        <sz val="8"/>
        <color theme="1"/>
        <rFont val="Verdana"/>
      </rPr>
      <t>A</t>
    </r>
  </si>
  <si>
    <r>
      <rPr>
        <b/>
        <sz val="7"/>
        <color theme="1"/>
        <rFont val="Verdana"/>
      </rPr>
      <t>Display Devices &amp; Accessories</t>
    </r>
  </si>
  <si>
    <r>
      <rPr>
        <sz val="7"/>
        <color rgb="FF000000"/>
        <rFont val="Verdana"/>
      </rPr>
      <t xml:space="preserve">SITC of Indoor DVLED : 135inch diagonal(3x1.69m), Fully flip chip COB, 2.40m X 1.35m,4X4 Die-Cast
</t>
    </r>
    <r>
      <rPr>
        <sz val="7"/>
        <color rgb="FF000000"/>
        <rFont val="Verdana"/>
      </rPr>
      <t xml:space="preserve">aluminium cabinet configuration, Pixel Pitch: 1.5mm , 16:9 aspect ratio, Brightness: 600 cd/m² , Contrast (10000:1), Wall resolution (W X H): 1920 X 1080, IP605rated(Module), Cabinet dimensions ( W X H X D) : 600mm X 337.5mm X 29.9mm, Viewing angle degree (H 170 / V 170), LED Life (100000 hours), Refresh Rate(3840Hz), 18 bits processing, Front access 5% Spare support, 3 years warranty with required Mounting
</t>
    </r>
    <r>
      <rPr>
        <sz val="7"/>
        <color rgb="FF000000"/>
        <rFont val="Verdana"/>
      </rPr>
      <t>and control processsors</t>
    </r>
  </si>
  <si>
    <r>
      <rPr>
        <sz val="8"/>
        <color theme="1"/>
        <rFont val="Verdana"/>
      </rPr>
      <t>Nos</t>
    </r>
  </si>
  <si>
    <r>
      <rPr>
        <sz val="7"/>
        <color theme="1"/>
        <rFont val="Verdana"/>
      </rPr>
      <t>SITC of Multiple video windows can be positioned on LED, display based video walls or projector edge blends, EDID manager, custom resolution editor, HDR10, 10-bit processing, HDCP2.2, upto 64000 x 64000 pixels design space on each canvas &amp; capable to show upto 250 windows onto a single active LED or Video wall, minimum 4 canvas,  support both progressive &amp; interlaced scan input &amp; output resolution, dynamic labelling engine, storage of minimum 3 GB to store  images (logos, Background, etc), upto 32 maps per input (create virtual / cropped sources from a single input), Output mapping, Genlock support, Modular chassis based Video processor with up to 8 x 4K60 4:4:4 HDMI input &amp; 8 x 4K60 4:4:4 HDMI output.</t>
    </r>
  </si>
  <si>
    <r>
      <rPr>
        <sz val="8"/>
        <color theme="1"/>
        <rFont val="Verdana"/>
      </rPr>
      <t>Nos</t>
    </r>
  </si>
  <si>
    <r>
      <rPr>
        <sz val="7"/>
        <color rgb="FF000000"/>
        <rFont val="Verdana"/>
      </rPr>
      <t xml:space="preserve">SITC of 55" UHD resolution (3840x2160);Brightness - 500nits; Professional large format display with 3xHDMI input connectivity &amp; built in speakers;
</t>
    </r>
    <r>
      <rPr>
        <sz val="7"/>
        <color rgb="FF000000"/>
        <rFont val="Verdana"/>
      </rPr>
      <t>Operating environment - 24/7 (with 3 years warranty)</t>
    </r>
  </si>
  <si>
    <r>
      <rPr>
        <sz val="8"/>
        <color theme="1"/>
        <rFont val="Verdana"/>
      </rPr>
      <t>Nos</t>
    </r>
  </si>
  <si>
    <r>
      <rPr>
        <sz val="7"/>
        <color rgb="FF000000"/>
        <rFont val="Verdana"/>
      </rPr>
      <t xml:space="preserve">SITC of Ceiling/Swivel mount  for  screens upto 65" with load bearing capacity of 50Kg. Easy swivel at 3 points
</t>
    </r>
    <r>
      <rPr>
        <sz val="7"/>
        <color rgb="FF000000"/>
        <rFont val="Verdana"/>
      </rPr>
      <t>(wall, central pivot, interface) &amp; tilt adjustment upto +/-15°. Simple Hook on Installation with all mounting hardware included.</t>
    </r>
  </si>
  <si>
    <r>
      <rPr>
        <sz val="8"/>
        <color theme="1"/>
        <rFont val="Verdana"/>
      </rPr>
      <t>Nos</t>
    </r>
  </si>
  <si>
    <r>
      <rPr>
        <b/>
        <sz val="8"/>
        <color theme="1"/>
        <rFont val="Verdana"/>
      </rPr>
      <t>B</t>
    </r>
  </si>
  <si>
    <r>
      <rPr>
        <b/>
        <sz val="7"/>
        <color theme="1"/>
        <rFont val="Verdana"/>
      </rPr>
      <t>Video Conferencing</t>
    </r>
  </si>
  <si>
    <r>
      <rPr>
        <sz val="7"/>
        <color rgb="FF000000"/>
        <rFont val="Verdana"/>
      </rPr>
      <t xml:space="preserve">SITC of 4K AI Auto-Tracking 30x Zoom PTZ Camera  with required Mounting Accessories
</t>
    </r>
    <r>
      <rPr>
        <sz val="7"/>
        <color rgb="FF000000"/>
        <rFont val="Verdana"/>
      </rPr>
      <t xml:space="preserve">4K 60 Dual output 30x Zoom
</t>
    </r>
    <r>
      <rPr>
        <sz val="7"/>
        <color rgb="FF000000"/>
        <rFont val="Verdana"/>
      </rPr>
      <t xml:space="preserve">AI-powered motion tracking
</t>
    </r>
    <r>
      <rPr>
        <sz val="7"/>
        <color rgb="FF000000"/>
        <rFont val="Verdana"/>
      </rPr>
      <t>HDMI, Ethernet, 3G-SDI, USB output</t>
    </r>
  </si>
  <si>
    <r>
      <rPr>
        <sz val="8"/>
        <color theme="1"/>
        <rFont val="Verdana"/>
      </rPr>
      <t>Nos</t>
    </r>
  </si>
  <si>
    <r>
      <rPr>
        <sz val="7"/>
        <color rgb="FF000000"/>
        <rFont val="Verdana"/>
      </rPr>
      <t xml:space="preserve">SITC of 4K AI Auto-Tracking 20x Zoom PTZ Camera  with required Mounting Accessories
</t>
    </r>
    <r>
      <rPr>
        <sz val="7"/>
        <color rgb="FF000000"/>
        <rFont val="Verdana"/>
      </rPr>
      <t xml:space="preserve">4K 60 Dual output 20x Zoom
</t>
    </r>
    <r>
      <rPr>
        <sz val="7"/>
        <color rgb="FF000000"/>
        <rFont val="Verdana"/>
      </rPr>
      <t xml:space="preserve">AI-powered motion tracking
</t>
    </r>
    <r>
      <rPr>
        <sz val="7"/>
        <color rgb="FF000000"/>
        <rFont val="Verdana"/>
      </rPr>
      <t>HDMI, Ethernet, 3G-SDI, USB output</t>
    </r>
  </si>
  <si>
    <r>
      <rPr>
        <sz val="8"/>
        <color theme="1"/>
        <rFont val="Verdana"/>
      </rPr>
      <t>Nos</t>
    </r>
  </si>
  <si>
    <r>
      <rPr>
        <sz val="7"/>
        <color rgb="FF000000"/>
        <rFont val="Verdana"/>
      </rPr>
      <t xml:space="preserve">SITC of IP Camera Controller
</t>
    </r>
    <r>
      <rPr>
        <sz val="7"/>
        <color rgb="FF000000"/>
        <rFont val="Verdana"/>
      </rPr>
      <t xml:space="preserve">Controls up-to total of 255 IP-connected cameras
</t>
    </r>
    <r>
      <rPr>
        <sz val="7"/>
        <color rgb="FF000000"/>
        <rFont val="Verdana"/>
      </rPr>
      <t xml:space="preserve">Quick access control of exposure, white balance, focus, PTZ speed and 2 user-assignable keys Supports RTSP Preview on LCD screen
</t>
    </r>
    <r>
      <rPr>
        <sz val="7"/>
        <color rgb="FF000000"/>
        <rFont val="Verdana"/>
      </rPr>
      <t xml:space="preserve">Supports RS-232, RS-422, and Ethernet control
</t>
    </r>
    <r>
      <rPr>
        <sz val="7"/>
        <color rgb="FF000000"/>
        <rFont val="Verdana"/>
      </rPr>
      <t>Supports VISCA and VISCA Over IP control protocols</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</si>
  <si>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</si>
  <si>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</si>
  <si>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</si>
  <si>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</si>
  <si>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</si>
  <si>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Full rack 19” 1RU processor mainframe with sixteen user-configured card slots (16 blank cards included.Selectable 48 &amp; 96kHz sampling rates. Integrated license-activated AEC. Dual core processing 40-bit floating DSP .Front panel OLED display with jog wheel. Rear panel includes an Ethernet module with RJ45 connector and internal power supply connection with built-in MOD-Dante-ETH module already pre- installed.Dante mainframe to provide 64x64 I/O channels of Dante network audio. Dual RJ45 Dante and single RJ45 Ethernet connectors.16ch Mic/Line inputs  with selectable mic, line, mic gain, and phantom power per input. 32-bit analog to digital converters.6ch Line output. 32-bit digital to analog converters.Softwarelicense activated AEC. 8ch of AEC @ 250ms delay / 16ch @ 100ms.</t>
    </r>
  </si>
  <si>
    <r>
      <rPr>
        <sz val="8"/>
        <color theme="1"/>
        <rFont val="Verdana"/>
      </rPr>
      <t>Nos</t>
    </r>
  </si>
  <si>
    <r>
      <rPr>
        <sz val="7"/>
        <color rgb="FF000000"/>
        <rFont val="Verdana"/>
      </rPr>
      <t xml:space="preserve">SITC of Antenna with Frequency range 470 – 1075 MHz Apex angle (-3 dB) approx. 100° Front-to-back ratio
</t>
    </r>
    <r>
      <rPr>
        <sz val="7"/>
        <color rgb="FF000000"/>
        <rFont val="Verdana"/>
      </rPr>
      <t>&gt; 14 dB Gain typ. 5 dBi Impedance 50 Ω Connection BNC female, Dimensions 319 x 310 mm Weight Approx. 1100 g (2.43 lbs) Operating temperature range -10 °C - +55 °C (14 °F - 131 °F) Storage temperature range - 20 °C - +85 °C (-4 °F - 185 °F) Relative humidity max. 95 % (non-condensing).</t>
    </r>
  </si>
  <si>
    <r>
      <rPr>
        <sz val="8"/>
        <color theme="1"/>
        <rFont val="Verdana"/>
      </rPr>
      <t>Nos</t>
    </r>
  </si>
  <si>
    <r>
      <rPr>
        <sz val="7"/>
        <color rgb="FF000000"/>
        <rFont val="Verdana"/>
      </rPr>
      <t xml:space="preserve">SITC of Active Antenna Splitter for use with Wireless Digital systems with Antenna splitter 2 x 1:4 or 1 x 1:8, active , Gain in A – out A: 0 ± 1 dB in A – out A1 ... A4: 0 ± 1 dB in B – out B1 ... B4: 0 ± 1 dB, Impedance 50 Ω , Reflection loss 10 dB (all RF outputs), Supply for receivers at A1 to A4 DC 12 V Typically 350 mA, max. 500 mA. Current consumption 210 mA; Total current consumption max. 3 A. Dim.ensions Approx. 212 x 168 x 43 mm (8.35" x 6.61" x 1.69"). Operating temperature range -10 °C - +55 °C (14 °F - 131 °F) Storage
</t>
    </r>
    <r>
      <rPr>
        <sz val="7"/>
        <color rgb="FF000000"/>
        <rFont val="Verdana"/>
      </rPr>
      <t>temperature range -20 °C - +70 °C (-4 °F - 158 °F) Relative humidity 5 - 95 % (non-condensing)</t>
    </r>
  </si>
  <si>
    <r>
      <rPr>
        <sz val="8"/>
        <color theme="1"/>
        <rFont val="Verdana"/>
      </rPr>
      <t>Nos</t>
    </r>
  </si>
  <si>
    <r>
      <rPr>
        <sz val="7"/>
        <color theme="1"/>
        <rFont val="Verdana"/>
      </rPr>
      <t>SITC of USB charger with Four slots for rechargeable battery. Includes power supply.</t>
    </r>
  </si>
  <si>
    <r>
      <rPr>
        <sz val="8"/>
        <color theme="1"/>
        <rFont val="Verdana"/>
      </rPr>
      <t>Nos</t>
    </r>
  </si>
  <si>
    <r>
      <rPr>
        <sz val="7"/>
        <color rgb="FF000000"/>
        <rFont val="Verdana"/>
      </rPr>
      <t xml:space="preserve">SITC of Digital wireless handheld transmitter with switch compatible with. Rugged metal housing with standard
</t>
    </r>
    <r>
      <rPr>
        <sz val="7"/>
        <color rgb="FF000000"/>
        <rFont val="Verdana"/>
      </rPr>
      <t>capsule interface for a wide range.  Up to 12 hours of runtime, persistent E-Ink display and charging contacts for in-device charging.</t>
    </r>
  </si>
  <si>
    <r>
      <rPr>
        <sz val="8"/>
        <color theme="1"/>
        <rFont val="Verdana"/>
      </rPr>
      <t>Nos</t>
    </r>
  </si>
  <si>
    <r>
      <rPr>
        <sz val="7"/>
        <color rgb="FF000000"/>
        <rFont val="Verdana"/>
      </rPr>
      <t xml:space="preserve">SITC of Wireless lavalier microphone set consists of wireless bodypack transmitter and omni-directional clip-on
</t>
    </r>
    <r>
      <rPr>
        <sz val="7"/>
        <color rgb="FF000000"/>
        <rFont val="Verdana"/>
      </rPr>
      <t>lavalier microphone with rechargeable batteries</t>
    </r>
  </si>
  <si>
    <r>
      <rPr>
        <sz val="8"/>
        <color theme="1"/>
        <rFont val="Verdana"/>
      </rPr>
      <t>Nos</t>
    </r>
  </si>
  <si>
    <r>
      <rPr>
        <sz val="7"/>
        <color rgb="FF000000"/>
        <rFont val="Verdana"/>
      </rPr>
      <t xml:space="preserve">SITC of gooseneck microphone with one flexible section, an XLR connection and built-in cardioid microphone
</t>
    </r>
    <r>
      <rPr>
        <sz val="7"/>
        <color rgb="FF000000"/>
        <rFont val="Verdana"/>
      </rPr>
      <t>capsule and wireless table stand</t>
    </r>
  </si>
  <si>
    <r>
      <rPr>
        <sz val="8"/>
        <color theme="1"/>
        <rFont val="Verdana"/>
      </rPr>
      <t>Nos</t>
    </r>
  </si>
  <si>
    <r>
      <rPr>
        <sz val="7"/>
        <color rgb="FF000000"/>
        <rFont val="Verdana"/>
      </rPr>
      <t xml:space="preserve">SITC of Passive full range speaker 8" LF+1" compression driver on Rotable Horn Loaded HF with 230W @8
</t>
    </r>
    <r>
      <rPr>
        <sz val="7"/>
        <color rgb="FF000000"/>
        <rFont val="Verdana"/>
      </rPr>
      <t>Ohms and SPL of 125dB and (H X V)90 X 60 or 60 X 40 dispersion angle with wooden enclosure which is ball resistant and textured paint to be provided</t>
    </r>
  </si>
  <si>
    <r>
      <rPr>
        <sz val="8"/>
        <color theme="1"/>
        <rFont val="Verdana"/>
      </rPr>
      <t>Nos</t>
    </r>
  </si>
  <si>
    <r>
      <rPr>
        <sz val="7"/>
        <color theme="1"/>
        <rFont val="Verdana"/>
      </rPr>
      <t>SITC of Passive stage monitor speaker, 12" / 1.4", 500 W, 131 dB SPL max.,</t>
    </r>
  </si>
  <si>
    <r>
      <rPr>
        <sz val="8"/>
        <color theme="1"/>
        <rFont val="Verdana"/>
      </rPr>
      <t>Nos</t>
    </r>
  </si>
  <si>
    <r>
      <rPr>
        <b/>
        <sz val="8"/>
        <color theme="1"/>
        <rFont val="Verdana"/>
      </rPr>
      <t>S.NO</t>
    </r>
  </si>
  <si>
    <r>
      <rPr>
        <b/>
        <sz val="8"/>
        <color theme="1"/>
        <rFont val="Verdana"/>
      </rPr>
      <t>DESCRIPTION</t>
    </r>
  </si>
  <si>
    <r>
      <rPr>
        <b/>
        <sz val="8"/>
        <color theme="1"/>
        <rFont val="Verdana"/>
      </rPr>
      <t>UNIT</t>
    </r>
  </si>
  <si>
    <r>
      <rPr>
        <b/>
        <sz val="8"/>
        <color theme="1"/>
        <rFont val="Verdana"/>
      </rPr>
      <t>QTY</t>
    </r>
  </si>
  <si>
    <r>
      <rPr>
        <sz val="7"/>
        <color rgb="FF000000"/>
        <rFont val="Verdana"/>
      </rPr>
      <t xml:space="preserve">SITC of 4-channel digital amplifier (4*600W) with a 4 × 4 routing matrix and the following spec:
</t>
    </r>
    <r>
      <rPr>
        <sz val="7"/>
        <color rgb="FF000000"/>
        <rFont val="Verdana"/>
      </rPr>
      <t>frequency response : 20 Hz – 20 kHz  signal/noise ratio &gt; 103 dB/A  THD+N 0,15% (1 kHz, 8 ohms, 3 dB below clipping)  dynamic range &gt; 120 dB  DSP with 20 independent limiters, FIR filters, 8 × 10 fully parametric filter, 8 compressors, 8 noise gates &amp; delays</t>
    </r>
  </si>
  <si>
    <r>
      <rPr>
        <sz val="8"/>
        <color theme="1"/>
        <rFont val="Verdana"/>
      </rPr>
      <t>Nos</t>
    </r>
  </si>
  <si>
    <r>
      <rPr>
        <sz val="7"/>
        <color theme="1"/>
        <rFont val="Verdana"/>
      </rPr>
      <t>SITC of 22-channel Digital Mixer with 16 Mic Preamps, 9 Motorized Faders, 9" Touchscreen, 18-in/18-out USB Audio Interface, 16-in/16-out Dante Interface, 2-in/2-out USB Recording, DAW Control, and DSP</t>
    </r>
  </si>
  <si>
    <r>
      <rPr>
        <sz val="8"/>
        <color theme="1"/>
        <rFont val="Verdana"/>
      </rPr>
      <t>Nos</t>
    </r>
  </si>
  <si>
    <r>
      <rPr>
        <b/>
        <sz val="8"/>
        <color theme="1"/>
        <rFont val="Verdana"/>
      </rPr>
      <t>D</t>
    </r>
  </si>
  <si>
    <r>
      <rPr>
        <b/>
        <sz val="7"/>
        <color theme="1"/>
        <rFont val="Verdana"/>
      </rPr>
      <t>Control, Switching &amp; Interface</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</si>
  <si>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</si>
  <si>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</si>
  <si>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</si>
  <si>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</si>
  <si>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</si>
  <si>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</si>
  <si>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SITC of USB</t>
    </r>
    <r>
      <rPr>
        <sz val="7"/>
        <color rgb="FF000000"/>
        <rFont val="Cambria Math"/>
      </rPr>
      <t>‑</t>
    </r>
    <r>
      <rPr>
        <sz val="7"/>
        <color rgb="FF000000"/>
        <rFont val="Verdana"/>
      </rPr>
      <t>C® video, HDMI, audio, and control up to 330’ (100 m) over a shielded CAT 6A cable</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</si>
  <si>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</si>
  <si>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</si>
  <si>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</si>
  <si>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Reciever for HDMI®, RS</t>
    </r>
    <r>
      <rPr>
        <sz val="7"/>
        <color rgb="FF000000"/>
        <rFont val="Cambria Math"/>
      </rPr>
      <t>‑</t>
    </r>
    <r>
      <rPr>
        <sz val="7"/>
        <color rgb="FF000000"/>
        <rFont val="Verdana"/>
      </rPr>
      <t>232, and IR Signal Extension over CATx Cable</t>
    </r>
  </si>
  <si>
    <r>
      <rPr>
        <sz val="8"/>
        <color theme="1"/>
        <rFont val="Verdana"/>
      </rPr>
      <t>Nos</t>
    </r>
  </si>
  <si>
    <r>
      <rPr>
        <sz val="7"/>
        <color theme="1"/>
        <rFont val="Verdana"/>
      </rPr>
      <t>SITC of Universal Switcher with HDMI 2.0, Provides matrix switching of Four HDMI® input Four HDMI output.</t>
    </r>
  </si>
  <si>
    <r>
      <rPr>
        <sz val="8"/>
        <color theme="1"/>
        <rFont val="Verdana"/>
      </rPr>
      <t>Nos</t>
    </r>
  </si>
  <si>
    <r>
      <rPr>
        <sz val="7"/>
        <color rgb="FF000000"/>
        <rFont val="Verdana"/>
      </rPr>
      <t xml:space="preserve">SITC of 24x10G and 4xSFP+ (shared) Managed Switch
</t>
    </r>
    <r>
      <rPr>
        <sz val="7"/>
        <color rgb="FF000000"/>
        <rFont val="Verdana"/>
      </rPr>
      <t xml:space="preserve">Half-Width 24x10G Stackable Managed Switch with 24x10GBASE-T24 Ports Copper 100M / 1G / 10G. 4 Ports SFP+ 1G / 10G (shared)
</t>
    </r>
    <r>
      <rPr>
        <sz val="7"/>
        <color rgb="FF000000"/>
        <rFont val="Verdana"/>
      </rPr>
      <t xml:space="preserve">1 Modular Bay with One (1) 250W Modular PSU included APS250W 480 Gps Switching Fabric
</t>
    </r>
    <r>
      <rPr>
        <sz val="7"/>
        <color rgb="FF000000"/>
        <rFont val="Verdana"/>
      </rPr>
      <t xml:space="preserve">Fixed Fan Front-to-Back 37dB
</t>
    </r>
    <r>
      <rPr>
        <sz val="7"/>
        <color rgb="FF000000"/>
        <rFont val="Verdana"/>
      </rPr>
      <t xml:space="preserve">Management Options : Ethernet: Out-of-band 1G port (Back) Console: RJ45 RS232 (Back). Mini-USB (Front)
</t>
    </r>
    <r>
      <rPr>
        <sz val="7"/>
        <color rgb="FF000000"/>
        <rFont val="Verdana"/>
      </rPr>
      <t>Storage: USB (Front)</t>
    </r>
  </si>
  <si>
    <r>
      <rPr>
        <sz val="8"/>
        <color theme="1"/>
        <rFont val="Verdana"/>
      </rPr>
      <t>Nos</t>
    </r>
  </si>
  <si>
    <r>
      <rPr>
        <sz val="7"/>
        <color theme="1"/>
        <rFont val="Verdana"/>
      </rPr>
      <t>SITC of HDMI 4K to USB 3.0 capture card</t>
    </r>
  </si>
  <si>
    <r>
      <rPr>
        <sz val="8"/>
        <color theme="1"/>
        <rFont val="Verdana"/>
      </rPr>
      <t>Nos</t>
    </r>
  </si>
  <si>
    <r>
      <rPr>
        <b/>
        <sz val="8"/>
        <color theme="1"/>
        <rFont val="Verdana"/>
      </rPr>
      <t>E</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</si>
  <si>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</si>
  <si>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</si>
  <si>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</si>
  <si>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</si>
  <si>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</si>
  <si>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</si>
  <si>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</si>
  <si>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</si>
  <si>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</si>
  <si>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</si>
  <si>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</si>
  <si>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</si>
  <si>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</si>
  <si>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</si>
  <si>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</si>
  <si>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USB-C to HDMI Female Active Adapter</t>
    </r>
  </si>
  <si>
    <r>
      <rPr>
        <sz val="8"/>
        <color theme="1"/>
        <rFont val="Verdana"/>
      </rPr>
      <t>Set</t>
    </r>
  </si>
  <si>
    <r>
      <rPr>
        <sz val="7"/>
        <color theme="1"/>
        <rFont val="Verdana"/>
      </rPr>
      <t>SITC of 10Mtr Type A to Type C USB active Cable</t>
    </r>
  </si>
  <si>
    <r>
      <rPr>
        <sz val="8"/>
        <color theme="1"/>
        <rFont val="Verdana"/>
      </rPr>
      <t>Nos.</t>
    </r>
  </si>
  <si>
    <r>
      <rPr>
        <sz val="7"/>
        <color theme="1"/>
        <rFont val="Verdana"/>
      </rPr>
      <t>SITC of 42U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</si>
  <si>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</si>
  <si>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</si>
  <si>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Borrowers Lounge</t>
    </r>
  </si>
  <si>
    <r>
      <rPr>
        <b/>
        <sz val="8"/>
        <color theme="1"/>
        <rFont val="Verdana"/>
      </rPr>
      <t>A</t>
    </r>
  </si>
  <si>
    <r>
      <rPr>
        <b/>
        <sz val="7"/>
        <color theme="1"/>
        <rFont val="Verdana"/>
      </rPr>
      <t>Display Devices &amp; Accessories</t>
    </r>
  </si>
  <si>
    <r>
      <rPr>
        <sz val="7"/>
        <color theme="1"/>
        <rFont val="Verdana"/>
      </rPr>
      <t>SITC of Indoor DVLED : 135inch diagonal(3x1.69m), Fully flip chip COB, 2.40m X 1.35m, Die-Cast aluminium cabinet configuration, Pixel Pitch: 1.5mm , 16:9 aspect ratio, Brightness Min of 600 cd/m² , Contrast Atleast: (10000:1), Wall resolution (W X H): 1920 X 1080, IP605rated(Module), Viewing angle degree (H 170 / V 170), LED Life (100000 hours), Refresh Rate(3840Hz), 18 bits processing, Front access 5% Spare support, 3 years warranty with required Mounting and control processsors</t>
    </r>
  </si>
  <si>
    <r>
      <rPr>
        <sz val="8"/>
        <color theme="1"/>
        <rFont val="Verdana"/>
      </rPr>
      <t>Nos</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</si>
  <si>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</si>
  <si>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</si>
  <si>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B</t>
    </r>
  </si>
  <si>
    <r>
      <rPr>
        <b/>
        <sz val="7"/>
        <color theme="1"/>
        <rFont val="Verdana"/>
      </rPr>
      <t>Audio System</t>
    </r>
  </si>
  <si>
    <r>
      <rPr>
        <sz val="7"/>
        <color theme="1"/>
        <rFont val="Verdana"/>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</si>
  <si>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</si>
  <si>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</si>
  <si>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</si>
  <si>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C</t>
    </r>
  </si>
  <si>
    <r>
      <rPr>
        <b/>
        <sz val="7"/>
        <color theme="1"/>
        <rFont val="Verdana"/>
      </rPr>
      <t>Switching &amp; Interface</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</si>
  <si>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</si>
  <si>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</si>
  <si>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b/>
        <sz val="8"/>
        <color theme="1"/>
        <rFont val="Verdana"/>
      </rPr>
      <t>Name of Work: AUDIO &amp; VISUAL SYSTEMS</t>
    </r>
  </si>
  <si>
    <r>
      <rPr>
        <b/>
        <sz val="8"/>
        <color theme="1"/>
        <rFont val="Verdana"/>
      </rPr>
      <t>S.NO</t>
    </r>
  </si>
  <si>
    <r>
      <rPr>
        <b/>
        <sz val="8"/>
        <color theme="1"/>
        <rFont val="Verdana"/>
      </rPr>
      <t>DESCRIPTION</t>
    </r>
  </si>
  <si>
    <r>
      <rPr>
        <b/>
        <sz val="8"/>
        <color theme="1"/>
        <rFont val="Verdana"/>
      </rPr>
      <t>UNIT</t>
    </r>
  </si>
  <si>
    <r>
      <rPr>
        <b/>
        <sz val="8"/>
        <color theme="1"/>
        <rFont val="Verdana"/>
      </rPr>
      <t>QTY</t>
    </r>
  </si>
  <si>
    <r>
      <rPr>
        <b/>
        <sz val="8"/>
        <color theme="1"/>
        <rFont val="Verdana"/>
      </rPr>
      <t>UNIT PRICE</t>
    </r>
  </si>
  <si>
    <r>
      <rPr>
        <b/>
        <sz val="8"/>
        <color theme="1"/>
        <rFont val="Verdana"/>
      </rPr>
      <t>TOTAL PRICE</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</si>
  <si>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</si>
  <si>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</si>
  <si>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</si>
  <si>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</si>
  <si>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SITC of USB</t>
    </r>
    <r>
      <rPr>
        <sz val="7"/>
        <color rgb="FF000000"/>
        <rFont val="Cambria Math"/>
      </rPr>
      <t>‑</t>
    </r>
    <r>
      <rPr>
        <sz val="7"/>
        <color rgb="FF000000"/>
        <rFont val="Verdana"/>
      </rPr>
      <t>C® video, HDMI, audio, and control up to 330’ (100 m) over a shielded CAT 6A cable</t>
    </r>
  </si>
  <si>
    <r>
      <rPr>
        <sz val="8"/>
        <color theme="1"/>
        <rFont val="Verdana"/>
      </rPr>
      <t>Nos</t>
    </r>
  </si>
  <si>
    <r>
      <rPr>
        <sz val="7"/>
        <color theme="1"/>
        <rFont val="Verdana"/>
      </rPr>
      <t>SITC of Collaboration Switcher with HDMI 2.0 and USB-C connectivity, Provides atleast Two HDMI® input and atleast One USB-C Input and atleast one HDMI output.</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</si>
  <si>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</si>
  <si>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</si>
  <si>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</si>
  <si>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Recievers for HDMI®, RS</t>
    </r>
    <r>
      <rPr>
        <sz val="7"/>
        <color rgb="FF000000"/>
        <rFont val="Cambria Math"/>
      </rPr>
      <t>‑</t>
    </r>
    <r>
      <rPr>
        <sz val="7"/>
        <color rgb="FF000000"/>
        <rFont val="Verdana"/>
      </rPr>
      <t>232, and IR Signal Extension over CATx Cable</t>
    </r>
  </si>
  <si>
    <r>
      <rPr>
        <sz val="8"/>
        <color theme="1"/>
        <rFont val="Verdana"/>
      </rPr>
      <t>Nos</t>
    </r>
  </si>
  <si>
    <r>
      <rPr>
        <sz val="8"/>
        <color theme="1"/>
        <rFont val="Verdana"/>
      </rPr>
      <t>D</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</si>
  <si>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</si>
  <si>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</si>
  <si>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Set</t>
    </r>
  </si>
  <si>
    <r>
      <rPr>
        <sz val="8"/>
        <color theme="1"/>
        <rFont val="Verdana"/>
      </rPr>
      <t>E</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</si>
  <si>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</si>
  <si>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</si>
  <si>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</si>
  <si>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</si>
  <si>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</si>
  <si>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</si>
  <si>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</si>
  <si>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</si>
  <si>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</si>
  <si>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</si>
  <si>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</si>
  <si>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</si>
  <si>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</si>
  <si>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</si>
  <si>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</si>
  <si>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b/>
        <sz val="7"/>
        <color theme="1"/>
        <rFont val="Verdana"/>
      </rPr>
      <t>Total (Inclusive of GST)</t>
    </r>
  </si>
  <si>
    <r>
      <rPr>
        <sz val="7"/>
        <color rgb="FF000000"/>
        <rFont val="Verdana"/>
      </rPr>
      <t xml:space="preserve">SITC of 65" UHD resolution (3840x2160);Brightness - 500nits; Professional large format display with 3xHDMI input connectivity &amp; built in speakers;
</t>
    </r>
    <r>
      <rPr>
        <sz val="7"/>
        <color rgb="FF000000"/>
        <rFont val="Verdana"/>
      </rPr>
      <t>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</si>
  <si>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</si>
  <si>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</si>
  <si>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</si>
  <si>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sz val="8"/>
        <color theme="1"/>
        <rFont val="Verdana"/>
      </rPr>
      <t>B</t>
    </r>
  </si>
  <si>
    <r>
      <rPr>
        <b/>
        <sz val="7"/>
        <color theme="1"/>
        <rFont val="Verdana"/>
      </rPr>
      <t>Switching &amp; Interface</t>
    </r>
  </si>
  <si>
    <r>
      <rPr>
        <sz val="7"/>
        <color theme="1"/>
        <rFont val="Verdana"/>
      </rPr>
      <t>SITC of Single-gang wall mount input or output for HDMI® digital video and audio.</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</si>
  <si>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</si>
  <si>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</si>
  <si>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</si>
  <si>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One  HDMI® input and One USB-C Input and one HDMI output.</t>
    </r>
  </si>
  <si>
    <r>
      <rPr>
        <sz val="8"/>
        <color theme="1"/>
        <rFont val="Verdana"/>
      </rPr>
      <t>Nos</t>
    </r>
  </si>
  <si>
    <r>
      <rPr>
        <sz val="8"/>
        <color theme="1"/>
        <rFont val="Verdana"/>
      </rPr>
      <t>C</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</si>
  <si>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</si>
  <si>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</si>
  <si>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Set</t>
    </r>
  </si>
  <si>
    <r>
      <rPr>
        <sz val="8"/>
        <color theme="1"/>
        <rFont val="Verdana"/>
      </rPr>
      <t>D</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</si>
  <si>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</si>
  <si>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</si>
  <si>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</si>
  <si>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</si>
  <si>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</si>
  <si>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</si>
  <si>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</si>
  <si>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</si>
  <si>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</si>
  <si>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</si>
  <si>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</si>
  <si>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</si>
  <si>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ED Cabin</t>
    </r>
  </si>
  <si>
    <r>
      <rPr>
        <sz val="8"/>
        <color theme="1"/>
        <rFont val="Verdana"/>
      </rPr>
      <t>A</t>
    </r>
  </si>
  <si>
    <r>
      <rPr>
        <b/>
        <sz val="7"/>
        <color theme="1"/>
        <rFont val="Verdana"/>
      </rPr>
      <t>Display Devices &amp; Accessories</t>
    </r>
  </si>
  <si>
    <r>
      <rPr>
        <sz val="7"/>
        <color rgb="FF000000"/>
        <rFont val="Verdana"/>
      </rPr>
      <t xml:space="preserve">SITC of 65" UHD resolution (3840x2160);Brightness - 500nits; Professional large format display with 3xHDMI input connectivity &amp; built in speakers;
</t>
    </r>
    <r>
      <rPr>
        <sz val="7"/>
        <color rgb="FF000000"/>
        <rFont val="Verdana"/>
      </rPr>
      <t>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</si>
  <si>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</si>
  <si>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</si>
  <si>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</si>
  <si>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</si>
  <si>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</si>
  <si>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a 4K Ultra HD camera and a maximum of 120 degree FOV. The device should be with a BYOD capability. The device should have capbility to support 2 displays if required.The Audio Pickup of Microphone  should be atleast 15ft.</t>
    </r>
  </si>
  <si>
    <r>
      <rPr>
        <sz val="8"/>
        <color theme="1"/>
        <rFont val="Verdana"/>
      </rPr>
      <t>Nos</t>
    </r>
  </si>
  <si>
    <r>
      <rPr>
        <sz val="8"/>
        <color theme="1"/>
        <rFont val="Verdana"/>
      </rPr>
      <t>C</t>
    </r>
  </si>
  <si>
    <r>
      <rPr>
        <b/>
        <sz val="7"/>
        <color theme="1"/>
        <rFont val="Verdana"/>
      </rPr>
      <t>Switching &amp; Interface</t>
    </r>
  </si>
  <si>
    <r>
      <rPr>
        <sz val="7"/>
        <color theme="1"/>
        <rFont val="Verdana"/>
      </rPr>
      <t>SITC of Single-gang wall mount input or output for HDMI® digital video and audio.</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</si>
  <si>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</si>
  <si>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</si>
  <si>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</si>
  <si>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atleast One HDMI® input and atleast One USB-C Input and atleast one HDMI output.</t>
    </r>
  </si>
  <si>
    <r>
      <rPr>
        <sz val="8"/>
        <color theme="1"/>
        <rFont val="Verdana"/>
      </rPr>
      <t>Nos</t>
    </r>
  </si>
  <si>
    <r>
      <rPr>
        <sz val="8"/>
        <color theme="1"/>
        <rFont val="Verdana"/>
      </rPr>
      <t>D</t>
    </r>
  </si>
  <si>
    <r>
      <rPr>
        <b/>
        <sz val="7"/>
        <color theme="1"/>
        <rFont val="Verdana"/>
      </rPr>
      <t>Cables &amp; connectors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</si>
  <si>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</si>
  <si>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</si>
  <si>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</si>
  <si>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</si>
  <si>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</si>
  <si>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</si>
  <si>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</si>
  <si>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CafeteriaTownhall</t>
    </r>
  </si>
  <si>
    <r>
      <rPr>
        <b/>
        <sz val="8"/>
        <color theme="1"/>
        <rFont val="Verdana"/>
      </rPr>
      <t>A</t>
    </r>
  </si>
  <si>
    <r>
      <rPr>
        <b/>
        <sz val="7"/>
        <color theme="1"/>
        <rFont val="Verdana"/>
      </rPr>
      <t>Display Devices &amp; Accessories</t>
    </r>
  </si>
  <si>
    <r>
      <rPr>
        <sz val="7"/>
        <color theme="1"/>
        <rFont val="Verdana"/>
      </rPr>
      <t>SITC of 5000 lumen, 4K UHD, 1DLP laser projector, fixed motorized zoom lens,High contrast ratio: 3,000,000:1</t>
    </r>
  </si>
  <si>
    <r>
      <rPr>
        <sz val="8"/>
        <color theme="1"/>
        <rFont val="Verdana"/>
      </rPr>
      <t>Nos</t>
    </r>
  </si>
  <si>
    <r>
      <rPr>
        <sz val="7"/>
        <color theme="1"/>
        <rFont val="Verdana"/>
      </rPr>
      <t>SITC of Tab tensioned Motorized projection Drop downscreen with 135" inches with 16:10 apect ratio, and silent motor for rolling function The screen should be able to be to controlled by  Switch or a RF Remote or Rs232 trigger.</t>
    </r>
  </si>
  <si>
    <r>
      <rPr>
        <sz val="8"/>
        <color theme="1"/>
        <rFont val="Verdana"/>
      </rPr>
      <t>Nos</t>
    </r>
  </si>
  <si>
    <r>
      <rPr>
        <sz val="7"/>
        <color rgb="FF000000"/>
        <rFont val="Verdana"/>
      </rPr>
      <t xml:space="preserve">SITC of 65" UHD resolution (3840x2160);Brightness - 500nits; Professional large format display with 3xHDMI input connectivity &amp; built in speakers;
</t>
    </r>
    <r>
      <rPr>
        <sz val="7"/>
        <color rgb="FF000000"/>
        <rFont val="Verdana"/>
      </rPr>
      <t>Operating environment - 24/7 (with 3 years warranty)</t>
    </r>
  </si>
  <si>
    <r>
      <rPr>
        <sz val="8"/>
        <color theme="1"/>
        <rFont val="Verdana"/>
      </rPr>
      <t>Nos</t>
    </r>
  </si>
  <si>
    <r>
      <rPr>
        <sz val="7"/>
        <color rgb="FF000000"/>
        <rFont val="Verdana"/>
      </rPr>
      <t xml:space="preserve">SITC of Ceiling Swivel mount  for  screens upto 65" with load bearing capacity of 50Kg. Easy swivel at 3 points
</t>
    </r>
    <r>
      <rPr>
        <sz val="7"/>
        <color rgb="FF000000"/>
        <rFont val="Verdana"/>
      </rPr>
      <t>(wall, central pivot, interface) &amp; tilt adjustment upto +/-15°. Simple Hook on Installation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</si>
  <si>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</si>
  <si>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</si>
  <si>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</si>
  <si>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</si>
  <si>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</si>
  <si>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b/>
        <sz val="8"/>
        <color theme="1"/>
        <rFont val="Verdana"/>
      </rPr>
      <t>Name of Work: AUDIO &amp; VISUAL SYSTEMS</t>
    </r>
  </si>
  <si>
    <r>
      <rPr>
        <b/>
        <sz val="8"/>
        <color theme="1"/>
        <rFont val="Verdana"/>
      </rPr>
      <t>S.NO</t>
    </r>
  </si>
  <si>
    <r>
      <rPr>
        <b/>
        <sz val="8"/>
        <color theme="1"/>
        <rFont val="Verdana"/>
      </rPr>
      <t>DESCRIPTION</t>
    </r>
  </si>
  <si>
    <r>
      <rPr>
        <b/>
        <sz val="8"/>
        <color theme="1"/>
        <rFont val="Verdana"/>
      </rPr>
      <t>UNIT</t>
    </r>
  </si>
  <si>
    <r>
      <rPr>
        <b/>
        <sz val="8"/>
        <color theme="1"/>
        <rFont val="Verdana"/>
      </rPr>
      <t>QTY</t>
    </r>
  </si>
  <si>
    <r>
      <rPr>
        <b/>
        <sz val="8"/>
        <color theme="1"/>
        <rFont val="Verdana"/>
      </rPr>
      <t>UNIT PRICE</t>
    </r>
  </si>
  <si>
    <r>
      <rPr>
        <b/>
        <sz val="8"/>
        <color theme="1"/>
        <rFont val="Verdana"/>
      </rPr>
      <t>TOTAL PRICE</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</si>
  <si>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</si>
  <si>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</si>
  <si>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</si>
  <si>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</si>
  <si>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</si>
  <si>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sz val="8"/>
        <color theme="1"/>
        <rFont val="Verdana"/>
      </rPr>
      <t>Nos</t>
    </r>
  </si>
  <si>
    <r>
      <rPr>
        <sz val="7"/>
        <color rgb="FF000000"/>
        <rFont val="Verdana"/>
      </rPr>
      <t xml:space="preserve">SITC of Antenna with Frequency range 470 – 1075 MHz Apex angle (-3 dB) approx. 100° Front-to-back ratio
</t>
    </r>
    <r>
      <rPr>
        <sz val="7"/>
        <color rgb="FF000000"/>
        <rFont val="Verdana"/>
      </rPr>
      <t>&gt; 14 dB Gain typ. 5 dBi Impedance 50 Ω Connection BNC female, Dimensions 319 x 310 mm Weight Approx. 1100 g (2.43 lbs) Operating temperature range -10 °C - +55 °C (14 °F - 131 °F) Storage temperature range - 20 °C - +85 °C (-4 °F - 185 °F) Relative humidity max. 95 % (non-condensing).</t>
    </r>
  </si>
  <si>
    <r>
      <rPr>
        <sz val="8"/>
        <color theme="1"/>
        <rFont val="Verdana"/>
      </rPr>
      <t>Nos</t>
    </r>
  </si>
  <si>
    <r>
      <rPr>
        <sz val="7"/>
        <color theme="1"/>
        <rFont val="Verdana"/>
      </rPr>
      <t>SITC of USB charger with Four slots for rechargeable battery. Includes power supply.</t>
    </r>
  </si>
  <si>
    <r>
      <rPr>
        <sz val="8"/>
        <color theme="1"/>
        <rFont val="Verdana"/>
      </rPr>
      <t>Nos</t>
    </r>
  </si>
  <si>
    <r>
      <rPr>
        <sz val="7"/>
        <color rgb="FF000000"/>
        <rFont val="Verdana"/>
      </rPr>
      <t xml:space="preserve">SITC of Digital wireless handheld transmitter with switch compatible with. Rugged metal housing with standard
</t>
    </r>
    <r>
      <rPr>
        <sz val="7"/>
        <color rgb="FF000000"/>
        <rFont val="Verdana"/>
      </rPr>
      <t>capsule interface for a wide range.  Up to 12 hours of runtime, persistent E-Ink display and charging contacts for in-device charging.</t>
    </r>
  </si>
  <si>
    <r>
      <rPr>
        <sz val="8"/>
        <color theme="1"/>
        <rFont val="Verdana"/>
      </rPr>
      <t>Nos</t>
    </r>
  </si>
  <si>
    <r>
      <rPr>
        <sz val="7"/>
        <color rgb="FF000000"/>
        <rFont val="Verdana"/>
      </rPr>
      <t xml:space="preserve">SITC of Wireless lavalier microphone set consists of wireless bodypack transmitter and omni-directional clip-on
</t>
    </r>
    <r>
      <rPr>
        <sz val="7"/>
        <color rgb="FF000000"/>
        <rFont val="Verdana"/>
      </rPr>
      <t>lavalier microphone with rechargeable batteries</t>
    </r>
  </si>
  <si>
    <r>
      <rPr>
        <sz val="8"/>
        <color theme="1"/>
        <rFont val="Verdana"/>
      </rPr>
      <t>Nos</t>
    </r>
  </si>
  <si>
    <r>
      <rPr>
        <sz val="7"/>
        <color rgb="FF000000"/>
        <rFont val="Verdana"/>
      </rPr>
      <t xml:space="preserve">SITC of Passive full range speaker 8" LF+1" compression driver on Rotable Horn Loaded HF with 230W @8
</t>
    </r>
    <r>
      <rPr>
        <sz val="7"/>
        <color rgb="FF000000"/>
        <rFont val="Verdana"/>
      </rPr>
      <t>Ohms and SPL of 125dB and (H X V)90 X 60 or 60 X 40 dispersion angle with wooden enclosure which is ball resistant and textured paint to be provided</t>
    </r>
  </si>
  <si>
    <r>
      <rPr>
        <sz val="8"/>
        <color theme="1"/>
        <rFont val="Verdana"/>
      </rPr>
      <t>Nos</t>
    </r>
  </si>
  <si>
    <r>
      <rPr>
        <sz val="7"/>
        <color rgb="FF000000"/>
        <rFont val="Verdana"/>
      </rPr>
      <t xml:space="preserve">SITC of 4-channel digital amplifier (4*600W) with a 4 × 4 routing matrix and the following spec:
</t>
    </r>
    <r>
      <rPr>
        <sz val="7"/>
        <color rgb="FF000000"/>
        <rFont val="Verdana"/>
      </rPr>
      <t xml:space="preserve">frequency response : 20 Hz – 20 kHz
</t>
    </r>
    <r>
      <rPr>
        <sz val="7"/>
        <color rgb="FF000000"/>
        <rFont val="Verdana"/>
      </rPr>
      <t xml:space="preserve">signal/noise ratio &gt; 103 dB/A
</t>
    </r>
    <r>
      <rPr>
        <sz val="7"/>
        <color rgb="FF000000"/>
        <rFont val="Verdana"/>
      </rPr>
      <t xml:space="preserve">THD+N 0,15% (1 kHz, 8 ohms, 3 dB below clipping) dynamic range &gt; 120 dB
</t>
    </r>
    <r>
      <rPr>
        <sz val="7"/>
        <color rgb="FF000000"/>
        <rFont val="Verdana"/>
      </rPr>
      <t xml:space="preserve">DSP with 20 independent limiters, FIR filters, 8 × 10 fully parametric filter, 8 compressors, 8 noise gates &amp;
</t>
    </r>
    <r>
      <rPr>
        <sz val="7"/>
        <color rgb="FF000000"/>
        <rFont val="Verdana"/>
      </rPr>
      <t>delays</t>
    </r>
  </si>
  <si>
    <r>
      <rPr>
        <sz val="8"/>
        <color theme="1"/>
        <rFont val="Verdana"/>
      </rPr>
      <t>Nos</t>
    </r>
  </si>
  <si>
    <r>
      <rPr>
        <b/>
        <sz val="8"/>
        <color theme="1"/>
        <rFont val="Verdana"/>
      </rPr>
      <t>D</t>
    </r>
  </si>
  <si>
    <r>
      <rPr>
        <b/>
        <sz val="7"/>
        <color theme="1"/>
        <rFont val="Verdana"/>
      </rPr>
      <t>Control, Switching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</si>
  <si>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</si>
  <si>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</si>
  <si>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</si>
  <si>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</si>
  <si>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</si>
  <si>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</si>
  <si>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</si>
  <si>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</si>
  <si>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SITC of Wall Plate Tx for  HDMI &amp; USB</t>
    </r>
    <r>
      <rPr>
        <sz val="7"/>
        <color rgb="FF000000"/>
        <rFont val="Cambria Math"/>
      </rPr>
      <t>‑</t>
    </r>
    <r>
      <rPr>
        <sz val="7"/>
        <color rgb="FF000000"/>
        <rFont val="Verdana"/>
      </rPr>
      <t xml:space="preserve">C® video, audio and control up to 330’ (100 m) over a shielded CAT 6A
</t>
    </r>
    <r>
      <rPr>
        <sz val="7"/>
        <color rgb="FF000000"/>
        <rFont val="Verdana"/>
      </rPr>
      <t>cable</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</si>
  <si>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</si>
  <si>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</si>
  <si>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</si>
  <si>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Reciever for HDMI®, RS</t>
    </r>
    <r>
      <rPr>
        <sz val="7"/>
        <color rgb="FF000000"/>
        <rFont val="Cambria Math"/>
      </rPr>
      <t>‑</t>
    </r>
    <r>
      <rPr>
        <sz val="7"/>
        <color rgb="FF000000"/>
        <rFont val="Verdana"/>
      </rPr>
      <t>232, and IR Signal Extension over CATx Cable</t>
    </r>
  </si>
  <si>
    <r>
      <rPr>
        <sz val="8"/>
        <color theme="1"/>
        <rFont val="Verdana"/>
      </rPr>
      <t>Nos</t>
    </r>
  </si>
  <si>
    <r>
      <rPr>
        <sz val="7"/>
        <color theme="1"/>
        <rFont val="Verdana"/>
      </rPr>
      <t>SITC of Switcher enabled 8 HDMI 2.0 inputs and Eight HDMI output.</t>
    </r>
  </si>
  <si>
    <r>
      <rPr>
        <sz val="8"/>
        <color theme="1"/>
        <rFont val="Verdana"/>
      </rPr>
      <t>Nos</t>
    </r>
  </si>
  <si>
    <r>
      <rPr>
        <sz val="7"/>
        <color rgb="FF000000"/>
        <rFont val="Verdana"/>
      </rPr>
      <t xml:space="preserve">SITC of 24x10G and 4xSFP+ (shared) Managed Switch
</t>
    </r>
    <r>
      <rPr>
        <sz val="7"/>
        <color rgb="FF000000"/>
        <rFont val="Verdana"/>
      </rPr>
      <t xml:space="preserve">Half-Width 24x10G Stackable Managed Switch with 24x10GBASE-T24 Ports Copper 100M / 1G / 10G. 4 Ports SFP+ 1G / 10G (shared)
</t>
    </r>
    <r>
      <rPr>
        <sz val="7"/>
        <color rgb="FF000000"/>
        <rFont val="Verdana"/>
      </rPr>
      <t xml:space="preserve">1 Modular Bay with One (1) 250W Modular PSU included APS250W 480 Gps Switching Fabric
</t>
    </r>
    <r>
      <rPr>
        <sz val="7"/>
        <color rgb="FF000000"/>
        <rFont val="Verdana"/>
      </rPr>
      <t xml:space="preserve">Fixed Fan Front-to-Back 37dB
</t>
    </r>
    <r>
      <rPr>
        <sz val="7"/>
        <color rgb="FF000000"/>
        <rFont val="Verdana"/>
      </rPr>
      <t xml:space="preserve">Management Options : Ethernet: Out-of-band 1G port (Back) Console: RJ45 RS232 (Back). Mini-USB (Front)
</t>
    </r>
    <r>
      <rPr>
        <sz val="7"/>
        <color rgb="FF000000"/>
        <rFont val="Verdana"/>
      </rPr>
      <t>Storage: USB (Front)</t>
    </r>
  </si>
  <si>
    <r>
      <rPr>
        <sz val="8"/>
        <color theme="1"/>
        <rFont val="Verdana"/>
      </rPr>
      <t>Nos</t>
    </r>
  </si>
  <si>
    <r>
      <rPr>
        <sz val="7"/>
        <color theme="1"/>
        <rFont val="Verdana"/>
      </rPr>
      <t>SITC of HDMI 4K to USB 3.0 capture card</t>
    </r>
  </si>
  <si>
    <r>
      <rPr>
        <sz val="8"/>
        <color theme="1"/>
        <rFont val="Verdana"/>
      </rPr>
      <t>Nos</t>
    </r>
  </si>
  <si>
    <r>
      <rPr>
        <b/>
        <sz val="8"/>
        <color theme="1"/>
        <rFont val="Verdana"/>
      </rPr>
      <t>E</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</si>
  <si>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</si>
  <si>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</si>
  <si>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</si>
  <si>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</si>
  <si>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</si>
  <si>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</si>
  <si>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</si>
  <si>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</si>
  <si>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</si>
  <si>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</si>
  <si>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</si>
  <si>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</si>
  <si>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</si>
  <si>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24U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</si>
  <si>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Nos</t>
    </r>
  </si>
  <si>
    <r>
      <rPr>
        <b/>
        <sz val="7"/>
        <color theme="1"/>
        <rFont val="Verdana"/>
      </rPr>
      <t>Total (Inclusive of GST)</t>
    </r>
  </si>
  <si>
    <r>
      <rPr>
        <b/>
        <sz val="7"/>
        <color theme="1"/>
        <rFont val="Verdana"/>
      </rPr>
      <t>Executive Dining</t>
    </r>
  </si>
  <si>
    <r>
      <rPr>
        <b/>
        <sz val="8"/>
        <color theme="1"/>
        <rFont val="Verdana"/>
      </rPr>
      <t>A</t>
    </r>
  </si>
  <si>
    <r>
      <rPr>
        <b/>
        <sz val="7"/>
        <color theme="1"/>
        <rFont val="Verdana"/>
      </rPr>
      <t>Display Devices &amp; Accessories</t>
    </r>
  </si>
  <si>
    <r>
      <rPr>
        <sz val="7"/>
        <color theme="1"/>
        <rFont val="Verdana"/>
      </rPr>
      <t>SITC of 75" UHD resolution (3840x2160);Brightness - 500nits; minimum Haze level of 25%  Professional large format display with 3xHDMI input connectivity &amp; built in speakers;Operating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</si>
  <si>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</si>
  <si>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</si>
  <si>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</si>
  <si>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</si>
  <si>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Audio System</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</si>
  <si>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</si>
  <si>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</si>
  <si>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</si>
  <si>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</si>
  <si>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C</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</si>
  <si>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</si>
  <si>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</si>
  <si>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</si>
  <si>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D</t>
    </r>
  </si>
  <si>
    <r>
      <rPr>
        <b/>
        <sz val="7"/>
        <color theme="1"/>
        <rFont val="Verdana"/>
      </rPr>
      <t>Cables &amp; connectors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</si>
  <si>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</si>
  <si>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</si>
  <si>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</si>
  <si>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</si>
  <si>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</si>
  <si>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</si>
  <si>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</si>
  <si>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</si>
  <si>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</si>
  <si>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Dealing Room</t>
    </r>
  </si>
  <si>
    <r>
      <rPr>
        <b/>
        <sz val="8"/>
        <color theme="1"/>
        <rFont val="Verdana"/>
      </rPr>
      <t>A</t>
    </r>
  </si>
  <si>
    <r>
      <rPr>
        <b/>
        <sz val="7"/>
        <color theme="1"/>
        <rFont val="Verdana"/>
      </rPr>
      <t>Display Devices &amp; Accessories</t>
    </r>
  </si>
  <si>
    <r>
      <rPr>
        <sz val="7"/>
        <color theme="1"/>
        <rFont val="Verdana"/>
      </rPr>
      <t>SITC of 43"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</si>
  <si>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</si>
  <si>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</si>
  <si>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</si>
  <si>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</si>
  <si>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Switching &amp; Interface</t>
    </r>
  </si>
  <si>
    <r>
      <rPr>
        <sz val="7"/>
        <color theme="1"/>
        <rFont val="Verdana"/>
      </rPr>
      <t>#REF!</t>
    </r>
  </si>
  <si>
    <r>
      <rPr>
        <sz val="8"/>
        <color theme="1"/>
        <rFont val="Verdana"/>
      </rPr>
      <t>Nos</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</si>
  <si>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</si>
  <si>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</si>
  <si>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b/>
        <sz val="8"/>
        <color theme="1"/>
        <rFont val="Verdana"/>
      </rPr>
      <t>C</t>
    </r>
  </si>
  <si>
    <r>
      <rPr>
        <b/>
        <sz val="7"/>
        <color theme="1"/>
        <rFont val="Verdana"/>
      </rPr>
      <t>Cables &amp; connectors</t>
    </r>
  </si>
  <si>
    <r>
      <rPr>
        <sz val="7"/>
        <color theme="1"/>
        <rFont val="Verdana"/>
      </rPr>
      <t>SITC of 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</si>
  <si>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</si>
  <si>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</si>
  <si>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</si>
  <si>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</si>
  <si>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</si>
  <si>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</si>
  <si>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</si>
  <si>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</si>
  <si>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Multipurpose Room</t>
    </r>
  </si>
  <si>
    <r>
      <rPr>
        <b/>
        <sz val="8"/>
        <color theme="1"/>
        <rFont val="Verdana"/>
      </rPr>
      <t>A</t>
    </r>
  </si>
  <si>
    <r>
      <rPr>
        <b/>
        <sz val="7"/>
        <color theme="1"/>
        <rFont val="Verdana"/>
      </rPr>
      <t>Display Devices &amp; Accessories</t>
    </r>
  </si>
  <si>
    <r>
      <rPr>
        <sz val="7"/>
        <color theme="1"/>
        <rFont val="Verdana"/>
      </rPr>
      <t>SITC of 55"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</si>
  <si>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</si>
  <si>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</si>
  <si>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</si>
  <si>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</si>
  <si>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Audio</t>
    </r>
  </si>
  <si>
    <r>
      <rPr>
        <sz val="7"/>
        <color theme="1"/>
        <rFont val="Verdana"/>
      </rPr>
      <t>SITC of Karaoke set up</t>
    </r>
  </si>
  <si>
    <r>
      <rPr>
        <sz val="8"/>
        <color theme="1"/>
        <rFont val="Verdana"/>
      </rPr>
      <t>Nos</t>
    </r>
  </si>
  <si>
    <r>
      <rPr>
        <b/>
        <sz val="8"/>
        <color theme="1"/>
        <rFont val="Verdana"/>
      </rPr>
      <t>C</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</si>
  <si>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</si>
  <si>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</si>
  <si>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</si>
  <si>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</si>
  <si>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</si>
  <si>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</si>
  <si>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</si>
  <si>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</si>
  <si>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</si>
  <si>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</si>
  <si>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</si>
  <si>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</si>
  <si>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</si>
  <si>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</si>
  <si>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Podcast Room</t>
    </r>
  </si>
  <si>
    <r>
      <rPr>
        <b/>
        <sz val="8"/>
        <color theme="1"/>
        <rFont val="Verdana"/>
      </rPr>
      <t>A</t>
    </r>
  </si>
  <si>
    <r>
      <rPr>
        <b/>
        <sz val="7"/>
        <color theme="1"/>
        <rFont val="Verdana"/>
      </rPr>
      <t>Display Devices &amp; Accessories</t>
    </r>
  </si>
  <si>
    <r>
      <rPr>
        <sz val="7"/>
        <color theme="1"/>
        <rFont val="Verdana"/>
      </rPr>
      <t>SITC of 24" iMac with Apple M3 Chip, 16GB Ram, 512GB SSD along with Power Adaptor and Full Version of Final Cut Pro Video Editing Software to Edit the recorded videos with wireless keyboard and mouse.</t>
    </r>
  </si>
  <si>
    <r>
      <rPr>
        <sz val="8"/>
        <color theme="1"/>
        <rFont val="Verdana"/>
      </rPr>
      <t>Nos</t>
    </r>
  </si>
  <si>
    <r>
      <rPr>
        <b/>
        <sz val="8"/>
        <color theme="1"/>
        <rFont val="Verdana"/>
      </rPr>
      <t>B</t>
    </r>
  </si>
  <si>
    <r>
      <rPr>
        <b/>
        <sz val="7"/>
        <color theme="1"/>
        <rFont val="Verdana"/>
      </rPr>
      <t>Video</t>
    </r>
  </si>
  <si>
    <r>
      <rPr>
        <sz val="7"/>
        <color rgb="FF000000"/>
        <rFont val="Verdana"/>
      </rPr>
      <t xml:space="preserve">SITC of Auto Tracking, 12x optical zoom, 80.5 degree
</t>
    </r>
    <r>
      <rPr>
        <sz val="7"/>
        <color rgb="FF000000"/>
        <rFont val="Verdana"/>
      </rPr>
      <t xml:space="preserve">2160p60/59.94/30/29.97/25; 1080p60/59.94/50/29.97/25; 720p60/50/30/25; NDI®|HX2+HDMI2.0+3G-SDI+USB2.0+Line In
</t>
    </r>
    <r>
      <rPr>
        <sz val="7"/>
        <color rgb="FF000000"/>
        <rFont val="Verdana"/>
      </rPr>
      <t>PSU, RS232 cable, USB cable, Remote Controller</t>
    </r>
  </si>
  <si>
    <r>
      <rPr>
        <sz val="8"/>
        <color theme="1"/>
        <rFont val="Verdana"/>
      </rPr>
      <t>Nos</t>
    </r>
  </si>
  <si>
    <r>
      <rPr>
        <sz val="7"/>
        <color theme="1"/>
        <rFont val="Verdana"/>
      </rPr>
      <t>SITC of Tripod</t>
    </r>
  </si>
  <si>
    <r>
      <rPr>
        <sz val="8"/>
        <color theme="1"/>
        <rFont val="Verdana"/>
      </rPr>
      <t>Nos</t>
    </r>
  </si>
  <si>
    <r>
      <rPr>
        <sz val="7"/>
        <color rgb="FF000000"/>
        <rFont val="Verdana"/>
      </rPr>
      <t xml:space="preserve">SITC of 8 x IP video inputs via NDI®, resolution-independent, NDI inputs supporting video input in any combination of standard formats, resolutions, and frame rates
</t>
    </r>
    <r>
      <rPr>
        <sz val="7"/>
        <color rgb="FF000000"/>
        <rFont val="Verdana"/>
      </rPr>
      <t xml:space="preserve">4 x independent IP video mix outputs via NDI®
</t>
    </r>
    <r>
      <rPr>
        <sz val="7"/>
        <color rgb="FF000000"/>
        <rFont val="Verdana"/>
      </rPr>
      <t xml:space="preserve">2 x streaming video output, independently configurable, with simultaneous stream archive 4 x mini display port with output adapters
</t>
    </r>
    <r>
      <rPr>
        <sz val="7"/>
        <color rgb="FF000000"/>
        <rFont val="Verdana"/>
      </rPr>
      <t xml:space="preserve">3 x of the outputs support multiple viewers using standard display resolutions
</t>
    </r>
    <r>
      <rPr>
        <sz val="7"/>
        <color rgb="FF000000"/>
        <rFont val="Verdana"/>
      </rPr>
      <t xml:space="preserve">4 x M/E buses supporting video re-entry • 1 x Mix/Effect channel per bus with support for up to 2 sources • 2
</t>
    </r>
    <r>
      <rPr>
        <sz val="7"/>
        <color rgb="FF000000"/>
        <rFont val="Verdana"/>
      </rPr>
      <t xml:space="preserve">x KEY layers per bus 2 x DSK channels
</t>
    </r>
    <r>
      <rPr>
        <sz val="7"/>
        <color rgb="FF000000"/>
        <rFont val="Verdana"/>
      </rPr>
      <t xml:space="preserve">4 x recording channels from either NDI® inputs or Mix outputs. Records and retains alpha channel data Integrated waveform and vectorscope, full field rate with digital calibration, color preview and support for ITU- R Rec. 709
</t>
    </r>
    <r>
      <rPr>
        <sz val="7"/>
        <color rgb="FF000000"/>
        <rFont val="Verdana"/>
      </rPr>
      <t xml:space="preserve">Storage        • Capacity varies by format, resolution and file specification • Supports recording to external
</t>
    </r>
    <r>
      <rPr>
        <sz val="7"/>
        <color rgb="FF000000"/>
        <rFont val="Verdana"/>
      </rPr>
      <t xml:space="preserve">storage via USB
</t>
    </r>
    <r>
      <rPr>
        <sz val="7"/>
        <color rgb="FF000000"/>
        <rFont val="Verdana"/>
      </rPr>
      <t>250GB SSD4 &amp; 4 PoE+ (802.3at) Ports, 60 Watt power capability 2 x 1 Gigabit NIC</t>
    </r>
  </si>
  <si>
    <r>
      <rPr>
        <sz val="8"/>
        <color theme="1"/>
        <rFont val="Verdana"/>
      </rPr>
      <t>Nos</t>
    </r>
  </si>
  <si>
    <r>
      <rPr>
        <b/>
        <sz val="8"/>
        <color theme="1"/>
        <rFont val="Verdana"/>
      </rPr>
      <t>C</t>
    </r>
  </si>
  <si>
    <r>
      <rPr>
        <b/>
        <sz val="7"/>
        <color theme="1"/>
        <rFont val="Verdana"/>
      </rPr>
      <t>Audio System</t>
    </r>
  </si>
  <si>
    <r>
      <rPr>
        <sz val="7"/>
        <color rgb="FF000000"/>
        <rFont val="Verdana"/>
      </rPr>
      <t xml:space="preserve">SITC of Lavalier microphones set that include Bodypack Transmitter, Receiver,02 Rod antenna with Power
</t>
    </r>
    <r>
      <rPr>
        <sz val="7"/>
        <color rgb="FF000000"/>
        <rFont val="Verdana"/>
      </rPr>
      <t>Supply</t>
    </r>
  </si>
  <si>
    <r>
      <rPr>
        <sz val="8"/>
        <color theme="1"/>
        <rFont val="Verdana"/>
      </rPr>
      <t>Nos</t>
    </r>
  </si>
  <si>
    <r>
      <rPr>
        <sz val="7"/>
        <color theme="1"/>
        <rFont val="Verdana"/>
      </rPr>
      <t>SITC of Dynamic Microphone</t>
    </r>
  </si>
  <si>
    <r>
      <rPr>
        <sz val="8"/>
        <color theme="1"/>
        <rFont val="Verdana"/>
      </rPr>
      <t>Nos</t>
    </r>
  </si>
  <si>
    <r>
      <rPr>
        <sz val="7"/>
        <color theme="1"/>
        <rFont val="Verdana"/>
      </rPr>
      <t>SITC of Microphone stand</t>
    </r>
  </si>
  <si>
    <r>
      <rPr>
        <sz val="8"/>
        <color theme="1"/>
        <rFont val="Verdana"/>
      </rPr>
      <t>Nos</t>
    </r>
  </si>
  <si>
    <r>
      <rPr>
        <sz val="7"/>
        <color theme="1"/>
        <rFont val="Verdana"/>
      </rPr>
      <t>SITC of Digital Audio Mixing Desk</t>
    </r>
  </si>
  <si>
    <r>
      <rPr>
        <sz val="8"/>
        <color theme="1"/>
        <rFont val="Verdana"/>
      </rPr>
      <t>Nos</t>
    </r>
  </si>
  <si>
    <r>
      <rPr>
        <sz val="7"/>
        <color theme="1"/>
        <rFont val="Verdana"/>
      </rPr>
      <t>SITC of Control room audio moniter headphones with mounting accessories</t>
    </r>
  </si>
  <si>
    <r>
      <rPr>
        <sz val="8"/>
        <color theme="1"/>
        <rFont val="Verdana"/>
      </rPr>
      <t>Nos</t>
    </r>
  </si>
  <si>
    <r>
      <rPr>
        <b/>
        <sz val="8"/>
        <color theme="1"/>
        <rFont val="Verdana"/>
      </rPr>
      <t>D</t>
    </r>
  </si>
  <si>
    <r>
      <rPr>
        <b/>
        <sz val="7"/>
        <color theme="1"/>
        <rFont val="Verdana"/>
      </rPr>
      <t>Switching &amp; Interface</t>
    </r>
  </si>
  <si>
    <r>
      <rPr>
        <sz val="7"/>
        <color rgb="FF000000"/>
        <rFont val="Verdana"/>
      </rPr>
      <t xml:space="preserve">SITC of 8x1G PoE+ 125W 2x1G and 2xSFP Managed Switch. Additional power supply to be considered to
</t>
    </r>
    <r>
      <rPr>
        <sz val="7"/>
        <color rgb="FF000000"/>
        <rFont val="Verdana"/>
      </rPr>
      <t>manage the POE Budget</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</si>
  <si>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</si>
  <si>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</si>
  <si>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</si>
  <si>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</si>
  <si>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</si>
  <si>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</si>
  <si>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</si>
  <si>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</si>
  <si>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</si>
  <si>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</si>
  <si>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</si>
  <si>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</si>
  <si>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</si>
  <si>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</si>
  <si>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</si>
  <si>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</si>
  <si>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</si>
  <si>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</si>
  <si>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</si>
  <si>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USB-C to HDMI Female Active Adapter</t>
    </r>
  </si>
  <si>
    <r>
      <rPr>
        <sz val="8"/>
        <color theme="1"/>
        <rFont val="Verdana"/>
      </rPr>
      <t>Set</t>
    </r>
  </si>
  <si>
    <r>
      <rPr>
        <sz val="7"/>
        <color theme="1"/>
        <rFont val="Verdana"/>
      </rPr>
      <t>SITC of Two Core with Sheilded speaker Cable</t>
    </r>
  </si>
  <si>
    <r>
      <rPr>
        <sz val="8"/>
        <color theme="1"/>
        <rFont val="Verdana"/>
      </rPr>
      <t>Mtr</t>
    </r>
  </si>
  <si>
    <r>
      <rPr>
        <sz val="7"/>
        <color rgb="FF000000"/>
        <rFont val="Verdana"/>
      </rPr>
      <t xml:space="preserve">SITC of 24U Rack 100%compatibility with all equipments conforming to DIN 41494 (General industrial
</t>
    </r>
    <r>
      <rPr>
        <sz val="7"/>
        <color rgb="FF000000"/>
        <rFont val="Verdana"/>
      </rPr>
      <t>standard for equipments) Powder coated finish with seven tank pretreatment process meeting ASTM standard,Grounding &amp; Bonding Options,Fan module Mount provision on top cover</t>
    </r>
  </si>
  <si>
    <r>
      <rPr>
        <sz val="8"/>
        <color theme="1"/>
        <rFont val="Verdana"/>
      </rPr>
      <t>Set</t>
    </r>
  </si>
  <si>
    <r>
      <rPr>
        <b/>
        <sz val="7"/>
        <color theme="1"/>
        <rFont val="Verdana"/>
      </rPr>
      <t>Total (Inclusive of GST)</t>
    </r>
  </si>
  <si>
    <r>
      <rPr>
        <b/>
        <sz val="7"/>
        <color theme="1"/>
        <rFont val="Verdana"/>
      </rPr>
      <t>Chief Vigilance Office</t>
    </r>
  </si>
  <si>
    <r>
      <rPr>
        <b/>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</si>
  <si>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</si>
  <si>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</si>
  <si>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</si>
  <si>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</si>
  <si>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</si>
  <si>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</si>
  <si>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</si>
  <si>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a 4K Ultra HD camera and a maximum of 120 degree FOV. The device should be With native Teams MS teams with a 10' Touch Panel  and with a BYOD capability. The device should have capbility to support 2 displays if required.The Audio Pickup of Microphone  should be atleast 15ft.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</si>
  <si>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</si>
  <si>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</si>
  <si>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</si>
  <si>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</si>
  <si>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</si>
  <si>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</si>
  <si>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</si>
  <si>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atleast One HDMI® input and atleast One USB-C Input and atleast one HDMI output.</t>
    </r>
  </si>
  <si>
    <r>
      <rPr>
        <sz val="8"/>
        <color theme="1"/>
        <rFont val="Verdana"/>
      </rPr>
      <t>Nos</t>
    </r>
  </si>
  <si>
    <r>
      <rPr>
        <b/>
        <sz val="8"/>
        <color theme="1"/>
        <rFont val="Verdana"/>
      </rPr>
      <t>D</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</si>
  <si>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</si>
  <si>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</si>
  <si>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</si>
  <si>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</si>
  <si>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</si>
  <si>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</si>
  <si>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</si>
  <si>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</si>
  <si>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</si>
  <si>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</si>
  <si>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</si>
  <si>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</si>
  <si>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Functional Director Cabin</t>
    </r>
  </si>
  <si>
    <r>
      <rPr>
        <b/>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</si>
  <si>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</si>
  <si>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</si>
  <si>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</si>
  <si>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</si>
  <si>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</si>
  <si>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</si>
  <si>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</si>
  <si>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a 4K Ultra HD camera and a maximum of 120 degree FOV. The device should be With native Teams MS teams with a 10' Touch Panel  and with a BYOD capability. The device should have capbility to support 2 displays if required.The Audio Pickup of Microphone  should be atleast 15ft.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</si>
  <si>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</si>
  <si>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</si>
  <si>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</si>
  <si>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</si>
  <si>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</si>
  <si>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</si>
  <si>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</si>
  <si>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atleast One HDMI® input and atleast One USB-C Input and atleast one HDMI output.</t>
    </r>
  </si>
  <si>
    <r>
      <rPr>
        <sz val="8"/>
        <color theme="1"/>
        <rFont val="Verdana"/>
      </rPr>
      <t>Nos</t>
    </r>
  </si>
  <si>
    <r>
      <rPr>
        <b/>
        <sz val="8"/>
        <color theme="1"/>
        <rFont val="Verdana"/>
      </rPr>
      <t>D</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</si>
  <si>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</si>
  <si>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</si>
  <si>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</si>
  <si>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</si>
  <si>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</si>
  <si>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</si>
  <si>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</si>
  <si>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</si>
  <si>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</si>
  <si>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</si>
  <si>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</si>
  <si>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</si>
  <si>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CMD Cabin</t>
    </r>
  </si>
  <si>
    <r>
      <rPr>
        <b/>
        <sz val="8"/>
        <color theme="1"/>
        <rFont val="Verdana"/>
      </rPr>
      <t>A</t>
    </r>
  </si>
  <si>
    <r>
      <rPr>
        <b/>
        <sz val="7"/>
        <color theme="1"/>
        <rFont val="Verdana"/>
      </rPr>
      <t>Display Devices &amp; Accessories</t>
    </r>
  </si>
  <si>
    <r>
      <rPr>
        <sz val="7"/>
        <color rgb="FF000000"/>
        <rFont val="Verdana"/>
      </rPr>
      <t xml:space="preserve">SITC of 85" UHD resolution (3840x2160);Brightness - 500nits; Professional large format display with 3xHDMI input connectivity &amp; built in speakers;
</t>
    </r>
    <r>
      <rPr>
        <sz val="7"/>
        <color rgb="FF000000"/>
        <rFont val="Verdana"/>
      </rPr>
      <t>Operating environment -  Min. 16/7 (with 3 years warranty)</t>
    </r>
  </si>
  <si>
    <r>
      <rPr>
        <sz val="8"/>
        <color theme="1"/>
        <rFont val="Verdana"/>
      </rPr>
      <t>Nos</t>
    </r>
  </si>
  <si>
    <r>
      <rPr>
        <sz val="7"/>
        <color rgb="FF000000"/>
        <rFont val="Verdana"/>
      </rPr>
      <t xml:space="preserve">SITC of 75" UHD resolution (3840x2160);Brightness - 500nits; Professional large format display with 3xHDMI input connectivity &amp; built in speakers;
</t>
    </r>
    <r>
      <rPr>
        <sz val="7"/>
        <color rgb="FF000000"/>
        <rFont val="Verdana"/>
      </rPr>
      <t>Operating environment - 24/7 (with 3 years warranty)</t>
    </r>
  </si>
  <si>
    <r>
      <rPr>
        <sz val="8"/>
        <color theme="1"/>
        <rFont val="Verdana"/>
      </rPr>
      <t>Nos</t>
    </r>
  </si>
  <si>
    <r>
      <rPr>
        <sz val="7"/>
        <color theme="1"/>
        <rFont val="Verdana"/>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</si>
  <si>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</si>
  <si>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</si>
  <si>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</si>
  <si>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rgb="FF000000"/>
        <rFont val="Verdana"/>
      </rPr>
      <t xml:space="preserve">SITC all in one UC Video Bar  featuring inbuilt microphones and  stereo speakers. The device Should have Dual
</t>
    </r>
    <r>
      <rPr>
        <sz val="7"/>
        <color rgb="FF000000"/>
        <rFont val="Verdana"/>
      </rPr>
      <t>4K Ultra HD camera and a FOV of 70-120. The device should be With native Teams MS teams with a 10' Touch Panel  and with a BYOD capability. The device should have capbility to support 2 displays if required.The Audio Pickup of Microphone  should be atleast 25ft.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</si>
  <si>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</si>
  <si>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</si>
  <si>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</si>
  <si>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Retractable cables 1 HDMI, 1 usb-C, 1 USB-A &amp; 1
</t>
    </r>
    <r>
      <rPr>
        <sz val="7"/>
        <color rgb="FF000000"/>
        <rFont val="Verdana"/>
      </rPr>
      <t>LAN</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</si>
  <si>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</si>
  <si>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</si>
  <si>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</si>
  <si>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Universal Switcher with HDMI 2.0 and USB-C connectivity, Provides Two HDMI® input and two USB-C Input and one HDMI output.</t>
    </r>
  </si>
  <si>
    <r>
      <rPr>
        <sz val="8"/>
        <color theme="1"/>
        <rFont val="Verdana"/>
      </rPr>
      <t>Nos</t>
    </r>
  </si>
  <si>
    <r>
      <rPr>
        <b/>
        <sz val="8"/>
        <color theme="1"/>
        <rFont val="Verdana"/>
      </rPr>
      <t>D</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</si>
  <si>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</si>
  <si>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</si>
  <si>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</si>
  <si>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</si>
  <si>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</si>
  <si>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</si>
  <si>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</si>
  <si>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</si>
  <si>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</si>
  <si>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</si>
  <si>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25 PAX Boardroom</t>
    </r>
  </si>
  <si>
    <r>
      <rPr>
        <b/>
        <sz val="8"/>
        <color theme="1"/>
        <rFont val="Verdana"/>
      </rPr>
      <t>A</t>
    </r>
  </si>
  <si>
    <r>
      <rPr>
        <b/>
        <sz val="7"/>
        <color theme="1"/>
        <rFont val="Verdana"/>
      </rPr>
      <t>Display Devices &amp; Accessories</t>
    </r>
  </si>
  <si>
    <r>
      <rPr>
        <sz val="7"/>
        <color rgb="FF000000"/>
        <rFont val="Verdana"/>
      </rPr>
      <t xml:space="preserve">SITC of Indoor DVLED : 135inch diagonal(3x1.69m), Fully flip chip COB, 2.40m X 1.35m,4X4 Die-Cast
</t>
    </r>
    <r>
      <rPr>
        <sz val="7"/>
        <color rgb="FF000000"/>
        <rFont val="Verdana"/>
      </rPr>
      <t xml:space="preserve">aluminium cabinet configuration, Pixel Pitch: 1.2mm , 16:9 aspect ratio, Brightness: 600 cd/m² , Contrast (10000:1), Wall resolution (W X H): 1920 X 1080, IP605rated(Module), Cabinet dimensions ( W X H X D) : 600mm X 337.5mm X 29.9mm, Viewing angle degree (H 170 / V 170), LED Life (100000 hours), Refresh Rate(3840Hz), 18 bits processing, Front access 5% Spare support, 3 years warranty with required Mounting
</t>
    </r>
    <r>
      <rPr>
        <sz val="7"/>
        <color rgb="FF000000"/>
        <rFont val="Verdana"/>
      </rPr>
      <t>and control processsors</t>
    </r>
  </si>
  <si>
    <r>
      <rPr>
        <sz val="8"/>
        <color theme="1"/>
        <rFont val="Verdana"/>
      </rPr>
      <t>Nos</t>
    </r>
  </si>
  <si>
    <r>
      <rPr>
        <sz val="7"/>
        <color theme="1"/>
        <rFont val="Verdana"/>
      </rPr>
      <t>SITC of 65"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</si>
  <si>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</si>
  <si>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</si>
  <si>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</si>
  <si>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</si>
  <si>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</si>
  <si>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</si>
  <si>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</si>
  <si>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b/>
        <sz val="8"/>
        <color theme="1"/>
        <rFont val="Verdana"/>
      </rPr>
      <t>B</t>
    </r>
  </si>
  <si>
    <r>
      <rPr>
        <b/>
        <sz val="7"/>
        <color theme="1"/>
        <rFont val="Verdana"/>
      </rPr>
      <t>Video Conferencing</t>
    </r>
  </si>
  <si>
    <r>
      <rPr>
        <sz val="7"/>
        <color rgb="FF000000"/>
        <rFont val="Verdana"/>
      </rPr>
      <t xml:space="preserve">SITC of 4K dual lens camera with a 20X Total zoom PTZ camera and a second AI lens with 95˚FOV. Equipped
</t>
    </r>
    <r>
      <rPr>
        <sz val="7"/>
        <color rgb="FF000000"/>
        <rFont val="Verdana"/>
      </rPr>
      <t>with built-in audio sensor the camera should detects human voices up to 10M and offers audio tracking function. AI technology such as Smart Gallery and gesture control can capture every attendees up-close with premium video quality</t>
    </r>
  </si>
  <si>
    <r>
      <rPr>
        <sz val="8"/>
        <color theme="1"/>
        <rFont val="Verdana"/>
      </rPr>
      <t>Nos</t>
    </r>
  </si>
  <si>
    <r>
      <rPr>
        <sz val="7"/>
        <color rgb="FF000000"/>
        <rFont val="Verdana"/>
      </rPr>
      <t xml:space="preserve">AI based Camera Switcher which uses directional audio data with preset camera positions to focus on the
</t>
    </r>
    <r>
      <rPr>
        <sz val="7"/>
        <color rgb="FF000000"/>
        <rFont val="Verdana"/>
      </rPr>
      <t>active speaker.</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</si>
  <si>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</si>
  <si>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</si>
  <si>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</si>
  <si>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</si>
  <si>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</si>
  <si>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</si>
  <si>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</si>
  <si>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Full rack 19” 1RU processor mainframe with sixteen user-configured card slots (16 blank cards included.Selectable 48 &amp; 96kHz sampling rates. Integrated license-activated AEC. Dual core processing 40-bit floating DSP .Front panel OLED display with jog wheel. Rear panel includes an Ethernet module with RJ45 connector and internal power supply connection with built-in MOD-Dante-ETH module already pre- installed.Dante mainframe to provide 64x64 I/O channels of Dante network audio. Dual RJ45 Dante and single RJ45 Ethernet connectors.16ch Mic/Line inputs  with selectable mic, line, mic gain, and phantom power per input. 32-bit analog to digital converters.6ch Line output. 32-bit digital to analog converters.Softwarelicense activated AEC. 8ch of AEC @ 250ms delay / 16ch @ 100ms.</t>
    </r>
  </si>
  <si>
    <r>
      <rPr>
        <sz val="8"/>
        <color theme="1"/>
        <rFont val="Verdana"/>
      </rPr>
      <t>Nos</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</si>
  <si>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</si>
  <si>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</si>
  <si>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rgb="FF000000"/>
        <rFont val="Verdana"/>
      </rPr>
      <t xml:space="preserve">SITC of 4-channel digital amplifier (4*600W) with a 4 × 4 routing matrix and the following spec:
</t>
    </r>
    <r>
      <rPr>
        <sz val="7"/>
        <color rgb="FF000000"/>
        <rFont val="Verdana"/>
      </rPr>
      <t xml:space="preserve">frequency response : 20 Hz – 20 kHz,  signal/noise ratio &gt; 103 dB/A
</t>
    </r>
    <r>
      <rPr>
        <sz val="7"/>
        <color rgb="FF000000"/>
        <rFont val="Verdana"/>
      </rPr>
      <t xml:space="preserve">THD+N 0,15% (1 kHz, 8 ohms, 3 dB below clipping) dynamic range &gt; 120 dB,  DSP with 20 independent limiters,
</t>
    </r>
    <r>
      <rPr>
        <sz val="7"/>
        <color rgb="FF000000"/>
        <rFont val="Verdana"/>
      </rPr>
      <t>FIR filters, 8 × 10 fully parametric filter, 8 compressors, 8 noise gates &amp; delays</t>
    </r>
  </si>
  <si>
    <r>
      <rPr>
        <sz val="8"/>
        <color theme="1"/>
        <rFont val="Verdana"/>
      </rPr>
      <t>Nos</t>
    </r>
  </si>
  <si>
    <r>
      <rPr>
        <b/>
        <sz val="8"/>
        <color theme="1"/>
        <rFont val="Verdana"/>
      </rPr>
      <t>D</t>
    </r>
  </si>
  <si>
    <r>
      <rPr>
        <b/>
        <sz val="7"/>
        <color theme="1"/>
        <rFont val="Verdana"/>
      </rPr>
      <t>Control, Switching &amp; Interface</t>
    </r>
  </si>
  <si>
    <r>
      <rPr>
        <sz val="7"/>
        <color rgb="FF000000"/>
        <rFont val="Verdana"/>
      </rPr>
      <t xml:space="preserve">SITC of Cable cubby with 2 Universal Power Sockets with Electrical Retractable cables 1 HDMI, 1 usb-C, 1 USB-
</t>
    </r>
    <r>
      <rPr>
        <sz val="7"/>
        <color rgb="FF000000"/>
        <rFont val="Verdana"/>
      </rPr>
      <t xml:space="preserve">A &amp; 1 LAN </t>
    </r>
    <r>
      <rPr>
        <sz val="7"/>
        <color rgb="FFFF0000"/>
        <rFont val="Verdana"/>
      </rPr>
      <t>(Only 3 will be AV Enabled)</t>
    </r>
  </si>
  <si>
    <r>
      <rPr>
        <sz val="8"/>
        <color theme="1"/>
        <rFont val="Verdana"/>
      </rPr>
      <t>Nos</t>
    </r>
  </si>
  <si>
    <r>
      <rPr>
        <sz val="7"/>
        <color rgb="FF000000"/>
        <rFont val="Verdana"/>
      </rPr>
      <t xml:space="preserve">SITC of Wireless presentation Device to show an HDMI® output to the display up to 4K and various USB
</t>
    </r>
    <r>
      <rPr>
        <sz val="7"/>
        <color rgb="FF000000"/>
        <rFont val="Verdana"/>
      </rPr>
      <t>interfaces for wireless conferencing with all accessories and Power Supply Unit along with atleast 1 wireless dongle</t>
    </r>
  </si>
  <si>
    <r>
      <rPr>
        <sz val="8"/>
        <color theme="1"/>
        <rFont val="Verdana"/>
      </rPr>
      <t>Nos</t>
    </r>
  </si>
  <si>
    <r>
      <rPr>
        <sz val="7"/>
        <color theme="1"/>
        <rFont val="Verdana"/>
      </rPr>
      <t>SITC of AVoIP enabled  Encoder &amp; Decoder pair or switcher with  HDMI 2.0 and USB-C connectivity, Provides atleast  Two HDMI® input and Two USB-C Input and Two HDMI output. Bundled Solution</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</si>
  <si>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</si>
  <si>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</si>
  <si>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</si>
  <si>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</si>
  <si>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</si>
  <si>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theme="1"/>
        <rFont val="Verdana"/>
      </rPr>
      <t>SITC of Switcher with 8 HDMI 2.0 inputs and 8 HDMI output.</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</si>
  <si>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</si>
  <si>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</si>
  <si>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</si>
  <si>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</si>
  <si>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</si>
  <si>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</si>
  <si>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</si>
  <si>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</si>
  <si>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</si>
  <si>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</si>
  <si>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</si>
  <si>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</si>
  <si>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</si>
  <si>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</si>
  <si>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</si>
  <si>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</si>
  <si>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</si>
  <si>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</si>
  <si>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</si>
  <si>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</si>
  <si>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</si>
  <si>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10Mtr Type A to Type C USB active Cable</t>
    </r>
  </si>
  <si>
    <r>
      <rPr>
        <sz val="8"/>
        <color theme="1"/>
        <rFont val="Verdana"/>
      </rPr>
      <t>Nos</t>
    </r>
  </si>
  <si>
    <r>
      <rPr>
        <sz val="7"/>
        <color rgb="FF000000"/>
        <rFont val="Verdana"/>
      </rPr>
      <t xml:space="preserve">SITC of 42U Rack 100%compatibility with all equipments conforming to DIN 41494 (General industrial
</t>
    </r>
    <r>
      <rPr>
        <sz val="7"/>
        <color rgb="FF000000"/>
        <rFont val="Verdana"/>
      </rPr>
      <t>standard for equipments) Powder coated finish with seven tank pretreatment process meeting ASTM standard,Grounding &amp; Bonding Options,Fan module Mount provision on top cover</t>
    </r>
  </si>
  <si>
    <r>
      <rPr>
        <sz val="8"/>
        <color theme="1"/>
        <rFont val="Verdana"/>
      </rPr>
      <t>Set</t>
    </r>
  </si>
  <si>
    <r>
      <rPr>
        <b/>
        <sz val="7"/>
        <color theme="1"/>
        <rFont val="Verdana"/>
      </rPr>
      <t>Total (Inclusive of GST)</t>
    </r>
  </si>
  <si>
    <r>
      <rPr>
        <b/>
        <sz val="7"/>
        <color theme="1"/>
        <rFont val="Verdana"/>
      </rPr>
      <t>Ante Room Lounge</t>
    </r>
  </si>
  <si>
    <r>
      <rPr>
        <b/>
        <sz val="8"/>
        <color theme="1"/>
        <rFont val="Verdana"/>
      </rPr>
      <t>A</t>
    </r>
  </si>
  <si>
    <r>
      <rPr>
        <b/>
        <sz val="7"/>
        <color theme="1"/>
        <rFont val="Verdana"/>
      </rPr>
      <t>Display Devices &amp; Accessories</t>
    </r>
  </si>
  <si>
    <r>
      <rPr>
        <sz val="7"/>
        <color theme="1"/>
        <rFont val="Verdana"/>
      </rPr>
      <t>SITC of 75"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</si>
  <si>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</si>
  <si>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</si>
  <si>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</si>
  <si>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</si>
  <si>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</si>
  <si>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</si>
  <si>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</si>
  <si>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C</t>
    </r>
  </si>
  <si>
    <r>
      <rPr>
        <b/>
        <sz val="7"/>
        <color theme="1"/>
        <rFont val="Verdana"/>
      </rPr>
      <t>Switching &amp; Interface</t>
    </r>
  </si>
  <si>
    <r>
      <rPr>
        <sz val="7"/>
        <color theme="1"/>
        <rFont val="Verdana"/>
      </rPr>
      <t>SITC of Single-gang wall mount input or output for HDMI® digital video and audio.</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</si>
  <si>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</si>
  <si>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</si>
  <si>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</si>
  <si>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Universal Switcher with HDMI 2.0 and USB-C connectivity, Provides Two HDMI® input and two USB-C Input and one HDMI output.</t>
    </r>
  </si>
  <si>
    <r>
      <rPr>
        <sz val="8"/>
        <color theme="1"/>
        <rFont val="Verdana"/>
      </rPr>
      <t>Nos</t>
    </r>
  </si>
  <si>
    <r>
      <rPr>
        <b/>
        <sz val="8"/>
        <color theme="1"/>
        <rFont val="Verdana"/>
      </rPr>
      <t>D</t>
    </r>
  </si>
  <si>
    <r>
      <rPr>
        <b/>
        <sz val="7"/>
        <color theme="1"/>
        <rFont val="Verdana"/>
      </rPr>
      <t>Cables &amp; connectors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</si>
  <si>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</si>
  <si>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</si>
  <si>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</si>
  <si>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</si>
  <si>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</si>
  <si>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</si>
  <si>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</si>
  <si>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Pre-Function Area</t>
    </r>
  </si>
  <si>
    <r>
      <rPr>
        <sz val="8"/>
        <color theme="1"/>
        <rFont val="Verdana"/>
      </rPr>
      <t>A</t>
    </r>
  </si>
  <si>
    <r>
      <rPr>
        <b/>
        <sz val="7"/>
        <color theme="1"/>
        <rFont val="Verdana"/>
      </rPr>
      <t>Display Devices &amp; Accessories</t>
    </r>
  </si>
  <si>
    <r>
      <rPr>
        <sz val="7"/>
        <color theme="1"/>
        <rFont val="Verdana"/>
      </rPr>
      <t>SITC of 75"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</si>
  <si>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</si>
  <si>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</si>
  <si>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</si>
  <si>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sz val="8"/>
        <color theme="1"/>
        <rFont val="Verdana"/>
      </rPr>
      <t>B</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</si>
  <si>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</si>
  <si>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</si>
  <si>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</si>
  <si>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sz val="8"/>
        <color theme="1"/>
        <rFont val="Verdana"/>
      </rPr>
      <t>C</t>
    </r>
  </si>
  <si>
    <r>
      <rPr>
        <b/>
        <sz val="7"/>
        <color theme="1"/>
        <rFont val="Verdana"/>
      </rPr>
      <t>Cables &amp; connectors</t>
    </r>
  </si>
  <si>
    <r>
      <rPr>
        <sz val="7"/>
        <color theme="1"/>
        <rFont val="Verdana"/>
      </rPr>
      <t>SITC of 1.8Mtr HDMI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</si>
  <si>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</si>
  <si>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</si>
  <si>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</si>
  <si>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</si>
  <si>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GYM</t>
    </r>
  </si>
  <si>
    <r>
      <rPr>
        <b/>
        <sz val="8"/>
        <color theme="1"/>
        <rFont val="Verdana"/>
      </rPr>
      <t>A</t>
    </r>
  </si>
  <si>
    <r>
      <rPr>
        <b/>
        <sz val="7"/>
        <color theme="1"/>
        <rFont val="Verdana"/>
      </rPr>
      <t>Display Devices &amp; Accessories</t>
    </r>
  </si>
  <si>
    <r>
      <rPr>
        <sz val="7"/>
        <color theme="1"/>
        <rFont val="Verdana"/>
      </rPr>
      <t>SITC of 55"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</si>
  <si>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</si>
  <si>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</si>
  <si>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</si>
  <si>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</si>
  <si>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</si>
  <si>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</si>
  <si>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</si>
  <si>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C</t>
    </r>
  </si>
  <si>
    <r>
      <rPr>
        <b/>
        <sz val="7"/>
        <color theme="1"/>
        <rFont val="Verdana"/>
      </rPr>
      <t>Audio System</t>
    </r>
  </si>
  <si>
    <r>
      <rPr>
        <sz val="7"/>
        <color rgb="FF000000"/>
        <rFont val="Verdana"/>
      </rPr>
      <t xml:space="preserve">SITC of Passive full range speaker 8" LF+1" compression driver on Rotable Horn Loaded HF with 230W @8
</t>
    </r>
    <r>
      <rPr>
        <sz val="7"/>
        <color rgb="FF000000"/>
        <rFont val="Verdana"/>
      </rPr>
      <t>Ohms and SPL of 125dB and (H X V)90 X 60 or 60 X 40 dispersion angle with wooden enclosure which is ball resistant and textured paint to be provided</t>
    </r>
  </si>
  <si>
    <r>
      <rPr>
        <sz val="8"/>
        <color theme="1"/>
        <rFont val="Verdana"/>
      </rPr>
      <t>Nos</t>
    </r>
  </si>
  <si>
    <r>
      <rPr>
        <sz val="7"/>
        <color rgb="FF000000"/>
        <rFont val="Verdana"/>
      </rPr>
      <t xml:space="preserve">SITC of 4-channel digital amplifier (4*600W) with a 4 × 4 routing matrix and the following spec:
</t>
    </r>
    <r>
      <rPr>
        <sz val="7"/>
        <color rgb="FF000000"/>
        <rFont val="Verdana"/>
      </rPr>
      <t>frequency response : 20 Hz – 20 kHz  signal/noise ratio &gt; 103 dB/A  THD+N 0,15% (1 kHz, 8 ohms, 3 dB below clipping)  dynamic range &gt; 120 dB  DSP with 20 independent limiters, FIR filters, 8 × 10 fully parametric filter, 8 compressors, 8 noise gates &amp; delays</t>
    </r>
  </si>
  <si>
    <r>
      <rPr>
        <sz val="8"/>
        <color theme="1"/>
        <rFont val="Verdana"/>
      </rPr>
      <t>Nos</t>
    </r>
  </si>
  <si>
    <r>
      <rPr>
        <sz val="7"/>
        <color rgb="FF000000"/>
        <rFont val="Verdana"/>
      </rPr>
      <t xml:space="preserve">Wireless Streaming Preamplifier, In addition to Wi-Fi, this preamp should also support Bluetooth® and
</t>
    </r>
    <r>
      <rPr>
        <sz val="7"/>
        <color rgb="FF000000"/>
        <rFont val="Verdana"/>
      </rPr>
      <t>AirPlay®,</t>
    </r>
  </si>
  <si>
    <r>
      <rPr>
        <sz val="8"/>
        <color theme="1"/>
        <rFont val="Verdana"/>
      </rPr>
      <t>Nos</t>
    </r>
  </si>
  <si>
    <r>
      <rPr>
        <b/>
        <sz val="8"/>
        <color theme="1"/>
        <rFont val="Verdana"/>
      </rPr>
      <t>D</t>
    </r>
  </si>
  <si>
    <r>
      <rPr>
        <b/>
        <sz val="7"/>
        <color theme="1"/>
        <rFont val="Verdana"/>
      </rPr>
      <t>Cables &amp; connectors</t>
    </r>
  </si>
  <si>
    <r>
      <rPr>
        <sz val="7"/>
        <color theme="1"/>
        <rFont val="Verdana"/>
      </rPr>
      <t>SITC of 1.8Mtr HDMI Cable</t>
    </r>
  </si>
  <si>
    <r>
      <rPr>
        <sz val="8"/>
        <color theme="1"/>
        <rFont val="Verdana"/>
      </rPr>
      <t>Nos</t>
    </r>
  </si>
  <si>
    <r>
      <rPr>
        <sz val="7"/>
        <color theme="1"/>
        <rFont val="Verdana"/>
      </rPr>
      <t>SITC of CAT6A Cable</t>
    </r>
  </si>
  <si>
    <r>
      <rPr>
        <sz val="8"/>
        <color theme="1"/>
        <rFont val="Verdana"/>
      </rPr>
      <t>Mtr</t>
    </r>
  </si>
  <si>
    <r>
      <rPr>
        <sz val="7"/>
        <color theme="1"/>
        <rFont val="Verdana"/>
      </rPr>
      <t>SITC of Two Core with Sheilded speaker Cable</t>
    </r>
  </si>
  <si>
    <r>
      <rPr>
        <sz val="8"/>
        <color theme="1"/>
        <rFont val="Verdana"/>
      </rPr>
      <t>Mtr</t>
    </r>
  </si>
  <si>
    <r>
      <rPr>
        <b/>
        <sz val="7"/>
        <color theme="1"/>
        <rFont val="Verdana"/>
      </rPr>
      <t>Total (Inclusive of GST)</t>
    </r>
  </si>
  <si>
    <r>
      <rPr>
        <b/>
        <sz val="7"/>
        <color theme="1"/>
        <rFont val="Verdana"/>
      </rPr>
      <t>JumbaYoga &amp; Meditation Room</t>
    </r>
  </si>
  <si>
    <r>
      <rPr>
        <b/>
        <sz val="8"/>
        <color theme="1"/>
        <rFont val="Verdana"/>
      </rPr>
      <t>A</t>
    </r>
  </si>
  <si>
    <r>
      <rPr>
        <b/>
        <sz val="7"/>
        <color theme="1"/>
        <rFont val="Verdana"/>
      </rPr>
      <t>Display Devices &amp; Accessories</t>
    </r>
  </si>
  <si>
    <r>
      <rPr>
        <sz val="7"/>
        <color theme="1"/>
        <rFont val="Verdana"/>
      </rPr>
      <t>SITC of 85"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</si>
  <si>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</si>
  <si>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</si>
  <si>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</si>
  <si>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</si>
  <si>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</si>
  <si>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</si>
  <si>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</si>
  <si>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C</t>
    </r>
  </si>
  <si>
    <r>
      <rPr>
        <b/>
        <sz val="7"/>
        <color theme="1"/>
        <rFont val="Verdana"/>
      </rPr>
      <t>Audio System</t>
    </r>
  </si>
  <si>
    <r>
      <rPr>
        <sz val="7"/>
        <color rgb="FF000000"/>
        <rFont val="Verdana"/>
      </rPr>
      <t xml:space="preserve">SITC of Passive full range speaker 8" LF+1" compression driver on Rotable Horn Loaded HF with 230W @8
</t>
    </r>
    <r>
      <rPr>
        <sz val="7"/>
        <color rgb="FF000000"/>
        <rFont val="Verdana"/>
      </rPr>
      <t>Ohms and SPL of 125dB and (H X V)90 X 60 or 60 X 40 dispersion angle with wooden enclosure which is ball resistant and textured paint to be provided</t>
    </r>
  </si>
  <si>
    <r>
      <rPr>
        <sz val="8"/>
        <color theme="1"/>
        <rFont val="Verdana"/>
      </rPr>
      <t>Nos</t>
    </r>
  </si>
  <si>
    <r>
      <rPr>
        <sz val="7"/>
        <color rgb="FF000000"/>
        <rFont val="Verdana"/>
      </rPr>
      <t xml:space="preserve">SITC of 4-channel digital amplifier (4*600W) with a 4 × 4 routing matrix and the following spec:
</t>
    </r>
    <r>
      <rPr>
        <sz val="7"/>
        <color rgb="FF000000"/>
        <rFont val="Verdana"/>
      </rPr>
      <t>frequency response : 20 Hz – 20 kHz  signal/noise ratio &gt; 103 dB/A  THD+N 0,15% (1 kHz, 8 ohms, 3 dB below clipping)  dynamic range &gt; 120 dB  DSP with 20 independent limiters, FIR filters, 8 × 10 fully parametric filter, 8 compressors, 8 noise gates &amp; delays</t>
    </r>
  </si>
  <si>
    <r>
      <rPr>
        <sz val="8"/>
        <color theme="1"/>
        <rFont val="Verdana"/>
      </rPr>
      <t>Nos</t>
    </r>
  </si>
  <si>
    <r>
      <rPr>
        <sz val="7"/>
        <color rgb="FF000000"/>
        <rFont val="Verdana"/>
      </rPr>
      <t xml:space="preserve">Wireless Streaming Preamplifier, In addition to Wi-Fi, this preamp should also support Bluetooth® and
</t>
    </r>
    <r>
      <rPr>
        <sz val="7"/>
        <color rgb="FF000000"/>
        <rFont val="Verdana"/>
      </rPr>
      <t>AirPlay®,</t>
    </r>
  </si>
  <si>
    <r>
      <rPr>
        <sz val="8"/>
        <color theme="1"/>
        <rFont val="Verdana"/>
      </rPr>
      <t>Nos</t>
    </r>
  </si>
  <si>
    <r>
      <rPr>
        <b/>
        <sz val="8"/>
        <color theme="1"/>
        <rFont val="Verdana"/>
      </rPr>
      <t>D</t>
    </r>
  </si>
  <si>
    <r>
      <rPr>
        <b/>
        <sz val="7"/>
        <color theme="1"/>
        <rFont val="Verdana"/>
      </rPr>
      <t>Cables &amp; connectors</t>
    </r>
  </si>
  <si>
    <r>
      <rPr>
        <sz val="7"/>
        <color theme="1"/>
        <rFont val="Verdana"/>
      </rPr>
      <t>SITC of 1.8Mtr HDMI Cable</t>
    </r>
  </si>
  <si>
    <r>
      <rPr>
        <sz val="8"/>
        <color theme="1"/>
        <rFont val="Verdana"/>
      </rPr>
      <t>Nos</t>
    </r>
  </si>
  <si>
    <r>
      <rPr>
        <sz val="7"/>
        <color theme="1"/>
        <rFont val="Verdana"/>
      </rPr>
      <t>SITC of CAT6A Cable</t>
    </r>
  </si>
  <si>
    <r>
      <rPr>
        <sz val="8"/>
        <color theme="1"/>
        <rFont val="Verdana"/>
      </rPr>
      <t>Mtr</t>
    </r>
  </si>
  <si>
    <r>
      <rPr>
        <sz val="7"/>
        <color theme="1"/>
        <rFont val="Verdana"/>
      </rPr>
      <t>SITC of Two Core with Sheilded speaker Cable</t>
    </r>
  </si>
  <si>
    <r>
      <rPr>
        <sz val="8"/>
        <color theme="1"/>
        <rFont val="Verdana"/>
      </rPr>
      <t>Mtr</t>
    </r>
  </si>
  <si>
    <r>
      <rPr>
        <b/>
        <sz val="7"/>
        <color theme="1"/>
        <rFont val="Verdana"/>
      </rPr>
      <t>Total (Inclusive of GST)</t>
    </r>
  </si>
  <si>
    <r>
      <rPr>
        <b/>
        <sz val="7"/>
        <color theme="1"/>
        <rFont val="Verdana"/>
      </rPr>
      <t>Creche</t>
    </r>
  </si>
  <si>
    <r>
      <rPr>
        <b/>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</si>
  <si>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</si>
  <si>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</si>
  <si>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</si>
  <si>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</si>
  <si>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</si>
  <si>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</si>
  <si>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Audio System</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</si>
  <si>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</si>
  <si>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</si>
  <si>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</si>
  <si>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</si>
  <si>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C</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</si>
  <si>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</si>
  <si>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</si>
  <si>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</si>
  <si>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D</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</si>
  <si>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</si>
  <si>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</si>
  <si>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</si>
  <si>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</si>
  <si>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</si>
  <si>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</si>
  <si>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</si>
  <si>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</si>
  <si>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</si>
  <si>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</si>
  <si>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</si>
  <si>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</si>
  <si>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SOC</t>
    </r>
  </si>
  <si>
    <r>
      <rPr>
        <b/>
        <sz val="8"/>
        <color theme="1"/>
        <rFont val="Verdana"/>
      </rPr>
      <t>A</t>
    </r>
  </si>
  <si>
    <r>
      <rPr>
        <b/>
        <sz val="7"/>
        <color theme="1"/>
        <rFont val="Verdana"/>
      </rPr>
      <t>Display Devices &amp; Accessories</t>
    </r>
  </si>
  <si>
    <r>
      <rPr>
        <sz val="7"/>
        <color theme="1"/>
        <rFont val="Verdana"/>
      </rPr>
      <t>SITC of Indoor Active LED : 110 inch diagonal(2.4 x 1.35m), Fully flip chip COB, Die-Cast aluminium cabinet configuration, Pixel Pitch: 1.2mm, 16:9 aspect ratio, minimum Brightness: 600 cd/m² , upto Contrast (10000:1), Wall resolution (W X H): 1920 X 1080, IP605rated(Module), Viewing angle degree (H 170 / V 170), LED Life range of 100000 hours, Refresh Rate(3840Hz), 18 bits processing, Front access 5% Spare support, 3 years warranty with required Mounting and controls</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</si>
  <si>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</si>
  <si>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</si>
  <si>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</si>
  <si>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</si>
  <si>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</si>
  <si>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</si>
  <si>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</si>
  <si>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</si>
  <si>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</si>
  <si>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</si>
  <si>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</si>
  <si>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digital signal processor (DSP) which shall be open-architecture in configuration. It shall offer 16 user- configurable card-slots for analog audio, USB, GPIO, relay and AES/EBU digital audio support. and shall provide optional Dante audio networking at 64x64 channels, and be compliant with AES67.The DSP shall feature a dual-core Linux processor with 40-bit floating point architecture. It Should handle up-to 64x64 bi- directional channels of audio over Dante™, using standard CatX cable with no proprietary switches</t>
    </r>
  </si>
  <si>
    <r>
      <rPr>
        <sz val="8"/>
        <color theme="1"/>
        <rFont val="Verdana"/>
      </rPr>
      <t>Nos</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</si>
  <si>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</si>
  <si>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</si>
  <si>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</si>
  <si>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</si>
  <si>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D</t>
    </r>
  </si>
  <si>
    <r>
      <rPr>
        <b/>
        <sz val="7"/>
        <color theme="1"/>
        <rFont val="Verdana"/>
      </rPr>
      <t>Switching &amp; Interface</t>
    </r>
  </si>
  <si>
    <r>
      <rPr>
        <sz val="7"/>
        <color rgb="FF000000"/>
        <rFont val="Verdana"/>
      </rPr>
      <t xml:space="preserve">SITC of Network based Video Wall Controller with 8 x HDMI Inputs, 04 x UHD HDMI Outputs, Web URL based
</t>
    </r>
    <r>
      <rPr>
        <sz val="7"/>
        <color rgb="FF000000"/>
        <rFont val="Verdana"/>
      </rPr>
      <t>Inputs, Network based PC Inputs and Wall Management Software</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</si>
  <si>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</si>
  <si>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</si>
  <si>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</si>
  <si>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rgb="FF000000"/>
        <rFont val="Verdana"/>
      </rPr>
      <t>SITC of HDMI &amp; USB</t>
    </r>
    <r>
      <rPr>
        <sz val="7"/>
        <color rgb="FF000000"/>
        <rFont val="Cambria Math"/>
      </rPr>
      <t>‑</t>
    </r>
    <r>
      <rPr>
        <sz val="7"/>
        <color rgb="FF000000"/>
        <rFont val="Verdana"/>
      </rPr>
      <t xml:space="preserve">C® wallplate for video, audio and control up to 330’ (100 m) over a shielded CAT 6A
</t>
    </r>
    <r>
      <rPr>
        <sz val="7"/>
        <color rgb="FF000000"/>
        <rFont val="Verdana"/>
      </rPr>
      <t>cable</t>
    </r>
  </si>
  <si>
    <r>
      <rPr>
        <sz val="8"/>
        <color theme="1"/>
        <rFont val="Verdana"/>
      </rPr>
      <t>Nos</t>
    </r>
  </si>
  <si>
    <r>
      <rPr>
        <sz val="7"/>
        <color theme="1"/>
        <rFont val="Verdana"/>
      </rPr>
      <t>SITC of Collaboration Switcher with HDMI 2.0 and USB-C connectivity, Provides atleast Two HDMI® input and atleast Two USB-C Input and atleast Two HDMI output.</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</si>
  <si>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</si>
  <si>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</si>
  <si>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</si>
  <si>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</si>
  <si>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</si>
  <si>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</si>
  <si>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</si>
  <si>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b/>
        <sz val="8"/>
        <color theme="1"/>
        <rFont val="Verdana"/>
      </rPr>
      <t>E</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</si>
  <si>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</si>
  <si>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</si>
  <si>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</si>
  <si>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</si>
  <si>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</si>
  <si>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</si>
  <si>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</si>
  <si>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</si>
  <si>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</si>
  <si>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</si>
  <si>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</si>
  <si>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</si>
  <si>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</si>
  <si>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</si>
  <si>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</si>
  <si>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</si>
  <si>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</si>
  <si>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NOC</t>
    </r>
  </si>
  <si>
    <r>
      <rPr>
        <b/>
        <sz val="8"/>
        <color theme="1"/>
        <rFont val="Verdana"/>
      </rPr>
      <t>A</t>
    </r>
  </si>
  <si>
    <r>
      <rPr>
        <b/>
        <sz val="7"/>
        <color theme="1"/>
        <rFont val="Verdana"/>
      </rPr>
      <t>Display Devices &amp; Accessories</t>
    </r>
  </si>
  <si>
    <r>
      <rPr>
        <sz val="7"/>
        <color rgb="FF000000"/>
        <rFont val="Verdana"/>
      </rPr>
      <t xml:space="preserve">SITC of Indoor DVLED : 135inch diagonal(3x1.69m), Fully flip chip COB, 2.40m X 1.35m,4X4 Die-Cast
</t>
    </r>
    <r>
      <rPr>
        <sz val="7"/>
        <color rgb="FF000000"/>
        <rFont val="Verdana"/>
      </rPr>
      <t>aluminium cabinet configuration, Pixel Pitch: 1.5mm , 16:9 aspect ratio, Brightness: 600 cd/m² , Contrast (10000:1), Wall resolution (W X H): 1920 X 1080, IP605rated(Module), Cabinet dimensions ( W X H X D) : 600mm X 337.5mm X 29.9mm, Viewing angle degree (H 170 / V 170), LED Life (100000 hours), Refresh Rate(3840Hz), 18 bits processing, Front access 5% Spare support, 3 years warranty with required Mounting and control processsors</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</si>
  <si>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</si>
  <si>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</si>
  <si>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</si>
  <si>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</si>
  <si>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</si>
  <si>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</si>
  <si>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</si>
  <si>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</si>
  <si>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</si>
  <si>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</si>
  <si>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</si>
  <si>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digital signal processor (DSP) which shall be open-architecture in configuration. It shall offer 16 user- configurable card-slots for analog audio, USB, GPIO, relay and AES/EBU digital audio support. and shall provide optional Dante audio networking at 64x64 channels, and be compliant with AES67.The DSP shall feature a dual-core Linux processor with 40-bit floating point architecture. It Should handle up-to 64x64 bi- directional channels of audio over Dante™, using standard CatX cable with no proprietary switches</t>
    </r>
  </si>
  <si>
    <r>
      <rPr>
        <sz val="8"/>
        <color theme="1"/>
        <rFont val="Verdana"/>
      </rPr>
      <t>Nos</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</si>
  <si>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</si>
  <si>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</si>
  <si>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</si>
  <si>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</si>
  <si>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D</t>
    </r>
  </si>
  <si>
    <r>
      <rPr>
        <b/>
        <sz val="7"/>
        <color theme="1"/>
        <rFont val="Verdana"/>
      </rPr>
      <t>Switching &amp; Interface</t>
    </r>
  </si>
  <si>
    <r>
      <rPr>
        <sz val="7"/>
        <color rgb="FF000000"/>
        <rFont val="Verdana"/>
      </rPr>
      <t xml:space="preserve">SITC of Network based Video Wall Controller with 8 x HDMI Inputs, 04 x UHD HDMI Outputs, Web URL based
</t>
    </r>
    <r>
      <rPr>
        <sz val="7"/>
        <color rgb="FF000000"/>
        <rFont val="Verdana"/>
      </rPr>
      <t>Inputs, Network based PC Inputs and Wall Management Software</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</si>
  <si>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</si>
  <si>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</si>
  <si>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</si>
  <si>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rgb="FF000000"/>
        <rFont val="Verdana"/>
      </rPr>
      <t>SITC of HDMI &amp; USB</t>
    </r>
    <r>
      <rPr>
        <sz val="7"/>
        <color rgb="FF000000"/>
        <rFont val="Cambria Math"/>
      </rPr>
      <t>‑</t>
    </r>
    <r>
      <rPr>
        <sz val="7"/>
        <color rgb="FF000000"/>
        <rFont val="Verdana"/>
      </rPr>
      <t xml:space="preserve">C® wallplate for video, audio and control up to 330’ (100 m) over a shielded CAT 6A
</t>
    </r>
    <r>
      <rPr>
        <sz val="7"/>
        <color rgb="FF000000"/>
        <rFont val="Verdana"/>
      </rPr>
      <t>cable</t>
    </r>
  </si>
  <si>
    <r>
      <rPr>
        <sz val="8"/>
        <color theme="1"/>
        <rFont val="Verdana"/>
      </rPr>
      <t>Nos</t>
    </r>
  </si>
  <si>
    <r>
      <rPr>
        <sz val="7"/>
        <color theme="1"/>
        <rFont val="Verdana"/>
      </rPr>
      <t>SITC of Collaboration Switcher with HDMI 2.0 and USB-C connectivity, Provides atleast Two HDMI® input and atleast Two USB-C Input and atleast Two HDMI output.</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</si>
  <si>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</si>
  <si>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</si>
  <si>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</si>
  <si>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</si>
  <si>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</si>
  <si>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</si>
  <si>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</si>
  <si>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b/>
        <sz val="8"/>
        <color theme="1"/>
        <rFont val="Verdana"/>
      </rPr>
      <t>E</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</si>
  <si>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</si>
  <si>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</si>
  <si>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</si>
  <si>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</si>
  <si>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</si>
  <si>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</si>
  <si>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</si>
  <si>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</si>
  <si>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</si>
  <si>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</si>
  <si>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</si>
  <si>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</si>
  <si>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</si>
  <si>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</si>
  <si>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</si>
  <si>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</si>
  <si>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</si>
  <si>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Displays on Trolley</t>
    </r>
  </si>
  <si>
    <r>
      <rPr>
        <b/>
        <sz val="8"/>
        <color theme="1"/>
        <rFont val="Verdana"/>
      </rPr>
      <t>A</t>
    </r>
  </si>
  <si>
    <r>
      <rPr>
        <b/>
        <sz val="7"/>
        <color theme="1"/>
        <rFont val="Verdana"/>
      </rPr>
      <t>Display Devices &amp; Accessories</t>
    </r>
  </si>
  <si>
    <r>
      <rPr>
        <sz val="7"/>
        <color theme="1"/>
        <rFont val="Verdana"/>
      </rPr>
      <t>SITC of 55"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</si>
  <si>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</si>
  <si>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Trolley based mount for screens upto 60" with load bearing capacity of 50Kg. It can mount screens in landscape &amp; potrait orientation. Easy to move with non-marking 3” locking/braked castors &amp; alternative levelling feet. It must have cable management holes with all mounting hardware included.</t>
    </r>
  </si>
  <si>
    <r>
      <rPr>
        <sz val="8"/>
        <color theme="1"/>
        <rFont val="Verdana"/>
      </rPr>
      <t>Nos</t>
    </r>
  </si>
  <si>
    <r>
      <rPr>
        <b/>
        <sz val="8"/>
        <color theme="1"/>
        <rFont val="Verdana"/>
      </rPr>
      <t>B</t>
    </r>
  </si>
  <si>
    <r>
      <rPr>
        <b/>
        <sz val="7"/>
        <color theme="1"/>
        <rFont val="Verdana"/>
      </rPr>
      <t>Cables &amp; connectors</t>
    </r>
  </si>
  <si>
    <r>
      <rPr>
        <sz val="7"/>
        <color theme="1"/>
        <rFont val="Verdana"/>
      </rPr>
      <t>SITC of 5Mtr HDMI Cable</t>
    </r>
  </si>
  <si>
    <r>
      <rPr>
        <sz val="8"/>
        <color theme="1"/>
        <rFont val="Verdana"/>
      </rPr>
      <t>Nos</t>
    </r>
  </si>
  <si>
    <r>
      <rPr>
        <b/>
        <sz val="7"/>
        <color theme="1"/>
        <rFont val="Verdana"/>
      </rPr>
      <t>Total (Inclusive of GST)</t>
    </r>
  </si>
  <si>
    <r>
      <rPr>
        <b/>
        <sz val="7"/>
        <color theme="1"/>
        <rFont val="Verdana"/>
      </rPr>
      <t>Workplace Signage</t>
    </r>
  </si>
  <si>
    <r>
      <rPr>
        <b/>
        <sz val="8"/>
        <color theme="1"/>
        <rFont val="Verdana"/>
      </rPr>
      <t>A</t>
    </r>
  </si>
  <si>
    <r>
      <rPr>
        <b/>
        <sz val="7"/>
        <color theme="1"/>
        <rFont val="Verdana"/>
      </rPr>
      <t>Display Devices &amp; Accessories</t>
    </r>
  </si>
  <si>
    <r>
      <rPr>
        <sz val="7"/>
        <color theme="1"/>
        <rFont val="Verdana"/>
      </rPr>
      <t>SITC of 55"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</si>
  <si>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</si>
  <si>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</si>
  <si>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</si>
  <si>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</si>
  <si>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</si>
  <si>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</si>
  <si>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</si>
  <si>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C</t>
    </r>
  </si>
  <si>
    <r>
      <rPr>
        <b/>
        <sz val="7"/>
        <color theme="1"/>
        <rFont val="Verdana"/>
      </rPr>
      <t>Cables &amp; connectors</t>
    </r>
  </si>
  <si>
    <r>
      <rPr>
        <sz val="7"/>
        <color theme="1"/>
        <rFont val="Verdana"/>
      </rPr>
      <t>SITC of 1.8Mtr HDMI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</si>
  <si>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</si>
  <si>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</si>
  <si>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</si>
  <si>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</si>
  <si>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Workplace Signage Software</t>
    </r>
  </si>
  <si>
    <r>
      <rPr>
        <b/>
        <sz val="8"/>
        <color theme="1"/>
        <rFont val="Verdana"/>
      </rPr>
      <t>A</t>
    </r>
  </si>
  <si>
    <r>
      <rPr>
        <b/>
        <sz val="7"/>
        <color theme="1"/>
        <rFont val="Verdana"/>
      </rPr>
      <t>Display Devices &amp; Accessories</t>
    </r>
  </si>
  <si>
    <r>
      <rPr>
        <sz val="7"/>
        <color theme="1"/>
        <rFont val="Verdana"/>
      </rPr>
      <t>SITC of CMS License for 1 organisation With license for upto 100 players with Support package for upto 3 years</t>
    </r>
  </si>
  <si>
    <r>
      <rPr>
        <sz val="8"/>
        <color theme="1"/>
        <rFont val="Verdana"/>
      </rPr>
      <t>Nos</t>
    </r>
  </si>
  <si>
    <r>
      <rPr>
        <b/>
        <sz val="7"/>
        <color theme="1"/>
        <rFont val="Verdana"/>
      </rPr>
      <t>Total (Inclusive of GST)</t>
    </r>
  </si>
  <si>
    <r>
      <rPr>
        <b/>
        <sz val="7"/>
        <color theme="1"/>
        <rFont val="Verdana"/>
      </rPr>
      <t>Outdoor Signage</t>
    </r>
  </si>
  <si>
    <r>
      <rPr>
        <b/>
        <sz val="8"/>
        <color theme="1"/>
        <rFont val="Verdana"/>
      </rPr>
      <t>A</t>
    </r>
  </si>
  <si>
    <r>
      <rPr>
        <b/>
        <sz val="7"/>
        <color theme="1"/>
        <rFont val="Verdana"/>
      </rPr>
      <t>Display Devices &amp; Accessories</t>
    </r>
  </si>
  <si>
    <r>
      <rPr>
        <sz val="7"/>
        <color theme="1"/>
        <rFont val="Verdana"/>
      </rPr>
      <t>SITC of OUTdoor DVLED : Aluminium profile, Pixel Pitch: 4mm or bettter ,Brightness: ≥4500 nits, IP65, Viewing angle degree (H 160 / V 90), Refresh Rate(3840Hz)Front &amp; Rear access ,5% Spare support, 5 years warranty with required Mounting and LED controller to display Quad image/video (The final size Will be as measurement based on final size deployed)</t>
    </r>
  </si>
  <si>
    <r>
      <rPr>
        <sz val="8"/>
        <color theme="1"/>
        <rFont val="Verdana"/>
      </rPr>
      <t>SQft</t>
    </r>
  </si>
  <si>
    <r>
      <rPr>
        <b/>
        <sz val="8"/>
        <color theme="1"/>
        <rFont val="Verdana"/>
      </rPr>
      <t>B</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</si>
  <si>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</si>
  <si>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</si>
  <si>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</si>
  <si>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sz val="7"/>
        <color rgb="FF000000"/>
        <rFont val="Verdana"/>
      </rPr>
      <t xml:space="preserve">SITC of Multiple video windows can be positioned on LED, display based video walls or projector edge blends,
</t>
    </r>
    <r>
      <rPr>
        <sz val="7"/>
        <color rgb="FF000000"/>
        <rFont val="Verdana"/>
      </rPr>
      <t>displaying any of the sources connected to Processor, Up-Down-Cross Conversion, EDID manager, custom resolution editor, Modular chassis based Ultra-compact processor with Integrated front button panel for up to 4 x 4K HDMI input &amp; 2 x 4K HDMI output</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</si>
  <si>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</si>
  <si>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</si>
  <si>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</si>
  <si>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</si>
  <si>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</si>
  <si>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b/>
        <sz val="8"/>
        <color theme="1"/>
        <rFont val="Verdana"/>
      </rPr>
      <t>C</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</si>
  <si>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</si>
  <si>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</si>
  <si>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</si>
  <si>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</si>
  <si>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</si>
  <si>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b/>
        <sz val="7"/>
        <color theme="1"/>
        <rFont val="Verdana"/>
      </rPr>
      <t>Total (Inclusive of GST)</t>
    </r>
  </si>
  <si>
    <r>
      <rPr>
        <b/>
        <sz val="7"/>
        <color theme="1"/>
        <rFont val="Verdana"/>
      </rPr>
      <t>25 PAX Boardroom - OPTION 2</t>
    </r>
  </si>
  <si>
    <r>
      <rPr>
        <b/>
        <sz val="8"/>
        <color theme="1"/>
        <rFont val="Verdana"/>
      </rPr>
      <t>A</t>
    </r>
  </si>
  <si>
    <r>
      <rPr>
        <b/>
        <sz val="7"/>
        <color theme="1"/>
        <rFont val="Verdana"/>
      </rPr>
      <t>Display Devices &amp; Accessories</t>
    </r>
  </si>
  <si>
    <r>
      <rPr>
        <sz val="7"/>
        <color rgb="FF000000"/>
        <rFont val="Verdana"/>
      </rPr>
      <t xml:space="preserve">SITC of Indoor DVLED : 135inch diagonal(3x1.69m), Fully flip chip COB, 2.40m X 1.35m,4X4 Die-Cast
</t>
    </r>
    <r>
      <rPr>
        <sz val="7"/>
        <color rgb="FF000000"/>
        <rFont val="Verdana"/>
      </rPr>
      <t>aluminium cabinet configuration, Pixel Pitch: 1.2mm , 16:9 aspect ratio, Brightness: 600 cd/m² , Contrast (10000:1), Wall resolution (W X H): 1920 X 1080, IP605rated(Module), Cabinet dimensions ( W X H X D) : 600mm X 337.5mm X 29.9mm, Viewing angle degree (H 170 / V 170), LED Life (100000 hours), Refresh Rate(3840Hz), 18 bits processing, Front access 5% Spare support, 3 years warranty with required Mounting and control processsors</t>
    </r>
  </si>
  <si>
    <r>
      <rPr>
        <sz val="8"/>
        <color theme="1"/>
        <rFont val="Verdana"/>
      </rPr>
      <t>Nos</t>
    </r>
  </si>
  <si>
    <r>
      <rPr>
        <sz val="7"/>
        <color theme="1"/>
        <rFont val="Verdana"/>
      </rPr>
      <t>SITC of 65"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</si>
  <si>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</si>
  <si>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</si>
  <si>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</si>
  <si>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</si>
  <si>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</si>
  <si>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</si>
  <si>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</si>
  <si>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b/>
        <sz val="8"/>
        <color theme="1"/>
        <rFont val="Verdana"/>
      </rPr>
      <t>B</t>
    </r>
  </si>
  <si>
    <r>
      <rPr>
        <b/>
        <sz val="7"/>
        <color theme="1"/>
        <rFont val="Verdana"/>
      </rPr>
      <t>Video Conferencing</t>
    </r>
  </si>
  <si>
    <r>
      <rPr>
        <sz val="7"/>
        <color rgb="FF000000"/>
        <rFont val="Verdana"/>
      </rPr>
      <t xml:space="preserve">SITC of 4K dual lens camera with a 20X Total zoom PTZ camera and a second AI lens with 95˚FOV. Equipped
</t>
    </r>
    <r>
      <rPr>
        <sz val="7"/>
        <color rgb="FF000000"/>
        <rFont val="Verdana"/>
      </rPr>
      <t xml:space="preserve">with built-in audio sensor the camera should detects human voices up to 10M and offers audio tracking function. AI technology such as Smart Gallery and gesture control can capture every attendees up-close with
</t>
    </r>
    <r>
      <rPr>
        <sz val="7"/>
        <color rgb="FF000000"/>
        <rFont val="Verdana"/>
      </rPr>
      <t>premium video quality</t>
    </r>
  </si>
  <si>
    <r>
      <rPr>
        <sz val="8"/>
        <color theme="1"/>
        <rFont val="Verdana"/>
      </rPr>
      <t>Nos</t>
    </r>
  </si>
  <si>
    <r>
      <rPr>
        <sz val="7"/>
        <color rgb="FF000000"/>
        <rFont val="Verdana"/>
      </rPr>
      <t xml:space="preserve">AI based Camera Switcher which uses directional audio data with preset camera positions to focus on the
</t>
    </r>
    <r>
      <rPr>
        <sz val="7"/>
        <color rgb="FF000000"/>
        <rFont val="Verdana"/>
      </rPr>
      <t>active speaker.</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</si>
  <si>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</si>
  <si>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</si>
  <si>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</si>
  <si>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</si>
  <si>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</si>
  <si>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rgb="FF000000"/>
        <rFont val="Verdana"/>
      </rPr>
      <t xml:space="preserve">SITC of Wired table boundary microphone with half-cardioid pickup pattern &amp; integrated mute buttom. It's
</t>
    </r>
    <r>
      <rPr>
        <sz val="7"/>
        <color rgb="FF000000"/>
        <rFont val="Verdana"/>
      </rPr>
      <t xml:space="preserve">sturdy housing and high-quality microphone capsule guarantees optimum speech intelligibility with required XLR wiring and accessories.
</t>
    </r>
    <r>
      <rPr>
        <sz val="7"/>
        <color rgb="FF000000"/>
        <rFont val="Verdana"/>
      </rPr>
      <t xml:space="preserve">Additional required analog audio input card rated at 48V for powering up the microphone based on final make
</t>
    </r>
    <r>
      <rPr>
        <sz val="7"/>
        <color rgb="FF000000"/>
        <rFont val="Verdana"/>
      </rPr>
      <t>of DSP.</t>
    </r>
  </si>
  <si>
    <r>
      <rPr>
        <sz val="8"/>
        <color theme="1"/>
        <rFont val="Verdana"/>
      </rPr>
      <t>Nos</t>
    </r>
  </si>
  <si>
    <r>
      <rPr>
        <sz val="7"/>
        <color theme="1"/>
        <rFont val="Verdana"/>
      </rPr>
      <t>SITC of Full rack 19” 1RU processor mainframe with sixteen user-configured card slots (16 blank cards included.Selectable 48 &amp; 96kHz sampling rates. Integrated license-activated AEC. Dual core processing 40-bit floating DSP .Front panel OLED display with jog wheel. Rear panel includes an Ethernet module with RJ45 connector and internal power supply connection with built-in MOD-Dante-ETH module already pre- installed.Dante mainframe to provide 64x64 I/O channels of Dante network audio. Dual RJ45 Dante and single RJ45 Ethernet connectors.16ch Mic/Line inputs  with selectable mic, line, mic gain, and phantom power per input. 32-bit analog to digital converters.6ch Line output. 32-bit digital to analog converters.Softwarelicense activated AEC. 8ch of AEC @ 250ms delay / 16ch @ 100ms.</t>
    </r>
  </si>
  <si>
    <r>
      <rPr>
        <sz val="8"/>
        <color theme="1"/>
        <rFont val="Verdana"/>
      </rPr>
      <t>Nos</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</si>
  <si>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</si>
  <si>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</si>
  <si>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rgb="FF000000"/>
        <rFont val="Verdana"/>
      </rPr>
      <t xml:space="preserve">SITC of 4-channel digital amplifier (4*600W) with a 4 × 4 routing matrix and the following spec:
</t>
    </r>
    <r>
      <rPr>
        <sz val="7"/>
        <color rgb="FF000000"/>
        <rFont val="Verdana"/>
      </rPr>
      <t xml:space="preserve">frequency response : 20 Hz – 20 kHz,  signal/noise ratio &gt; 103 dB/A
</t>
    </r>
    <r>
      <rPr>
        <sz val="7"/>
        <color rgb="FF000000"/>
        <rFont val="Verdana"/>
      </rPr>
      <t xml:space="preserve">THD+N 0,15% (1 kHz, 8 ohms, 3 dB below clipping) dynamic range &gt; 120 dB,  DSP with 20 independent limiters,
</t>
    </r>
    <r>
      <rPr>
        <sz val="7"/>
        <color rgb="FF000000"/>
        <rFont val="Verdana"/>
      </rPr>
      <t>FIR filters, 8 × 10 fully parametric filter, 8 compressors, 8 noise gates &amp; delays</t>
    </r>
  </si>
  <si>
    <r>
      <rPr>
        <sz val="8"/>
        <color theme="1"/>
        <rFont val="Verdana"/>
      </rPr>
      <t>Nos</t>
    </r>
  </si>
  <si>
    <r>
      <rPr>
        <b/>
        <sz val="8"/>
        <color theme="1"/>
        <rFont val="Verdana"/>
      </rPr>
      <t>D</t>
    </r>
  </si>
  <si>
    <r>
      <rPr>
        <b/>
        <sz val="7"/>
        <color theme="1"/>
        <rFont val="Verdana"/>
      </rPr>
      <t>Control, Switching &amp; Interface</t>
    </r>
  </si>
  <si>
    <r>
      <rPr>
        <sz val="7"/>
        <color rgb="FF000000"/>
        <rFont val="Verdana"/>
      </rPr>
      <t xml:space="preserve">SITC of Cable cubby with 2 Universal Power Sockets with Electrical Retractable cables 1 HDMI, 1 usb-C, 1 USB-
</t>
    </r>
    <r>
      <rPr>
        <sz val="7"/>
        <color rgb="FF000000"/>
        <rFont val="Verdana"/>
      </rPr>
      <t xml:space="preserve">A &amp; 1 LAN </t>
    </r>
    <r>
      <rPr>
        <sz val="7"/>
        <color rgb="FFFF0000"/>
        <rFont val="Verdana"/>
      </rPr>
      <t>(Only 3 will be AV Enabled)</t>
    </r>
  </si>
  <si>
    <r>
      <rPr>
        <sz val="8"/>
        <color theme="1"/>
        <rFont val="Verdana"/>
      </rPr>
      <t>Nos</t>
    </r>
  </si>
  <si>
    <r>
      <rPr>
        <sz val="7"/>
        <color rgb="FF000000"/>
        <rFont val="Verdana"/>
      </rPr>
      <t xml:space="preserve">SITC of Wireless presentation Device to show an HDMI® output to the display up to 4K and various USB
</t>
    </r>
    <r>
      <rPr>
        <sz val="7"/>
        <color rgb="FF000000"/>
        <rFont val="Verdana"/>
      </rPr>
      <t>interfaces for wireless conferencing with all accessories and Power Supply Unit along with atleast 1 wireless dongle</t>
    </r>
  </si>
  <si>
    <r>
      <rPr>
        <sz val="8"/>
        <color theme="1"/>
        <rFont val="Verdana"/>
      </rPr>
      <t>Nos</t>
    </r>
  </si>
  <si>
    <r>
      <rPr>
        <sz val="7"/>
        <color theme="1"/>
        <rFont val="Verdana"/>
      </rPr>
      <t>SITC of AVoIP enabled  Encoder &amp; Decoder pair or switcher with  HDMI 2.0 and USB-C connectivity, Provides atleast  Two HDMI® input and Two USB-C Input and Two HDMI output. Bundled Solution</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</si>
  <si>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</si>
  <si>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</si>
  <si>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</si>
  <si>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 xml:space="preserve">control ports. Thed Device should have advanced security standards and Gigabit Ethernet, which ensures compatibility with interfaces using a standard network infrastructure.The Device should include all the required
</t>
    </r>
    <r>
      <rPr>
        <sz val="7"/>
        <color rgb="FF000000"/>
        <rFont val="Verdana"/>
      </rPr>
      <t>license to meet the requirement</t>
    </r>
  </si>
  <si>
    <r>
      <rPr>
        <sz val="8"/>
        <color theme="1"/>
        <rFont val="Verdana"/>
      </rPr>
      <t>Nos</t>
    </r>
  </si>
  <si>
    <r>
      <rPr>
        <sz val="7"/>
        <color theme="1"/>
        <rFont val="Verdana"/>
      </rPr>
      <t>SITC of Switcher with 8 HDMI 2.0 inputs and 8 HDMI output.</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</si>
  <si>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</si>
  <si>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</si>
  <si>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</si>
  <si>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</si>
  <si>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</si>
  <si>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</si>
  <si>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</si>
  <si>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</si>
  <si>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</si>
  <si>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</si>
  <si>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</si>
  <si>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</si>
  <si>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</si>
  <si>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</si>
  <si>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</si>
  <si>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</si>
  <si>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</si>
  <si>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</si>
  <si>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</si>
  <si>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</si>
  <si>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</si>
  <si>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10Mtr Type A to Type C USB active Cable</t>
    </r>
  </si>
  <si>
    <r>
      <rPr>
        <sz val="8"/>
        <color theme="1"/>
        <rFont val="Verdana"/>
      </rPr>
      <t>Nos</t>
    </r>
  </si>
  <si>
    <r>
      <rPr>
        <sz val="7"/>
        <color theme="1"/>
        <rFont val="Verdana"/>
      </rPr>
      <t>SITC of 42U Rack 100%compatibility with all equipments conforming to DIN 41494 (General industrial standard for equipments) Powder coated finish with seven tank pretreatment process meeting ASTM standard,Grounding &amp; Bonding Options,Fan module Mount provision on top cover</t>
    </r>
  </si>
  <si>
    <r>
      <rPr>
        <sz val="8"/>
        <color theme="1"/>
        <rFont val="Verdana"/>
      </rPr>
      <t>Set</t>
    </r>
  </si>
  <si>
    <r>
      <rPr>
        <b/>
        <sz val="8"/>
        <color theme="1"/>
        <rFont val="Verdana"/>
      </rPr>
      <t>Total (Inclusive of GST)</t>
    </r>
  </si>
  <si>
    <r>
      <rPr>
        <b/>
        <i/>
        <sz val="13"/>
        <color rgb="FF000000"/>
        <rFont val="Verdana"/>
      </rPr>
      <t xml:space="preserve">Name of Project: “Interior Fit-out work in the office space of Power Finance
</t>
    </r>
    <r>
      <rPr>
        <b/>
        <i/>
        <sz val="13"/>
        <color rgb="FF000000"/>
        <rFont val="Verdana"/>
      </rPr>
      <t xml:space="preserve">Corporation Limited, Tower-H, World Trade Centre, Nauroji Nagar, New Delhi-110029
</t>
    </r>
    <r>
      <rPr>
        <b/>
        <i/>
        <sz val="13"/>
        <color rgb="FF000000"/>
        <rFont val="Verdana"/>
      </rPr>
      <t>including Operation &amp; Maintenance for 06 years”</t>
    </r>
  </si>
  <si>
    <r>
      <rPr>
        <b/>
        <sz val="13"/>
        <color theme="1"/>
        <rFont val="Verdana"/>
      </rPr>
      <t>SUMMARY OF Kitchen Work BOQ</t>
    </r>
  </si>
  <si>
    <r>
      <rPr>
        <sz val="13"/>
        <color theme="1"/>
        <rFont val="Verdana"/>
      </rPr>
      <t>S no.</t>
    </r>
  </si>
  <si>
    <r>
      <rPr>
        <b/>
        <sz val="13"/>
        <color theme="1"/>
        <rFont val="Verdana"/>
      </rPr>
      <t>AREAS</t>
    </r>
  </si>
  <si>
    <r>
      <rPr>
        <b/>
        <sz val="13"/>
        <color theme="1"/>
        <rFont val="Verdana"/>
      </rPr>
      <t>Amount (In Rs.)</t>
    </r>
  </si>
  <si>
    <r>
      <rPr>
        <b/>
        <sz val="13"/>
        <color theme="1"/>
        <rFont val="Verdana"/>
      </rPr>
      <t>Original Scope</t>
    </r>
  </si>
  <si>
    <r>
      <rPr>
        <sz val="13"/>
        <color rgb="FF000000"/>
        <rFont val="Verdana"/>
      </rPr>
      <t xml:space="preserve">WHITE GOODS ALL FLOORS
</t>
    </r>
    <r>
      <rPr>
        <sz val="13"/>
        <color rgb="FF000000"/>
        <rFont val="Verdana"/>
      </rPr>
      <t>( GF+FF+2F+3F+4F+5F+6F+8F+9F)</t>
    </r>
  </si>
  <si>
    <r>
      <rPr>
        <sz val="13"/>
        <color theme="1"/>
        <rFont val="Verdana"/>
      </rPr>
      <t>KITCHEN EQUIPMENT 7TH FLOOR +BASEMENT</t>
    </r>
  </si>
  <si>
    <r>
      <rPr>
        <sz val="13"/>
        <color theme="1"/>
        <rFont val="Verdana"/>
      </rPr>
      <t>PNG Gas Pipeline</t>
    </r>
  </si>
  <si>
    <r>
      <rPr>
        <b/>
        <sz val="13"/>
        <color theme="1"/>
        <rFont val="Verdana"/>
      </rPr>
      <t>Total Amount</t>
    </r>
  </si>
  <si>
    <r>
      <rPr>
        <b/>
        <i/>
        <sz val="9"/>
        <color theme="1"/>
        <rFont val="Verdana"/>
      </rPr>
      <t>Bill of Quantities</t>
    </r>
  </si>
  <si>
    <r>
      <rPr>
        <b/>
        <i/>
        <sz val="9"/>
        <color theme="1"/>
        <rFont val="Verdana"/>
      </rPr>
      <t>Name of Project: “Interior Fit-out work in the office space of Power Finance Corporation Limited, Tower-H, World Trade Centre, Nauroji Nagar, New Delhi-110029 including Operation &amp; Maintenance for 06 years”</t>
    </r>
  </si>
  <si>
    <r>
      <rPr>
        <b/>
        <i/>
        <sz val="9"/>
        <color theme="1"/>
        <rFont val="Verdana"/>
      </rPr>
      <t>Name of Work: PNG PIPELINE</t>
    </r>
  </si>
  <si>
    <r>
      <rPr>
        <b/>
        <sz val="9"/>
        <color rgb="FF000000"/>
        <rFont val="Verdana"/>
      </rPr>
      <t xml:space="preserve">Sr.
</t>
    </r>
    <r>
      <rPr>
        <b/>
        <sz val="9"/>
        <color rgb="FF000000"/>
        <rFont val="Verdana"/>
      </rPr>
      <t>No.</t>
    </r>
  </si>
  <si>
    <r>
      <rPr>
        <b/>
        <sz val="9"/>
        <color theme="1"/>
        <rFont val="Verdana"/>
      </rPr>
      <t>Product / Item Description</t>
    </r>
  </si>
  <si>
    <r>
      <rPr>
        <b/>
        <sz val="9"/>
        <color theme="1"/>
        <rFont val="Verdana"/>
      </rPr>
      <t>Unit</t>
    </r>
  </si>
  <si>
    <r>
      <rPr>
        <b/>
        <sz val="9"/>
        <color theme="1"/>
        <rFont val="Verdana"/>
      </rPr>
      <t>Qty</t>
    </r>
  </si>
  <si>
    <r>
      <rPr>
        <b/>
        <sz val="9"/>
        <color theme="1"/>
        <rFont val="Verdana"/>
      </rPr>
      <t>RATE</t>
    </r>
  </si>
  <si>
    <r>
      <rPr>
        <b/>
        <sz val="9"/>
        <color theme="1"/>
        <rFont val="Verdana"/>
      </rPr>
      <t>AMOUNT</t>
    </r>
  </si>
  <si>
    <r>
      <rPr>
        <sz val="9"/>
        <color rgb="FF000000"/>
        <rFont val="Verdana"/>
      </rPr>
      <t xml:space="preserve">Bourdon Type Pressure Gauge in 100mm dial size of pressure range 0-4,14kgf/cm2 with
</t>
    </r>
    <r>
      <rPr>
        <sz val="9"/>
        <color rgb="FF000000"/>
        <rFont val="Verdana"/>
      </rPr>
      <t>valve.(</t>
    </r>
    <r>
      <rPr>
        <b/>
        <sz val="9"/>
        <color rgb="FF000000"/>
        <rFont val="Verdana"/>
      </rPr>
      <t>HGuru</t>
    </r>
    <r>
      <rPr>
        <sz val="9"/>
        <color rgb="FF000000"/>
        <rFont val="Verdana"/>
      </rPr>
      <t>) - 5 Nos.</t>
    </r>
  </si>
  <si>
    <r>
      <rPr>
        <sz val="9"/>
        <color theme="1"/>
        <rFont val="Verdana"/>
      </rPr>
      <t>Job</t>
    </r>
  </si>
  <si>
    <r>
      <rPr>
        <sz val="9"/>
        <color rgb="FF000000"/>
        <rFont val="Verdana"/>
      </rPr>
      <t xml:space="preserve">Burner Pipe: </t>
    </r>
    <r>
      <rPr>
        <b/>
        <sz val="9"/>
        <color rgb="FF000000"/>
        <rFont val="Verdana"/>
      </rPr>
      <t xml:space="preserve">4 feet (surksha) </t>
    </r>
    <r>
      <rPr>
        <sz val="9"/>
        <color rgb="FF000000"/>
        <rFont val="Verdana"/>
      </rPr>
      <t>- 16 Nos.</t>
    </r>
  </si>
  <si>
    <r>
      <rPr>
        <sz val="9"/>
        <color rgb="FF000000"/>
        <rFont val="Verdana"/>
      </rPr>
      <t xml:space="preserve">Needle Compact valve: </t>
    </r>
    <r>
      <rPr>
        <b/>
        <sz val="9"/>
        <color rgb="FF000000"/>
        <rFont val="Verdana"/>
      </rPr>
      <t xml:space="preserve">(3/8"X3/8") </t>
    </r>
    <r>
      <rPr>
        <sz val="9"/>
        <color rgb="FF000000"/>
        <rFont val="Verdana"/>
      </rPr>
      <t>- 21 nos.</t>
    </r>
  </si>
  <si>
    <r>
      <rPr>
        <sz val="9"/>
        <color rgb="FF000000"/>
        <rFont val="Verdana"/>
      </rPr>
      <t>Nut Bullnose '</t>
    </r>
    <r>
      <rPr>
        <b/>
        <sz val="9"/>
        <color rgb="FF000000"/>
        <rFont val="Verdana"/>
      </rPr>
      <t>1'</t>
    </r>
    <r>
      <rPr>
        <sz val="9"/>
        <color rgb="FF000000"/>
        <rFont val="Verdana"/>
      </rPr>
      <t>- 4 Nos.</t>
    </r>
  </si>
  <si>
    <r>
      <rPr>
        <sz val="9"/>
        <color rgb="FF000000"/>
        <rFont val="Verdana"/>
      </rPr>
      <t>CS Ball Valve Size: 40</t>
    </r>
    <r>
      <rPr>
        <b/>
        <sz val="9"/>
        <color rgb="FF000000"/>
        <rFont val="Verdana"/>
      </rPr>
      <t xml:space="preserve">mm </t>
    </r>
    <r>
      <rPr>
        <sz val="9"/>
        <color rgb="FF000000"/>
        <rFont val="Verdana"/>
      </rPr>
      <t>(</t>
    </r>
    <r>
      <rPr>
        <b/>
        <sz val="9"/>
        <color rgb="FF000000"/>
        <rFont val="Verdana"/>
      </rPr>
      <t>L&amp;T)</t>
    </r>
    <r>
      <rPr>
        <sz val="9"/>
        <color rgb="FF000000"/>
        <rFont val="Verdana"/>
      </rPr>
      <t>- 5 Nos.</t>
    </r>
  </si>
  <si>
    <r>
      <rPr>
        <sz val="9"/>
        <color theme="1"/>
        <rFont val="Verdana"/>
      </rPr>
      <t>Ball Valve CS 1.5" #150 Make Pune Gas- 3 nos.</t>
    </r>
  </si>
  <si>
    <r>
      <rPr>
        <sz val="9"/>
        <color theme="1"/>
        <rFont val="Verdana"/>
      </rPr>
      <t>Ball Valve CS 1/2" Thread, Make Pune Gas-16 nos.</t>
    </r>
  </si>
  <si>
    <r>
      <rPr>
        <sz val="9"/>
        <color theme="1"/>
        <rFont val="Verdana"/>
      </rPr>
      <t>Ms Meter Flange - 1 Nos.</t>
    </r>
  </si>
  <si>
    <r>
      <rPr>
        <sz val="9"/>
        <color rgb="FF000000"/>
        <rFont val="Verdana"/>
      </rPr>
      <t xml:space="preserve">ASTM-A-106 Schedule 40 C Class Pipe with forged fitting duly welded and Including all fitting material(socket,clamp,tee,short bend, etc.)
</t>
    </r>
    <r>
      <rPr>
        <sz val="9"/>
        <color rgb="FF000000"/>
        <rFont val="Verdana"/>
      </rPr>
      <t>Size :</t>
    </r>
    <r>
      <rPr>
        <b/>
        <sz val="9"/>
        <color rgb="FF000000"/>
        <rFont val="Verdana"/>
      </rPr>
      <t>40mm</t>
    </r>
  </si>
  <si>
    <r>
      <rPr>
        <sz val="9"/>
        <color rgb="FF000000"/>
        <rFont val="Verdana"/>
      </rPr>
      <t xml:space="preserve">Per
</t>
    </r>
    <r>
      <rPr>
        <sz val="9"/>
        <color rgb="FF000000"/>
        <rFont val="Verdana"/>
      </rPr>
      <t xml:space="preserve">MTR.
</t>
    </r>
    <r>
      <rPr>
        <sz val="9"/>
        <color rgb="FF000000"/>
        <rFont val="Verdana"/>
      </rPr>
      <t>(Appro x.)</t>
    </r>
  </si>
  <si>
    <r>
      <rPr>
        <sz val="9"/>
        <color theme="1"/>
        <rFont val="Verdana"/>
      </rPr>
      <t>Testing ,Painting &amp; Installation &amp; THIRD PARTY INSEPECTION WITH REPORTS</t>
    </r>
  </si>
  <si>
    <r>
      <rPr>
        <sz val="9"/>
        <color theme="1"/>
        <rFont val="Verdana"/>
      </rPr>
      <t>Job</t>
    </r>
  </si>
  <si>
    <r>
      <rPr>
        <sz val="9"/>
        <color rgb="FF000000"/>
        <rFont val="Verdana"/>
      </rPr>
      <t>SOLONOID VALVE 25MM (</t>
    </r>
    <r>
      <rPr>
        <b/>
        <sz val="9"/>
        <color rgb="FF000000"/>
        <rFont val="Verdana"/>
      </rPr>
      <t>MADAS)</t>
    </r>
  </si>
  <si>
    <r>
      <rPr>
        <b/>
        <sz val="9"/>
        <color rgb="FFFFFFFF"/>
        <rFont val="Verdana"/>
      </rPr>
      <t>GAS DETECTION SYSTEM</t>
    </r>
  </si>
  <si>
    <r>
      <rPr>
        <sz val="9"/>
        <color rgb="FF000000"/>
        <rFont val="Verdana"/>
      </rPr>
      <t>GAS LEAK DETECTOR SENSOR (</t>
    </r>
    <r>
      <rPr>
        <b/>
        <sz val="9"/>
        <color rgb="FF000000"/>
        <rFont val="Verdana"/>
      </rPr>
      <t>GASVIGIL</t>
    </r>
    <r>
      <rPr>
        <sz val="9"/>
        <color rgb="FF000000"/>
        <rFont val="Verdana"/>
      </rPr>
      <t xml:space="preserve">)-15 nos.
</t>
    </r>
    <r>
      <rPr>
        <sz val="9"/>
        <color rgb="FF000000"/>
        <rFont val="Verdana"/>
      </rPr>
      <t xml:space="preserve">MULTIPLE SENSOR PANEL 4 ZONE (GASVIGIL)- 2 Nos.,HOOTER  (4 nos.), WIRE 4 CORE
</t>
    </r>
    <r>
      <rPr>
        <sz val="9"/>
        <color rgb="FF000000"/>
        <rFont val="Verdana"/>
      </rPr>
      <t>FOR CONNECTION WITH CONDUIT (300 mtr approx), Ms Meter Flange (1No.),</t>
    </r>
  </si>
  <si>
    <r>
      <rPr>
        <sz val="9"/>
        <color theme="1"/>
        <rFont val="Verdana"/>
      </rPr>
      <t>Job</t>
    </r>
  </si>
  <si>
    <r>
      <rPr>
        <sz val="9"/>
        <color theme="1"/>
        <rFont val="Verdana"/>
      </rPr>
      <t>INSTALLATION CHARGES FOR GAS DETECTION SYSTEM</t>
    </r>
  </si>
  <si>
    <r>
      <rPr>
        <sz val="9"/>
        <color theme="1"/>
        <rFont val="Verdana"/>
      </rPr>
      <t>Third Party Inspection</t>
    </r>
  </si>
  <si>
    <r>
      <rPr>
        <b/>
        <sz val="9"/>
        <color theme="1"/>
        <rFont val="Verdana"/>
      </rPr>
      <t>Sub-Total</t>
    </r>
  </si>
  <si>
    <t>Area 1</t>
  </si>
  <si>
    <t>Area 2</t>
  </si>
  <si>
    <t>Qty</t>
  </si>
  <si>
    <t>Supply rate</t>
  </si>
  <si>
    <t>Install Rate</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</si>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</sst>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yy\.m\.d"/>
    <numFmt numFmtId="166" formatCode="dd\.m\.yy"/>
    <numFmt numFmtId="167" formatCode="[$INR]\ #,##0"/>
    <numFmt numFmtId="168" formatCode="yy\.m\.dd"/>
    <numFmt numFmtId="169" formatCode="yy\.mm\.d"/>
    <numFmt numFmtId="170" formatCode="m\.d\.yy"/>
    <numFmt numFmtId="171" formatCode="yy\.mm\.dd"/>
    <numFmt numFmtId="172" formatCode="\₹#,##0.00"/>
    <numFmt numFmtId="173" formatCode="\₹0.00"/>
  </numFmts>
  <fonts count="54" x14ac:knownFonts="1">
    <font>
      <sz val="10"/>
      <color rgb="FF000000"/>
      <name val="Times New Roman"/>
      <scheme val="minor"/>
    </font>
    <font>
      <b/>
      <i/>
      <sz val="9"/>
      <color theme="1"/>
      <name val="Verdana"/>
    </font>
    <font>
      <b/>
      <sz val="9"/>
      <color theme="1"/>
      <name val="Verdana"/>
    </font>
    <font>
      <sz val="10"/>
      <name val="Times New Roman"/>
    </font>
    <font>
      <sz val="9"/>
      <color theme="1"/>
      <name val="Verdana"/>
    </font>
    <font>
      <sz val="9"/>
      <color rgb="FF000000"/>
      <name val="Verdana"/>
    </font>
    <font>
      <sz val="10"/>
      <color rgb="FF000000"/>
      <name val="Times New Roman"/>
    </font>
    <font>
      <b/>
      <sz val="9"/>
      <color rgb="FF000000"/>
      <name val="Verdana"/>
    </font>
    <font>
      <b/>
      <sz val="10"/>
      <color theme="1"/>
      <name val="Calibri"/>
    </font>
    <font>
      <sz val="10"/>
      <color theme="1"/>
      <name val="Calibri"/>
    </font>
    <font>
      <sz val="10"/>
      <color rgb="FF000000"/>
      <name val="Calibri"/>
    </font>
    <font>
      <b/>
      <sz val="10"/>
      <color rgb="FF000000"/>
      <name val="Calibri"/>
    </font>
    <font>
      <b/>
      <sz val="8"/>
      <color theme="1"/>
      <name val="Verdana"/>
    </font>
    <font>
      <sz val="8"/>
      <color rgb="FF000000"/>
      <name val="Verdana"/>
    </font>
    <font>
      <sz val="8"/>
      <color theme="1"/>
      <name val="Verdana"/>
    </font>
    <font>
      <b/>
      <sz val="8"/>
      <color rgb="FF000000"/>
      <name val="Verdana"/>
    </font>
    <font>
      <b/>
      <sz val="10"/>
      <color theme="1"/>
      <name val="Verdana"/>
    </font>
    <font>
      <sz val="10"/>
      <color theme="1"/>
      <name val="Verdana"/>
    </font>
    <font>
      <sz val="10"/>
      <color rgb="FF000000"/>
      <name val="Verdana"/>
    </font>
    <font>
      <b/>
      <sz val="10"/>
      <color rgb="FF000000"/>
      <name val="Verdana"/>
    </font>
    <font>
      <b/>
      <i/>
      <sz val="10"/>
      <color theme="1"/>
      <name val="Verdana"/>
    </font>
    <font>
      <sz val="10"/>
      <color theme="1"/>
      <name val="Times New Roman"/>
      <scheme val="minor"/>
    </font>
    <font>
      <b/>
      <i/>
      <sz val="10"/>
      <color theme="1"/>
      <name val="Calibri"/>
    </font>
    <font>
      <b/>
      <i/>
      <sz val="7"/>
      <color theme="1"/>
      <name val="Verdana"/>
    </font>
    <font>
      <b/>
      <sz val="7"/>
      <color theme="1"/>
      <name val="Verdana"/>
    </font>
    <font>
      <sz val="7"/>
      <color rgb="FF000000"/>
      <name val="Verdana"/>
    </font>
    <font>
      <sz val="7"/>
      <color theme="1"/>
      <name val="Verdana"/>
    </font>
    <font>
      <b/>
      <sz val="7"/>
      <color rgb="FF000000"/>
      <name val="Verdana"/>
    </font>
    <font>
      <b/>
      <i/>
      <sz val="6"/>
      <color theme="1"/>
      <name val="Verdana"/>
    </font>
    <font>
      <b/>
      <sz val="6"/>
      <color theme="1"/>
      <name val="Verdana"/>
    </font>
    <font>
      <b/>
      <u/>
      <sz val="6"/>
      <color rgb="FF0000FF"/>
      <name val="Verdana"/>
    </font>
    <font>
      <sz val="6"/>
      <color rgb="FF000000"/>
      <name val="Verdana"/>
    </font>
    <font>
      <sz val="6"/>
      <color theme="1"/>
      <name val="Verdana"/>
    </font>
    <font>
      <b/>
      <sz val="6"/>
      <color rgb="FF000000"/>
      <name val="Verdana"/>
    </font>
    <font>
      <b/>
      <i/>
      <sz val="8"/>
      <color theme="1"/>
      <name val="Verdana"/>
    </font>
    <font>
      <b/>
      <sz val="13"/>
      <color theme="1"/>
      <name val="Verdana"/>
    </font>
    <font>
      <sz val="13"/>
      <color theme="1"/>
      <name val="Verdana"/>
    </font>
    <font>
      <sz val="13"/>
      <color rgb="FF000000"/>
      <name val="Verdana"/>
    </font>
    <font>
      <b/>
      <sz val="13"/>
      <color rgb="FF000000"/>
      <name val="Verdana"/>
    </font>
    <font>
      <b/>
      <u/>
      <sz val="10"/>
      <color rgb="FF000000"/>
      <name val="Calibri"/>
    </font>
    <font>
      <b/>
      <u/>
      <sz val="10"/>
      <color theme="1"/>
      <name val="Calibri"/>
    </font>
    <font>
      <u/>
      <sz val="10"/>
      <color theme="1"/>
      <name val="Calibri"/>
    </font>
    <font>
      <u/>
      <sz val="10"/>
      <color rgb="FF000000"/>
      <name val="Calibri"/>
    </font>
    <font>
      <sz val="10"/>
      <color rgb="FFFF0000"/>
      <name val="Calibri"/>
    </font>
    <font>
      <sz val="8"/>
      <color rgb="FF001F5F"/>
      <name val="Verdana"/>
    </font>
    <font>
      <b/>
      <i/>
      <sz val="10"/>
      <color rgb="FF000000"/>
      <name val="Verdana"/>
    </font>
    <font>
      <u/>
      <sz val="10"/>
      <color rgb="FF000000"/>
      <name val="Verdana"/>
    </font>
    <font>
      <b/>
      <u/>
      <sz val="10"/>
      <color theme="1"/>
      <name val="Verdana"/>
    </font>
    <font>
      <b/>
      <u/>
      <sz val="6"/>
      <name val="Verdana"/>
    </font>
    <font>
      <b/>
      <i/>
      <sz val="8"/>
      <color rgb="FF000000"/>
      <name val="Verdana"/>
    </font>
    <font>
      <sz val="7"/>
      <color rgb="FF000000"/>
      <name val="Cambria Math"/>
    </font>
    <font>
      <sz val="7"/>
      <color rgb="FFFF0000"/>
      <name val="Verdana"/>
    </font>
    <font>
      <b/>
      <i/>
      <sz val="13"/>
      <color rgb="FF000000"/>
      <name val="Verdana"/>
    </font>
    <font>
      <b/>
      <sz val="9"/>
      <color rgb="FFFFFFFF"/>
      <name val="Verdana"/>
    </font>
  </fonts>
  <fills count="10">
    <fill>
      <patternFill patternType="none"/>
    </fill>
    <fill>
      <patternFill patternType="gray125"/>
    </fill>
    <fill>
      <patternFill patternType="solid">
        <fgColor rgb="FFD9D9D9"/>
        <bgColor rgb="FFD9D9D9"/>
      </patternFill>
    </fill>
    <fill>
      <patternFill patternType="solid">
        <fgColor rgb="FFFFC000"/>
        <bgColor rgb="FFFFC000"/>
      </patternFill>
    </fill>
    <fill>
      <patternFill patternType="solid">
        <fgColor rgb="FFFFFF00"/>
        <bgColor rgb="FFFFFF00"/>
      </patternFill>
    </fill>
    <fill>
      <patternFill patternType="solid">
        <fgColor rgb="FFBCD5ED"/>
        <bgColor rgb="FFBCD5ED"/>
      </patternFill>
    </fill>
    <fill>
      <patternFill patternType="solid">
        <fgColor rgb="FFD9E0F1"/>
        <bgColor rgb="FFD9E0F1"/>
      </patternFill>
    </fill>
    <fill>
      <patternFill patternType="solid">
        <fgColor rgb="FFFFE699"/>
        <bgColor rgb="FFFFE699"/>
      </patternFill>
    </fill>
    <fill>
      <patternFill patternType="solid">
        <fgColor rgb="FFBEBEBE"/>
        <bgColor rgb="FFBEBEBE"/>
      </patternFill>
    </fill>
    <fill>
      <patternFill patternType="solid">
        <fgColor rgb="FF001F5F"/>
        <bgColor rgb="FF001F5F"/>
      </patternFill>
    </fill>
  </fills>
  <borders count="14">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s>
  <cellStyleXfs count="1">
    <xf numFmtId="0" fontId="0" fillId="0" borderId="0"/>
  </cellStyleXfs>
  <cellXfs count="282">
    <xf numFmtId="0" fontId="0" fillId="0" borderId="0" xfId="0" applyAlignment="1">
      <alignment horizontal="left" vertical="top"/>
    </xf>
    <xf numFmtId="0" fontId="1" fillId="0" borderId="0" xfId="0" applyFont="1" applyAlignment="1">
      <alignment horizontal="left" vertical="top" wrapText="1"/>
    </xf>
    <xf numFmtId="0" fontId="3" fillId="0" borderId="6" xfId="0" applyFont="1" applyBorder="1" applyAlignment="1">
      <alignment horizontal="left" vertical="top"/>
    </xf>
    <xf numFmtId="0" fontId="2" fillId="2" borderId="7" xfId="0" applyFont="1" applyFill="1" applyBorder="1" applyAlignment="1">
      <alignment horizontal="center" vertical="top" wrapText="1"/>
    </xf>
    <xf numFmtId="0" fontId="2" fillId="2" borderId="7" xfId="0" applyFont="1" applyFill="1" applyBorder="1" applyAlignment="1">
      <alignment horizontal="left" vertical="top" wrapText="1"/>
    </xf>
    <xf numFmtId="0" fontId="4" fillId="0" borderId="7" xfId="0" applyFont="1" applyBorder="1" applyAlignment="1">
      <alignment horizontal="center" vertical="top" wrapText="1"/>
    </xf>
    <xf numFmtId="0" fontId="4" fillId="0" borderId="7" xfId="0" applyFont="1" applyBorder="1" applyAlignment="1">
      <alignment horizontal="left" vertical="top" wrapText="1"/>
    </xf>
    <xf numFmtId="4" fontId="5" fillId="0" borderId="7" xfId="0" applyNumberFormat="1" applyFont="1" applyBorder="1" applyAlignment="1">
      <alignment horizontal="right" vertical="top" shrinkToFit="1"/>
    </xf>
    <xf numFmtId="0" fontId="4" fillId="0" borderId="7" xfId="0" applyFont="1" applyBorder="1" applyAlignment="1">
      <alignment horizontal="right" vertical="top" wrapText="1"/>
    </xf>
    <xf numFmtId="0" fontId="6" fillId="0" borderId="7" xfId="0" applyFont="1" applyBorder="1" applyAlignment="1">
      <alignment horizontal="left" vertical="top" wrapText="1"/>
    </xf>
    <xf numFmtId="0" fontId="6" fillId="0" borderId="7" xfId="0" applyFont="1" applyBorder="1" applyAlignment="1">
      <alignment horizontal="left" vertical="center" wrapText="1"/>
    </xf>
    <xf numFmtId="0" fontId="6" fillId="0" borderId="7" xfId="0" applyFont="1" applyBorder="1" applyAlignment="1">
      <alignment horizontal="left" wrapText="1"/>
    </xf>
    <xf numFmtId="0" fontId="2" fillId="0" borderId="7" xfId="0" applyFont="1" applyBorder="1" applyAlignment="1">
      <alignment horizontal="left" vertical="top" wrapText="1"/>
    </xf>
    <xf numFmtId="4" fontId="7" fillId="0" borderId="7" xfId="0" applyNumberFormat="1" applyFont="1" applyBorder="1" applyAlignment="1">
      <alignment horizontal="right" vertical="top" shrinkToFit="1"/>
    </xf>
    <xf numFmtId="0" fontId="2" fillId="4" borderId="7" xfId="0" applyFont="1" applyFill="1" applyBorder="1" applyAlignment="1">
      <alignment horizontal="left" vertical="top" wrapText="1"/>
    </xf>
    <xf numFmtId="0" fontId="9" fillId="0" borderId="0" xfId="0" applyFont="1" applyAlignment="1">
      <alignment horizontal="left" vertical="center" wrapText="1"/>
    </xf>
    <xf numFmtId="0" fontId="8" fillId="2" borderId="7" xfId="0" applyFont="1" applyFill="1" applyBorder="1" applyAlignment="1">
      <alignment horizontal="center" vertical="center" wrapText="1"/>
    </xf>
    <xf numFmtId="0" fontId="10" fillId="0" borderId="7" xfId="0" applyFont="1" applyBorder="1" applyAlignment="1">
      <alignment horizontal="left" vertical="center" wrapText="1"/>
    </xf>
    <xf numFmtId="0" fontId="10" fillId="0" borderId="7" xfId="0" applyFont="1" applyBorder="1" applyAlignment="1">
      <alignment horizontal="center" vertical="center" wrapText="1"/>
    </xf>
    <xf numFmtId="3" fontId="10" fillId="0" borderId="7" xfId="0" applyNumberFormat="1" applyFont="1" applyBorder="1" applyAlignment="1">
      <alignment horizontal="center" vertical="center" wrapText="1"/>
    </xf>
    <xf numFmtId="0" fontId="8" fillId="5" borderId="7" xfId="0" applyFont="1" applyFill="1" applyBorder="1" applyAlignment="1">
      <alignment horizontal="center" vertical="center" wrapText="1"/>
    </xf>
    <xf numFmtId="0" fontId="8" fillId="5" borderId="7"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0" fillId="5" borderId="7" xfId="0" applyFont="1" applyFill="1" applyBorder="1" applyAlignment="1">
      <alignment horizontal="center" vertical="center" wrapText="1"/>
    </xf>
    <xf numFmtId="1" fontId="10" fillId="0" borderId="7" xfId="0" applyNumberFormat="1" applyFont="1" applyBorder="1" applyAlignment="1">
      <alignment horizontal="center" vertical="center" wrapText="1"/>
    </xf>
    <xf numFmtId="164" fontId="10" fillId="0" borderId="7" xfId="0" applyNumberFormat="1" applyFont="1" applyBorder="1" applyAlignment="1">
      <alignment horizontal="center" vertical="center" wrapText="1"/>
    </xf>
    <xf numFmtId="0" fontId="9" fillId="0" borderId="7" xfId="0" applyFont="1" applyBorder="1" applyAlignment="1">
      <alignment horizontal="center" vertical="center" wrapText="1"/>
    </xf>
    <xf numFmtId="0" fontId="9" fillId="0" borderId="7" xfId="0" applyFont="1" applyBorder="1" applyAlignment="1">
      <alignment horizontal="left" vertical="center" wrapText="1"/>
    </xf>
    <xf numFmtId="4" fontId="10" fillId="0" borderId="7" xfId="0" applyNumberFormat="1" applyFont="1" applyBorder="1" applyAlignment="1">
      <alignment horizontal="center" vertical="center" wrapText="1"/>
    </xf>
    <xf numFmtId="2" fontId="10" fillId="0" borderId="7" xfId="0" applyNumberFormat="1" applyFont="1" applyBorder="1" applyAlignment="1">
      <alignment horizontal="center" vertical="center" wrapText="1"/>
    </xf>
    <xf numFmtId="164" fontId="10" fillId="4" borderId="7" xfId="0" applyNumberFormat="1"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7" xfId="0" applyFont="1" applyFill="1" applyBorder="1" applyAlignment="1">
      <alignment horizontal="left" vertical="center" wrapText="1"/>
    </xf>
    <xf numFmtId="1" fontId="10"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0" fontId="8" fillId="0" borderId="7" xfId="0" applyFont="1" applyBorder="1" applyAlignment="1">
      <alignment horizontal="left" vertical="center" wrapText="1"/>
    </xf>
    <xf numFmtId="164" fontId="11" fillId="0" borderId="7" xfId="0" applyNumberFormat="1" applyFont="1" applyBorder="1" applyAlignment="1">
      <alignment horizontal="center" vertical="center" wrapText="1"/>
    </xf>
    <xf numFmtId="1" fontId="11" fillId="0" borderId="7" xfId="0" applyNumberFormat="1" applyFont="1" applyBorder="1" applyAlignment="1">
      <alignment horizontal="center" vertical="center" wrapText="1"/>
    </xf>
    <xf numFmtId="165" fontId="10" fillId="0" borderId="7" xfId="0" applyNumberFormat="1" applyFont="1" applyBorder="1" applyAlignment="1">
      <alignment horizontal="center" vertical="center" wrapText="1"/>
    </xf>
    <xf numFmtId="0" fontId="8" fillId="0" borderId="7" xfId="0" applyFont="1" applyBorder="1" applyAlignment="1">
      <alignment horizontal="center" vertical="center" wrapText="1"/>
    </xf>
    <xf numFmtId="0" fontId="8" fillId="6" borderId="7" xfId="0" applyFont="1" applyFill="1" applyBorder="1" applyAlignment="1">
      <alignment horizontal="left" vertical="center" wrapText="1"/>
    </xf>
    <xf numFmtId="0" fontId="10" fillId="6" borderId="7" xfId="0" applyFont="1" applyFill="1" applyBorder="1" applyAlignment="1">
      <alignment horizontal="left" vertical="center" wrapText="1"/>
    </xf>
    <xf numFmtId="164" fontId="11" fillId="4" borderId="7" xfId="0" applyNumberFormat="1" applyFont="1" applyFill="1" applyBorder="1" applyAlignment="1">
      <alignment horizontal="center" vertical="center" wrapText="1"/>
    </xf>
    <xf numFmtId="166" fontId="11" fillId="0" borderId="7" xfId="0" applyNumberFormat="1" applyFont="1" applyBorder="1" applyAlignment="1">
      <alignment horizontal="center" vertical="center" wrapText="1"/>
    </xf>
    <xf numFmtId="0" fontId="10" fillId="0" borderId="2" xfId="0" applyFont="1" applyBorder="1" applyAlignment="1">
      <alignment horizontal="left" vertical="center" wrapText="1"/>
    </xf>
    <xf numFmtId="0" fontId="8" fillId="4" borderId="7" xfId="0" applyFont="1" applyFill="1" applyBorder="1" applyAlignment="1">
      <alignment horizontal="left" vertical="center" wrapText="1"/>
    </xf>
    <xf numFmtId="0" fontId="8" fillId="2" borderId="7" xfId="0" applyFont="1" applyFill="1" applyBorder="1" applyAlignment="1">
      <alignment horizontal="left" vertical="center" wrapText="1"/>
    </xf>
    <xf numFmtId="1" fontId="10" fillId="0" borderId="7" xfId="0" applyNumberFormat="1" applyFont="1" applyBorder="1" applyAlignment="1">
      <alignment horizontal="left" vertical="center" wrapText="1"/>
    </xf>
    <xf numFmtId="4" fontId="10" fillId="0" borderId="7" xfId="0" applyNumberFormat="1" applyFont="1" applyBorder="1" applyAlignment="1">
      <alignment horizontal="left" vertical="center" wrapText="1"/>
    </xf>
    <xf numFmtId="4" fontId="10" fillId="0" borderId="7" xfId="0" applyNumberFormat="1" applyFont="1" applyBorder="1" applyAlignment="1">
      <alignment horizontal="right" vertical="center" wrapText="1"/>
    </xf>
    <xf numFmtId="0" fontId="9" fillId="0" borderId="2" xfId="0" applyFont="1" applyBorder="1" applyAlignment="1">
      <alignment horizontal="left" vertical="center" wrapText="1"/>
    </xf>
    <xf numFmtId="4" fontId="11" fillId="5" borderId="7" xfId="0" applyNumberFormat="1" applyFont="1" applyFill="1" applyBorder="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left" vertical="center"/>
    </xf>
    <xf numFmtId="1" fontId="10" fillId="0" borderId="7" xfId="0" applyNumberFormat="1" applyFont="1" applyBorder="1" applyAlignment="1">
      <alignment horizontal="center" vertical="center" shrinkToFit="1"/>
    </xf>
    <xf numFmtId="3" fontId="10" fillId="0" borderId="7" xfId="0" applyNumberFormat="1" applyFont="1" applyBorder="1" applyAlignment="1">
      <alignment horizontal="right" vertical="center" shrinkToFit="1"/>
    </xf>
    <xf numFmtId="0" fontId="9" fillId="0" borderId="7" xfId="0" applyFont="1" applyBorder="1" applyAlignment="1">
      <alignment horizontal="right" vertical="center" wrapText="1"/>
    </xf>
    <xf numFmtId="3" fontId="10" fillId="0" borderId="7" xfId="0" applyNumberFormat="1" applyFont="1" applyBorder="1" applyAlignment="1">
      <alignment horizontal="center" vertical="center" shrinkToFit="1"/>
    </xf>
    <xf numFmtId="164" fontId="10" fillId="0" borderId="7" xfId="0" applyNumberFormat="1" applyFont="1" applyBorder="1" applyAlignment="1">
      <alignment horizontal="center" vertical="center" shrinkToFit="1"/>
    </xf>
    <xf numFmtId="2" fontId="10" fillId="0" borderId="7" xfId="0" applyNumberFormat="1" applyFont="1" applyBorder="1" applyAlignment="1">
      <alignment horizontal="right" vertical="center" shrinkToFit="1"/>
    </xf>
    <xf numFmtId="1" fontId="10" fillId="0" borderId="7" xfId="0" applyNumberFormat="1" applyFont="1" applyBorder="1" applyAlignment="1">
      <alignment horizontal="right" vertical="center" shrinkToFit="1"/>
    </xf>
    <xf numFmtId="2" fontId="10" fillId="0" borderId="7" xfId="0" applyNumberFormat="1" applyFont="1" applyBorder="1" applyAlignment="1">
      <alignment horizontal="center" vertical="center" shrinkToFit="1"/>
    </xf>
    <xf numFmtId="3" fontId="11" fillId="5" borderId="7" xfId="0" applyNumberFormat="1" applyFont="1" applyFill="1" applyBorder="1" applyAlignment="1">
      <alignment horizontal="right" vertical="center" shrinkToFit="1"/>
    </xf>
    <xf numFmtId="2" fontId="10" fillId="0" borderId="7" xfId="0" applyNumberFormat="1" applyFont="1" applyBorder="1" applyAlignment="1">
      <alignment horizontal="left" vertical="center" shrinkToFit="1"/>
    </xf>
    <xf numFmtId="0" fontId="12" fillId="2" borderId="7" xfId="0" applyFont="1" applyFill="1" applyBorder="1" applyAlignment="1">
      <alignment horizontal="left" vertical="top" wrapText="1"/>
    </xf>
    <xf numFmtId="0" fontId="12" fillId="2" borderId="7" xfId="0" applyFont="1" applyFill="1" applyBorder="1" applyAlignment="1">
      <alignment horizontal="center" vertical="top" wrapText="1"/>
    </xf>
    <xf numFmtId="0" fontId="12" fillId="7" borderId="7" xfId="0" applyFont="1" applyFill="1" applyBorder="1" applyAlignment="1">
      <alignment horizontal="left" vertical="top" wrapText="1"/>
    </xf>
    <xf numFmtId="0" fontId="6" fillId="7" borderId="7" xfId="0" applyFont="1" applyFill="1" applyBorder="1" applyAlignment="1">
      <alignment horizontal="left" vertical="center" wrapText="1"/>
    </xf>
    <xf numFmtId="1" fontId="13" fillId="0" borderId="7" xfId="0" applyNumberFormat="1" applyFont="1" applyBorder="1" applyAlignment="1">
      <alignment horizontal="center" vertical="top" shrinkToFit="1"/>
    </xf>
    <xf numFmtId="164" fontId="13" fillId="0" borderId="7" xfId="0" applyNumberFormat="1" applyFont="1" applyBorder="1" applyAlignment="1">
      <alignment horizontal="center" vertical="top" shrinkToFit="1"/>
    </xf>
    <xf numFmtId="0" fontId="14" fillId="0" borderId="7" xfId="0" applyFont="1" applyBorder="1" applyAlignment="1">
      <alignment horizontal="left" vertical="top" wrapText="1"/>
    </xf>
    <xf numFmtId="165" fontId="13" fillId="0" borderId="7" xfId="0" applyNumberFormat="1" applyFont="1" applyBorder="1" applyAlignment="1">
      <alignment horizontal="center" vertical="top" shrinkToFit="1"/>
    </xf>
    <xf numFmtId="0" fontId="14" fillId="0" borderId="7" xfId="0" applyFont="1" applyBorder="1" applyAlignment="1">
      <alignment horizontal="center" vertical="top" wrapText="1"/>
    </xf>
    <xf numFmtId="3" fontId="13" fillId="0" borderId="7" xfId="0" applyNumberFormat="1" applyFont="1" applyBorder="1" applyAlignment="1">
      <alignment horizontal="center" vertical="top" shrinkToFit="1"/>
    </xf>
    <xf numFmtId="2" fontId="13" fillId="0" borderId="7" xfId="0" applyNumberFormat="1" applyFont="1" applyBorder="1" applyAlignment="1">
      <alignment horizontal="right" vertical="top" shrinkToFit="1"/>
    </xf>
    <xf numFmtId="4" fontId="13" fillId="0" borderId="7" xfId="0" applyNumberFormat="1" applyFont="1" applyBorder="1" applyAlignment="1">
      <alignment horizontal="right" vertical="top" shrinkToFit="1"/>
    </xf>
    <xf numFmtId="2" fontId="13" fillId="0" borderId="7" xfId="0" applyNumberFormat="1" applyFont="1" applyBorder="1" applyAlignment="1">
      <alignment horizontal="center" vertical="top" shrinkToFit="1"/>
    </xf>
    <xf numFmtId="0" fontId="14" fillId="0" borderId="7" xfId="0" applyFont="1" applyBorder="1" applyAlignment="1">
      <alignment horizontal="center" wrapText="1"/>
    </xf>
    <xf numFmtId="1" fontId="13" fillId="0" borderId="7" xfId="0" applyNumberFormat="1" applyFont="1" applyBorder="1" applyAlignment="1">
      <alignment horizontal="center" shrinkToFit="1"/>
    </xf>
    <xf numFmtId="4" fontId="13" fillId="0" borderId="7" xfId="0" applyNumberFormat="1" applyFont="1" applyBorder="1" applyAlignment="1">
      <alignment horizontal="right" shrinkToFit="1"/>
    </xf>
    <xf numFmtId="4" fontId="15" fillId="7" borderId="7" xfId="0" applyNumberFormat="1" applyFont="1" applyFill="1" applyBorder="1" applyAlignment="1">
      <alignment horizontal="left" vertical="top" shrinkToFit="1"/>
    </xf>
    <xf numFmtId="2" fontId="13" fillId="0" borderId="7" xfId="0" applyNumberFormat="1" applyFont="1" applyBorder="1" applyAlignment="1">
      <alignment horizontal="right" shrinkToFit="1"/>
    </xf>
    <xf numFmtId="0" fontId="14" fillId="0" borderId="7" xfId="0" applyFont="1" applyBorder="1" applyAlignment="1">
      <alignment horizontal="center" vertical="center" wrapText="1"/>
    </xf>
    <xf numFmtId="1" fontId="13" fillId="0" borderId="7" xfId="0" applyNumberFormat="1" applyFont="1" applyBorder="1" applyAlignment="1">
      <alignment horizontal="center" vertical="center" shrinkToFit="1"/>
    </xf>
    <xf numFmtId="4" fontId="13" fillId="0" borderId="7" xfId="0" applyNumberFormat="1" applyFont="1" applyBorder="1" applyAlignment="1">
      <alignment horizontal="right" vertical="center" shrinkToFit="1"/>
    </xf>
    <xf numFmtId="0" fontId="12" fillId="7" borderId="7" xfId="0" applyFont="1" applyFill="1" applyBorder="1" applyAlignment="1">
      <alignment horizontal="right" vertical="top" wrapText="1"/>
    </xf>
    <xf numFmtId="4" fontId="15" fillId="7" borderId="7" xfId="0" applyNumberFormat="1" applyFont="1" applyFill="1" applyBorder="1" applyAlignment="1">
      <alignment horizontal="right" vertical="top" shrinkToFit="1"/>
    </xf>
    <xf numFmtId="1" fontId="15" fillId="0" borderId="7" xfId="0" applyNumberFormat="1" applyFont="1" applyBorder="1" applyAlignment="1">
      <alignment horizontal="center" vertical="top" shrinkToFit="1"/>
    </xf>
    <xf numFmtId="0" fontId="12" fillId="0" borderId="7" xfId="0" applyFont="1" applyBorder="1" applyAlignment="1">
      <alignment horizontal="left" vertical="top" wrapText="1"/>
    </xf>
    <xf numFmtId="4" fontId="13" fillId="0" borderId="7" xfId="0" applyNumberFormat="1" applyFont="1" applyBorder="1" applyAlignment="1">
      <alignment horizontal="left" vertical="center" shrinkToFit="1"/>
    </xf>
    <xf numFmtId="4" fontId="13" fillId="0" borderId="7" xfId="0" applyNumberFormat="1" applyFont="1" applyBorder="1" applyAlignment="1">
      <alignment horizontal="left" vertical="top" shrinkToFit="1"/>
    </xf>
    <xf numFmtId="0" fontId="6" fillId="0" borderId="3" xfId="0" applyFont="1" applyBorder="1" applyAlignment="1">
      <alignment horizontal="left" wrapText="1"/>
    </xf>
    <xf numFmtId="4" fontId="6" fillId="0" borderId="7" xfId="0" applyNumberFormat="1" applyFont="1" applyBorder="1" applyAlignment="1">
      <alignment horizontal="left" vertical="center" wrapText="1"/>
    </xf>
    <xf numFmtId="0" fontId="16" fillId="2" borderId="7" xfId="0" applyFont="1" applyFill="1" applyBorder="1" applyAlignment="1">
      <alignment horizontal="center" vertical="top" wrapText="1"/>
    </xf>
    <xf numFmtId="0" fontId="16" fillId="2" borderId="7" xfId="0" applyFont="1" applyFill="1" applyBorder="1" applyAlignment="1">
      <alignment horizontal="left" vertical="top" wrapText="1"/>
    </xf>
    <xf numFmtId="0" fontId="17" fillId="0" borderId="7" xfId="0" applyFont="1" applyBorder="1" applyAlignment="1">
      <alignment horizontal="center" vertical="top" wrapText="1"/>
    </xf>
    <xf numFmtId="0" fontId="17" fillId="0" borderId="7" xfId="0" applyFont="1" applyBorder="1" applyAlignment="1">
      <alignment horizontal="left" vertical="top" wrapText="1"/>
    </xf>
    <xf numFmtId="4" fontId="18" fillId="0" borderId="7" xfId="0" applyNumberFormat="1" applyFont="1" applyBorder="1" applyAlignment="1">
      <alignment horizontal="right" vertical="top" shrinkToFit="1"/>
    </xf>
    <xf numFmtId="0" fontId="17" fillId="0" borderId="7" xfId="0" applyFont="1" applyBorder="1" applyAlignment="1">
      <alignment horizontal="right" vertical="top" wrapText="1"/>
    </xf>
    <xf numFmtId="0" fontId="16" fillId="0" borderId="7" xfId="0" applyFont="1" applyBorder="1" applyAlignment="1">
      <alignment horizontal="right" vertical="top" wrapText="1"/>
    </xf>
    <xf numFmtId="3" fontId="19" fillId="0" borderId="7" xfId="0" applyNumberFormat="1" applyFont="1" applyBorder="1" applyAlignment="1">
      <alignment horizontal="right" vertical="top" shrinkToFit="1"/>
    </xf>
    <xf numFmtId="3" fontId="18" fillId="0" borderId="7" xfId="0" applyNumberFormat="1" applyFont="1" applyBorder="1" applyAlignment="1">
      <alignment horizontal="right" vertical="top" shrinkToFit="1"/>
    </xf>
    <xf numFmtId="0" fontId="21" fillId="0" borderId="0" xfId="0" applyFont="1" applyAlignment="1">
      <alignment horizontal="left" vertical="top" wrapText="1"/>
    </xf>
    <xf numFmtId="3" fontId="16" fillId="2" borderId="7" xfId="0" applyNumberFormat="1" applyFont="1" applyFill="1" applyBorder="1" applyAlignment="1">
      <alignment horizontal="center" vertical="top" wrapText="1"/>
    </xf>
    <xf numFmtId="3" fontId="16" fillId="2" borderId="7" xfId="0" applyNumberFormat="1" applyFont="1" applyFill="1" applyBorder="1" applyAlignment="1">
      <alignment horizontal="left" vertical="top" wrapText="1"/>
    </xf>
    <xf numFmtId="0" fontId="16" fillId="0" borderId="7" xfId="0" applyFont="1" applyBorder="1" applyAlignment="1">
      <alignment horizontal="left" vertical="top" wrapText="1"/>
    </xf>
    <xf numFmtId="1" fontId="18" fillId="0" borderId="7" xfId="0" applyNumberFormat="1" applyFont="1" applyBorder="1" applyAlignment="1">
      <alignment horizontal="center" vertical="top" wrapText="1"/>
    </xf>
    <xf numFmtId="164" fontId="18" fillId="0" borderId="7" xfId="0" applyNumberFormat="1" applyFont="1" applyBorder="1" applyAlignment="1">
      <alignment horizontal="center" vertical="center" wrapText="1"/>
    </xf>
    <xf numFmtId="0" fontId="6" fillId="0" borderId="3" xfId="0" applyFont="1" applyBorder="1" applyAlignment="1">
      <alignment horizontal="left" vertical="top" wrapText="1"/>
    </xf>
    <xf numFmtId="164" fontId="18" fillId="0" borderId="7" xfId="0" applyNumberFormat="1" applyFont="1" applyBorder="1" applyAlignment="1">
      <alignment horizontal="center" vertical="top" wrapText="1"/>
    </xf>
    <xf numFmtId="165" fontId="18" fillId="0" borderId="7" xfId="0" applyNumberFormat="1" applyFont="1" applyBorder="1" applyAlignment="1">
      <alignment horizontal="center" vertical="top" wrapText="1"/>
    </xf>
    <xf numFmtId="1" fontId="18" fillId="0" borderId="7" xfId="0" applyNumberFormat="1" applyFont="1" applyBorder="1" applyAlignment="1">
      <alignment horizontal="center" vertical="center" wrapText="1"/>
    </xf>
    <xf numFmtId="4" fontId="18" fillId="0" borderId="7" xfId="0" applyNumberFormat="1" applyFont="1" applyBorder="1" applyAlignment="1">
      <alignment horizontal="right" vertical="top" wrapText="1"/>
    </xf>
    <xf numFmtId="3" fontId="18" fillId="0" borderId="7" xfId="0" applyNumberFormat="1" applyFont="1" applyBorder="1" applyAlignment="1">
      <alignment horizontal="right" vertical="top" wrapText="1"/>
    </xf>
    <xf numFmtId="168" fontId="18" fillId="0" borderId="7" xfId="0" applyNumberFormat="1" applyFont="1" applyBorder="1" applyAlignment="1">
      <alignment horizontal="center" vertical="top" wrapText="1"/>
    </xf>
    <xf numFmtId="0" fontId="17" fillId="0" borderId="7" xfId="0" applyFont="1" applyBorder="1" applyAlignment="1">
      <alignment horizontal="center" vertical="center" wrapText="1"/>
    </xf>
    <xf numFmtId="165" fontId="18" fillId="0" borderId="7" xfId="0" applyNumberFormat="1" applyFont="1" applyBorder="1" applyAlignment="1">
      <alignment horizontal="center" vertical="center" wrapText="1"/>
    </xf>
    <xf numFmtId="0" fontId="6" fillId="0" borderId="3" xfId="0" applyFont="1" applyBorder="1" applyAlignment="1">
      <alignment horizontal="left" vertical="center" wrapText="1"/>
    </xf>
    <xf numFmtId="2" fontId="18" fillId="0" borderId="7" xfId="0" applyNumberFormat="1" applyFont="1" applyBorder="1" applyAlignment="1">
      <alignment horizontal="center" vertical="center" wrapText="1"/>
    </xf>
    <xf numFmtId="169" fontId="18" fillId="0" borderId="7" xfId="0" applyNumberFormat="1" applyFont="1" applyBorder="1" applyAlignment="1">
      <alignment horizontal="center" vertical="center" wrapText="1"/>
    </xf>
    <xf numFmtId="0" fontId="16" fillId="0" borderId="7" xfId="0" applyFont="1" applyBorder="1" applyAlignment="1">
      <alignment horizontal="center" vertical="center" wrapText="1"/>
    </xf>
    <xf numFmtId="0" fontId="6" fillId="4" borderId="7" xfId="0" applyFont="1" applyFill="1" applyBorder="1" applyAlignment="1">
      <alignment horizontal="left" wrapText="1"/>
    </xf>
    <xf numFmtId="0" fontId="16" fillId="4" borderId="7" xfId="0" applyFont="1" applyFill="1" applyBorder="1" applyAlignment="1">
      <alignment horizontal="left" vertical="top" wrapText="1"/>
    </xf>
    <xf numFmtId="4" fontId="19" fillId="4" borderId="7" xfId="0" applyNumberFormat="1" applyFont="1" applyFill="1" applyBorder="1" applyAlignment="1">
      <alignment horizontal="right" vertical="top" wrapText="1"/>
    </xf>
    <xf numFmtId="4" fontId="19" fillId="4" borderId="8" xfId="0" applyNumberFormat="1" applyFont="1" applyFill="1" applyBorder="1" applyAlignment="1">
      <alignment horizontal="right" vertical="top" wrapText="1"/>
    </xf>
    <xf numFmtId="2" fontId="18" fillId="0" borderId="7" xfId="0" applyNumberFormat="1" applyFont="1" applyBorder="1" applyAlignment="1">
      <alignment horizontal="center" vertical="top" wrapText="1"/>
    </xf>
    <xf numFmtId="0" fontId="20" fillId="0" borderId="7" xfId="0" applyFont="1" applyBorder="1" applyAlignment="1">
      <alignment horizontal="left" vertical="top" wrapText="1"/>
    </xf>
    <xf numFmtId="0" fontId="17" fillId="0" borderId="7" xfId="0" applyFont="1" applyBorder="1" applyAlignment="1">
      <alignment horizontal="left" vertical="center" wrapText="1"/>
    </xf>
    <xf numFmtId="2" fontId="19" fillId="0" borderId="7" xfId="0" applyNumberFormat="1" applyFont="1" applyBorder="1" applyAlignment="1">
      <alignment horizontal="center" vertical="top" wrapText="1"/>
    </xf>
    <xf numFmtId="164" fontId="19" fillId="0" borderId="7" xfId="0" applyNumberFormat="1" applyFont="1" applyBorder="1" applyAlignment="1">
      <alignment horizontal="center" vertical="top" wrapText="1"/>
    </xf>
    <xf numFmtId="1" fontId="19" fillId="0" borderId="7" xfId="0" applyNumberFormat="1" applyFont="1" applyBorder="1" applyAlignment="1">
      <alignment horizontal="center" vertical="top" wrapText="1"/>
    </xf>
    <xf numFmtId="0" fontId="16" fillId="0" borderId="7" xfId="0" applyFont="1" applyBorder="1" applyAlignment="1">
      <alignment horizontal="center" vertical="top" wrapText="1"/>
    </xf>
    <xf numFmtId="2" fontId="19" fillId="0" borderId="7" xfId="0" applyNumberFormat="1" applyFont="1" applyBorder="1" applyAlignment="1">
      <alignment horizontal="center" vertical="center" wrapText="1"/>
    </xf>
    <xf numFmtId="4" fontId="19" fillId="4" borderId="7" xfId="0" applyNumberFormat="1" applyFont="1" applyFill="1" applyBorder="1" applyAlignment="1">
      <alignment horizontal="left" vertical="top" wrapText="1"/>
    </xf>
    <xf numFmtId="164" fontId="18" fillId="0" borderId="7" xfId="0" applyNumberFormat="1" applyFont="1" applyBorder="1" applyAlignment="1">
      <alignment horizontal="left" vertical="top" wrapText="1"/>
    </xf>
    <xf numFmtId="170" fontId="18" fillId="0" borderId="7" xfId="0" applyNumberFormat="1" applyFont="1" applyBorder="1" applyAlignment="1">
      <alignment horizontal="center" vertical="top" wrapText="1"/>
    </xf>
    <xf numFmtId="4" fontId="18" fillId="4" borderId="7" xfId="0" applyNumberFormat="1" applyFont="1" applyFill="1" applyBorder="1" applyAlignment="1">
      <alignment horizontal="right" vertical="top" wrapText="1"/>
    </xf>
    <xf numFmtId="164" fontId="19" fillId="0" borderId="7" xfId="0" applyNumberFormat="1" applyFont="1" applyBorder="1" applyAlignment="1">
      <alignment horizontal="center" vertical="center" wrapText="1"/>
    </xf>
    <xf numFmtId="0" fontId="6" fillId="0" borderId="7" xfId="0" applyFont="1" applyBorder="1" applyAlignment="1">
      <alignment horizontal="center" vertical="top" wrapText="1"/>
    </xf>
    <xf numFmtId="0" fontId="6" fillId="4" borderId="8" xfId="0" applyFont="1" applyFill="1" applyBorder="1" applyAlignment="1">
      <alignment horizontal="left" wrapText="1"/>
    </xf>
    <xf numFmtId="169" fontId="18" fillId="0" borderId="7" xfId="0" applyNumberFormat="1" applyFont="1" applyBorder="1" applyAlignment="1">
      <alignment horizontal="center" vertical="top" wrapText="1"/>
    </xf>
    <xf numFmtId="171" fontId="18" fillId="0" borderId="7" xfId="0" applyNumberFormat="1" applyFont="1" applyBorder="1" applyAlignment="1">
      <alignment horizontal="center" vertical="top" wrapText="1"/>
    </xf>
    <xf numFmtId="4" fontId="19" fillId="0" borderId="7" xfId="0" applyNumberFormat="1" applyFont="1" applyBorder="1" applyAlignment="1">
      <alignment horizontal="right" vertical="top" wrapText="1"/>
    </xf>
    <xf numFmtId="4" fontId="19" fillId="0" borderId="3" xfId="0" applyNumberFormat="1" applyFont="1" applyBorder="1" applyAlignment="1">
      <alignment horizontal="left" vertical="top" wrapText="1"/>
    </xf>
    <xf numFmtId="0" fontId="9" fillId="0" borderId="0" xfId="0" applyFont="1" applyAlignment="1">
      <alignment horizontal="left" vertical="top" wrapText="1"/>
    </xf>
    <xf numFmtId="0" fontId="9" fillId="0" borderId="7" xfId="0" applyFont="1" applyBorder="1" applyAlignment="1">
      <alignment horizontal="center" vertical="top" wrapText="1"/>
    </xf>
    <xf numFmtId="0" fontId="10" fillId="0" borderId="7" xfId="0" applyFont="1" applyBorder="1" applyAlignment="1">
      <alignment horizontal="left" wrapText="1"/>
    </xf>
    <xf numFmtId="0" fontId="8" fillId="0" borderId="7" xfId="0" applyFont="1" applyBorder="1" applyAlignment="1">
      <alignment horizontal="left" vertical="top" wrapText="1"/>
    </xf>
    <xf numFmtId="1" fontId="10" fillId="0" borderId="7" xfId="0" applyNumberFormat="1" applyFont="1" applyBorder="1" applyAlignment="1">
      <alignment horizontal="center" vertical="top" wrapText="1"/>
    </xf>
    <xf numFmtId="0" fontId="10" fillId="0" borderId="7" xfId="0" applyFont="1" applyBorder="1" applyAlignment="1">
      <alignment horizontal="left" vertical="top" wrapText="1"/>
    </xf>
    <xf numFmtId="172" fontId="10" fillId="0" borderId="7" xfId="0" applyNumberFormat="1" applyFont="1" applyBorder="1" applyAlignment="1">
      <alignment horizontal="center" vertical="center" wrapText="1"/>
    </xf>
    <xf numFmtId="0" fontId="9" fillId="0" borderId="7" xfId="0" applyFont="1" applyBorder="1" applyAlignment="1">
      <alignment horizontal="left" vertical="top" wrapText="1"/>
    </xf>
    <xf numFmtId="173" fontId="10" fillId="0" borderId="7" xfId="0" applyNumberFormat="1" applyFont="1" applyBorder="1" applyAlignment="1">
      <alignment horizontal="center" vertical="center" wrapText="1"/>
    </xf>
    <xf numFmtId="3" fontId="10" fillId="0" borderId="7" xfId="0" applyNumberFormat="1" applyFont="1" applyBorder="1" applyAlignment="1">
      <alignment horizontal="center" vertical="top" wrapText="1"/>
    </xf>
    <xf numFmtId="173" fontId="10" fillId="4" borderId="7" xfId="0" applyNumberFormat="1" applyFont="1" applyFill="1" applyBorder="1" applyAlignment="1">
      <alignment horizontal="center" vertical="center" wrapText="1"/>
    </xf>
    <xf numFmtId="172" fontId="10" fillId="4" borderId="7" xfId="0" applyNumberFormat="1" applyFont="1" applyFill="1" applyBorder="1" applyAlignment="1">
      <alignment horizontal="center" vertical="center" wrapText="1"/>
    </xf>
    <xf numFmtId="169" fontId="10" fillId="0" borderId="7" xfId="0" applyNumberFormat="1" applyFont="1" applyBorder="1" applyAlignment="1">
      <alignment horizontal="center" vertical="center" wrapText="1"/>
    </xf>
    <xf numFmtId="0" fontId="10" fillId="0" borderId="9" xfId="0" applyFont="1" applyBorder="1" applyAlignment="1">
      <alignment horizontal="left" vertical="center" wrapText="1"/>
    </xf>
    <xf numFmtId="0" fontId="10" fillId="0" borderId="5" xfId="0" applyFont="1" applyBorder="1" applyAlignment="1">
      <alignment horizontal="left" vertical="center" wrapText="1"/>
    </xf>
    <xf numFmtId="172" fontId="11" fillId="0" borderId="7" xfId="0" applyNumberFormat="1" applyFont="1" applyBorder="1" applyAlignment="1">
      <alignment horizontal="center" vertical="center" wrapText="1"/>
    </xf>
    <xf numFmtId="0" fontId="24" fillId="2" borderId="7" xfId="0" applyFont="1" applyFill="1" applyBorder="1" applyAlignment="1">
      <alignment horizontal="left" vertical="top" wrapText="1"/>
    </xf>
    <xf numFmtId="0" fontId="24" fillId="2" borderId="7" xfId="0" applyFont="1" applyFill="1" applyBorder="1" applyAlignment="1">
      <alignment horizontal="center" vertical="top" wrapText="1"/>
    </xf>
    <xf numFmtId="0" fontId="24" fillId="0" borderId="7" xfId="0" applyFont="1" applyBorder="1" applyAlignment="1">
      <alignment horizontal="center" vertical="top" wrapText="1"/>
    </xf>
    <xf numFmtId="0" fontId="24" fillId="0" borderId="7" xfId="0" applyFont="1" applyBorder="1" applyAlignment="1">
      <alignment horizontal="left" vertical="top" wrapText="1"/>
    </xf>
    <xf numFmtId="1" fontId="25" fillId="0" borderId="7" xfId="0" applyNumberFormat="1" applyFont="1" applyBorder="1" applyAlignment="1">
      <alignment horizontal="center" vertical="center" shrinkToFit="1"/>
    </xf>
    <xf numFmtId="0" fontId="26" fillId="0" borderId="7" xfId="0" applyFont="1" applyBorder="1" applyAlignment="1">
      <alignment horizontal="center" vertical="center" wrapText="1"/>
    </xf>
    <xf numFmtId="0" fontId="26" fillId="0" borderId="7" xfId="0" applyFont="1" applyBorder="1" applyAlignment="1">
      <alignment horizontal="left" vertical="top" wrapText="1"/>
    </xf>
    <xf numFmtId="172" fontId="25" fillId="0" borderId="7" xfId="0" applyNumberFormat="1" applyFont="1" applyBorder="1" applyAlignment="1">
      <alignment horizontal="center" vertical="center" shrinkToFit="1"/>
    </xf>
    <xf numFmtId="1" fontId="25" fillId="0" borderId="7" xfId="0" applyNumberFormat="1" applyFont="1" applyBorder="1" applyAlignment="1">
      <alignment horizontal="center" vertical="top" shrinkToFit="1"/>
    </xf>
    <xf numFmtId="0" fontId="26" fillId="0" borderId="7" xfId="0" applyFont="1" applyBorder="1" applyAlignment="1">
      <alignment horizontal="center" vertical="top" wrapText="1"/>
    </xf>
    <xf numFmtId="172" fontId="25" fillId="0" borderId="7" xfId="0" applyNumberFormat="1" applyFont="1" applyBorder="1" applyAlignment="1">
      <alignment horizontal="center" vertical="top" shrinkToFit="1"/>
    </xf>
    <xf numFmtId="172" fontId="27" fillId="0" borderId="7" xfId="0" applyNumberFormat="1" applyFont="1" applyBorder="1" applyAlignment="1">
      <alignment horizontal="center" vertical="top" shrinkToFit="1"/>
    </xf>
    <xf numFmtId="0" fontId="30" fillId="2" borderId="7" xfId="0" applyFont="1" applyFill="1" applyBorder="1" applyAlignment="1">
      <alignment horizontal="center" vertical="top" wrapText="1"/>
    </xf>
    <xf numFmtId="0" fontId="29" fillId="2" borderId="7" xfId="0" applyFont="1" applyFill="1" applyBorder="1" applyAlignment="1">
      <alignment horizontal="center" vertical="top" wrapText="1"/>
    </xf>
    <xf numFmtId="0" fontId="29" fillId="2" borderId="7" xfId="0" applyFont="1" applyFill="1" applyBorder="1" applyAlignment="1">
      <alignment horizontal="left" vertical="top" wrapText="1"/>
    </xf>
    <xf numFmtId="0" fontId="6" fillId="2" borderId="7" xfId="0" applyFont="1" applyFill="1" applyBorder="1" applyAlignment="1">
      <alignment horizontal="left" vertical="top" wrapText="1"/>
    </xf>
    <xf numFmtId="0" fontId="29" fillId="0" borderId="7" xfId="0" applyFont="1" applyBorder="1" applyAlignment="1">
      <alignment horizontal="left" vertical="top" wrapText="1"/>
    </xf>
    <xf numFmtId="1" fontId="31" fillId="0" borderId="7" xfId="0" applyNumberFormat="1" applyFont="1" applyBorder="1" applyAlignment="1">
      <alignment horizontal="center" vertical="top" shrinkToFit="1"/>
    </xf>
    <xf numFmtId="0" fontId="32" fillId="0" borderId="7" xfId="0" applyFont="1" applyBorder="1" applyAlignment="1">
      <alignment horizontal="left" vertical="top" wrapText="1"/>
    </xf>
    <xf numFmtId="172" fontId="31" fillId="0" borderId="7" xfId="0" applyNumberFormat="1" applyFont="1" applyBorder="1" applyAlignment="1">
      <alignment horizontal="right" vertical="top" shrinkToFit="1"/>
    </xf>
    <xf numFmtId="172" fontId="31" fillId="0" borderId="7" xfId="0" applyNumberFormat="1" applyFont="1" applyBorder="1" applyAlignment="1">
      <alignment horizontal="right" vertical="center" shrinkToFit="1"/>
    </xf>
    <xf numFmtId="172" fontId="33" fillId="0" borderId="7" xfId="0" applyNumberFormat="1" applyFont="1" applyBorder="1" applyAlignment="1">
      <alignment horizontal="right" vertical="center" shrinkToFit="1"/>
    </xf>
    <xf numFmtId="0" fontId="12" fillId="0" borderId="7" xfId="0" applyFont="1" applyBorder="1" applyAlignment="1">
      <alignment horizontal="center" vertical="top" wrapText="1"/>
    </xf>
    <xf numFmtId="172" fontId="13" fillId="0" borderId="7" xfId="0" applyNumberFormat="1" applyFont="1" applyBorder="1" applyAlignment="1">
      <alignment horizontal="center" vertical="center" shrinkToFit="1"/>
    </xf>
    <xf numFmtId="172" fontId="13" fillId="0" borderId="7" xfId="0" applyNumberFormat="1" applyFont="1" applyBorder="1" applyAlignment="1">
      <alignment horizontal="center" vertical="top" shrinkToFit="1"/>
    </xf>
    <xf numFmtId="173" fontId="13" fillId="0" borderId="7" xfId="0" applyNumberFormat="1" applyFont="1" applyBorder="1" applyAlignment="1">
      <alignment horizontal="center" vertical="center" shrinkToFit="1"/>
    </xf>
    <xf numFmtId="0" fontId="24" fillId="0" borderId="7" xfId="0" applyFont="1" applyBorder="1" applyAlignment="1">
      <alignment horizontal="right" vertical="top" wrapText="1"/>
    </xf>
    <xf numFmtId="172" fontId="15" fillId="0" borderId="7" xfId="0" applyNumberFormat="1" applyFont="1" applyBorder="1" applyAlignment="1">
      <alignment horizontal="center" vertical="top" shrinkToFit="1"/>
    </xf>
    <xf numFmtId="1" fontId="13" fillId="0" borderId="2" xfId="0" applyNumberFormat="1" applyFont="1" applyBorder="1" applyAlignment="1">
      <alignment horizontal="center" vertical="center" shrinkToFit="1"/>
    </xf>
    <xf numFmtId="0" fontId="26" fillId="0" borderId="2" xfId="0" applyFont="1" applyBorder="1" applyAlignment="1">
      <alignment horizontal="left" vertical="top" wrapText="1"/>
    </xf>
    <xf numFmtId="0" fontId="14" fillId="0" borderId="2" xfId="0" applyFont="1" applyBorder="1" applyAlignment="1">
      <alignment horizontal="center" vertical="center" wrapText="1"/>
    </xf>
    <xf numFmtId="173" fontId="13" fillId="0" borderId="2" xfId="0" applyNumberFormat="1" applyFont="1" applyBorder="1" applyAlignment="1">
      <alignment horizontal="center" vertical="center" shrinkToFit="1"/>
    </xf>
    <xf numFmtId="172" fontId="13" fillId="0" borderId="2" xfId="0" applyNumberFormat="1" applyFont="1" applyBorder="1" applyAlignment="1">
      <alignment horizontal="center" vertical="center" shrinkToFit="1"/>
    </xf>
    <xf numFmtId="173" fontId="13" fillId="0" borderId="7" xfId="0" applyNumberFormat="1" applyFont="1" applyBorder="1" applyAlignment="1">
      <alignment horizontal="center" vertical="top" shrinkToFit="1"/>
    </xf>
    <xf numFmtId="1" fontId="15" fillId="0" borderId="7" xfId="0" applyNumberFormat="1" applyFont="1" applyBorder="1" applyAlignment="1">
      <alignment horizontal="center" vertical="center" shrinkToFit="1"/>
    </xf>
    <xf numFmtId="0" fontId="14" fillId="0" borderId="7" xfId="0" applyFont="1" applyBorder="1" applyAlignment="1">
      <alignment horizontal="left" vertical="center" wrapText="1"/>
    </xf>
    <xf numFmtId="172" fontId="13" fillId="0" borderId="7" xfId="0" applyNumberFormat="1" applyFont="1" applyBorder="1" applyAlignment="1">
      <alignment horizontal="left" vertical="center" shrinkToFit="1"/>
    </xf>
    <xf numFmtId="0" fontId="12" fillId="0" borderId="7" xfId="0" applyFont="1" applyBorder="1" applyAlignment="1">
      <alignment horizontal="center" vertical="center" wrapText="1"/>
    </xf>
    <xf numFmtId="0" fontId="35" fillId="8" borderId="8" xfId="0" applyFont="1" applyFill="1" applyBorder="1" applyAlignment="1">
      <alignment horizontal="left" vertical="top" wrapText="1"/>
    </xf>
    <xf numFmtId="0" fontId="35" fillId="8" borderId="7" xfId="0" applyFont="1" applyFill="1" applyBorder="1" applyAlignment="1">
      <alignment horizontal="left" vertical="top" wrapText="1"/>
    </xf>
    <xf numFmtId="1" fontId="37" fillId="0" borderId="7" xfId="0" applyNumberFormat="1" applyFont="1" applyBorder="1" applyAlignment="1">
      <alignment horizontal="center" vertical="top" shrinkToFit="1"/>
    </xf>
    <xf numFmtId="4" fontId="37" fillId="0" borderId="7" xfId="0" applyNumberFormat="1" applyFont="1" applyBorder="1" applyAlignment="1">
      <alignment horizontal="right" vertical="top" shrinkToFit="1"/>
    </xf>
    <xf numFmtId="0" fontId="36" fillId="0" borderId="7" xfId="0" applyFont="1" applyBorder="1" applyAlignment="1">
      <alignment horizontal="left" vertical="top" wrapText="1"/>
    </xf>
    <xf numFmtId="0" fontId="35" fillId="0" borderId="7" xfId="0" applyFont="1" applyBorder="1" applyAlignment="1">
      <alignment horizontal="center" vertical="top" wrapText="1"/>
    </xf>
    <xf numFmtId="4" fontId="38" fillId="0" borderId="7" xfId="0" applyNumberFormat="1" applyFont="1" applyBorder="1" applyAlignment="1">
      <alignment horizontal="right" vertical="top" shrinkToFit="1"/>
    </xf>
    <xf numFmtId="0" fontId="6" fillId="0" borderId="0" xfId="0" applyFont="1" applyAlignment="1">
      <alignment horizontal="left" wrapText="1"/>
    </xf>
    <xf numFmtId="0" fontId="6" fillId="0" borderId="1" xfId="0" applyFont="1" applyBorder="1" applyAlignment="1">
      <alignment horizontal="left" wrapText="1"/>
    </xf>
    <xf numFmtId="0" fontId="1" fillId="0" borderId="1" xfId="0" applyFont="1" applyBorder="1" applyAlignment="1">
      <alignment horizontal="left" vertical="top" wrapText="1"/>
    </xf>
    <xf numFmtId="1" fontId="5" fillId="0" borderId="7" xfId="0" applyNumberFormat="1" applyFont="1" applyBorder="1" applyAlignment="1">
      <alignment horizontal="center" vertical="top" shrinkToFit="1"/>
    </xf>
    <xf numFmtId="2" fontId="5" fillId="0" borderId="7" xfId="0" applyNumberFormat="1" applyFont="1" applyBorder="1" applyAlignment="1">
      <alignment horizontal="left" vertical="top" shrinkToFit="1"/>
    </xf>
    <xf numFmtId="0" fontId="2" fillId="9" borderId="7" xfId="0" applyFont="1" applyFill="1" applyBorder="1" applyAlignment="1">
      <alignment horizontal="left" vertical="top" wrapText="1"/>
    </xf>
    <xf numFmtId="4" fontId="7" fillId="0" borderId="7" xfId="0" applyNumberFormat="1" applyFont="1" applyBorder="1" applyAlignment="1">
      <alignment horizontal="left" vertical="top" shrinkToFit="1"/>
    </xf>
    <xf numFmtId="0" fontId="1" fillId="0" borderId="0" xfId="0" applyFont="1" applyAlignment="1">
      <alignment horizontal="left" vertical="top" wrapText="1"/>
    </xf>
    <xf numFmtId="0" fontId="0" fillId="0" borderId="0" xfId="0" applyAlignment="1">
      <alignment horizontal="left" vertical="top"/>
    </xf>
    <xf numFmtId="0" fontId="2" fillId="0" borderId="1" xfId="0" applyFont="1" applyBorder="1" applyAlignment="1">
      <alignment horizontal="center" vertical="top" wrapText="1"/>
    </xf>
    <xf numFmtId="0" fontId="3" fillId="0" borderId="1" xfId="0" applyFont="1" applyBorder="1" applyAlignment="1">
      <alignment horizontal="left" vertical="top"/>
    </xf>
    <xf numFmtId="0" fontId="2" fillId="2" borderId="2" xfId="0" applyFont="1" applyFill="1" applyBorder="1" applyAlignment="1">
      <alignment horizontal="left" vertical="top" wrapText="1"/>
    </xf>
    <xf numFmtId="0" fontId="3" fillId="0" borderId="6" xfId="0" applyFont="1" applyBorder="1" applyAlignment="1">
      <alignment horizontal="left" vertical="top"/>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3" fillId="0" borderId="4" xfId="0" applyFont="1" applyBorder="1" applyAlignment="1">
      <alignment horizontal="left" vertical="top"/>
    </xf>
    <xf numFmtId="0" fontId="3" fillId="0" borderId="5" xfId="0" applyFont="1" applyBorder="1" applyAlignment="1">
      <alignment horizontal="left" vertical="top"/>
    </xf>
    <xf numFmtId="4" fontId="7" fillId="3" borderId="3" xfId="0" applyNumberFormat="1" applyFont="1" applyFill="1" applyBorder="1" applyAlignment="1">
      <alignment horizontal="right" vertical="top" shrinkToFit="1"/>
    </xf>
    <xf numFmtId="1" fontId="10" fillId="0" borderId="2" xfId="0" applyNumberFormat="1" applyFont="1" applyBorder="1" applyAlignment="1">
      <alignment horizontal="center" vertical="center" wrapText="1"/>
    </xf>
    <xf numFmtId="0" fontId="8"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12" fillId="7" borderId="3" xfId="0" applyFont="1" applyFill="1" applyBorder="1" applyAlignment="1">
      <alignment horizontal="left" vertical="top" wrapText="1"/>
    </xf>
    <xf numFmtId="0" fontId="6" fillId="0" borderId="3" xfId="0" applyFont="1" applyBorder="1" applyAlignment="1">
      <alignment horizontal="left" wrapText="1"/>
    </xf>
    <xf numFmtId="0" fontId="12" fillId="2" borderId="2" xfId="0" applyFont="1" applyFill="1" applyBorder="1" applyAlignment="1">
      <alignment horizontal="left" vertical="top" wrapText="1"/>
    </xf>
    <xf numFmtId="0" fontId="6" fillId="2" borderId="2" xfId="0" applyFont="1" applyFill="1" applyBorder="1" applyAlignment="1">
      <alignment horizontal="center" vertical="top" wrapText="1"/>
    </xf>
    <xf numFmtId="0" fontId="12" fillId="2" borderId="3" xfId="0" applyFont="1" applyFill="1" applyBorder="1" applyAlignment="1">
      <alignment horizontal="left" vertical="top" wrapText="1"/>
    </xf>
    <xf numFmtId="0" fontId="6" fillId="0" borderId="0" xfId="0" applyFont="1" applyAlignment="1">
      <alignment horizontal="center" vertical="top" wrapText="1"/>
    </xf>
    <xf numFmtId="0" fontId="16" fillId="0" borderId="0" xfId="0" applyFont="1" applyAlignment="1">
      <alignment horizontal="center" vertical="top" wrapText="1"/>
    </xf>
    <xf numFmtId="0" fontId="16" fillId="2" borderId="2" xfId="0" applyFont="1" applyFill="1" applyBorder="1" applyAlignment="1">
      <alignment horizontal="left" vertical="top" wrapText="1"/>
    </xf>
    <xf numFmtId="0" fontId="16" fillId="2" borderId="2" xfId="0" applyFont="1" applyFill="1" applyBorder="1" applyAlignment="1">
      <alignment horizontal="center" vertical="top" wrapText="1"/>
    </xf>
    <xf numFmtId="0" fontId="16" fillId="2" borderId="3" xfId="0" applyFont="1" applyFill="1" applyBorder="1" applyAlignment="1">
      <alignment horizontal="center" vertical="top" wrapText="1"/>
    </xf>
    <xf numFmtId="167" fontId="19" fillId="0" borderId="3" xfId="0" applyNumberFormat="1" applyFont="1" applyBorder="1" applyAlignment="1">
      <alignment horizontal="center" vertical="top" shrinkToFit="1"/>
    </xf>
    <xf numFmtId="1" fontId="16" fillId="2" borderId="2" xfId="0" applyNumberFormat="1" applyFont="1" applyFill="1" applyBorder="1" applyAlignment="1">
      <alignment horizontal="center" vertical="center" wrapText="1"/>
    </xf>
    <xf numFmtId="0" fontId="16" fillId="2" borderId="3" xfId="0" applyFont="1" applyFill="1" applyBorder="1" applyAlignment="1">
      <alignment horizontal="left" vertical="top" wrapText="1"/>
    </xf>
    <xf numFmtId="0" fontId="20" fillId="0" borderId="0" xfId="0" applyFont="1" applyAlignment="1">
      <alignment horizontal="center" vertical="top" wrapText="1"/>
    </xf>
    <xf numFmtId="3" fontId="16" fillId="2" borderId="3" xfId="0" applyNumberFormat="1" applyFont="1" applyFill="1" applyBorder="1" applyAlignment="1">
      <alignment horizontal="left" vertical="top" wrapText="1"/>
    </xf>
    <xf numFmtId="0" fontId="16" fillId="0" borderId="3" xfId="0" applyFont="1" applyBorder="1" applyAlignment="1">
      <alignment horizontal="left" vertical="top" wrapText="1"/>
    </xf>
    <xf numFmtId="0" fontId="8" fillId="0" borderId="3" xfId="0" applyFont="1" applyBorder="1" applyAlignment="1">
      <alignment horizontal="center" vertical="top" wrapText="1"/>
    </xf>
    <xf numFmtId="0" fontId="8" fillId="0" borderId="3" xfId="0" applyFont="1" applyBorder="1" applyAlignment="1">
      <alignment horizontal="right" vertical="top" wrapText="1"/>
    </xf>
    <xf numFmtId="172" fontId="11" fillId="0" borderId="3" xfId="0" applyNumberFormat="1" applyFont="1" applyBorder="1" applyAlignment="1">
      <alignment horizontal="center" vertical="center" wrapText="1"/>
    </xf>
    <xf numFmtId="0" fontId="22" fillId="0" borderId="1" xfId="0" applyFont="1" applyBorder="1" applyAlignment="1">
      <alignment horizontal="center" vertical="top" wrapText="1"/>
    </xf>
    <xf numFmtId="0" fontId="10" fillId="2" borderId="2" xfId="0" applyFont="1" applyFill="1" applyBorder="1" applyAlignment="1">
      <alignment horizontal="left" vertical="top" wrapText="1"/>
    </xf>
    <xf numFmtId="0" fontId="8" fillId="2" borderId="2" xfId="0" applyFont="1" applyFill="1" applyBorder="1" applyAlignment="1">
      <alignment horizontal="left" vertical="top" wrapText="1"/>
    </xf>
    <xf numFmtId="0" fontId="8" fillId="2" borderId="2" xfId="0" applyFont="1" applyFill="1" applyBorder="1" applyAlignment="1">
      <alignment horizontal="center" vertical="top" wrapText="1"/>
    </xf>
    <xf numFmtId="0" fontId="24" fillId="2" borderId="2" xfId="0" applyFont="1" applyFill="1" applyBorder="1" applyAlignment="1">
      <alignment horizontal="left" vertical="top" wrapText="1"/>
    </xf>
    <xf numFmtId="0" fontId="24" fillId="2" borderId="3" xfId="0" applyFont="1" applyFill="1" applyBorder="1" applyAlignment="1">
      <alignment horizontal="left" vertical="top" wrapText="1"/>
    </xf>
    <xf numFmtId="0" fontId="24" fillId="0" borderId="3" xfId="0" applyFont="1" applyBorder="1" applyAlignment="1">
      <alignment horizontal="right" vertical="top" wrapText="1"/>
    </xf>
    <xf numFmtId="0" fontId="23" fillId="0" borderId="0" xfId="0" applyFont="1" applyAlignment="1">
      <alignment horizontal="center" vertical="top" wrapText="1"/>
    </xf>
    <xf numFmtId="0" fontId="23" fillId="0" borderId="0" xfId="0" applyFont="1" applyAlignment="1">
      <alignment horizontal="left" vertical="top" wrapText="1"/>
    </xf>
    <xf numFmtId="0" fontId="23" fillId="0" borderId="1" xfId="0" applyFont="1" applyBorder="1" applyAlignment="1">
      <alignment horizontal="center" vertical="top" wrapText="1"/>
    </xf>
    <xf numFmtId="0" fontId="6" fillId="2" borderId="2" xfId="0" applyFont="1" applyFill="1" applyBorder="1" applyAlignment="1">
      <alignment horizontal="left" vertical="top" wrapText="1"/>
    </xf>
    <xf numFmtId="0" fontId="24" fillId="2" borderId="2" xfId="0" applyFont="1" applyFill="1" applyBorder="1" applyAlignment="1">
      <alignment horizontal="center" vertical="top" wrapText="1"/>
    </xf>
    <xf numFmtId="0" fontId="28" fillId="0" borderId="0" xfId="0" applyFont="1" applyAlignment="1">
      <alignment horizontal="left" vertical="top" wrapText="1"/>
    </xf>
    <xf numFmtId="0" fontId="29" fillId="0" borderId="1" xfId="0" applyFont="1" applyBorder="1" applyAlignment="1">
      <alignment horizontal="center" vertical="top" wrapText="1"/>
    </xf>
    <xf numFmtId="0" fontId="34" fillId="0" borderId="0" xfId="0" applyFont="1" applyAlignment="1">
      <alignment horizontal="center" vertical="top" wrapText="1"/>
    </xf>
    <xf numFmtId="0" fontId="12" fillId="0" borderId="1" xfId="0" applyFont="1" applyBorder="1" applyAlignment="1">
      <alignment horizontal="center" vertical="top" wrapText="1"/>
    </xf>
    <xf numFmtId="0" fontId="24" fillId="0" borderId="3" xfId="0" applyFont="1" applyBorder="1" applyAlignment="1">
      <alignment horizontal="left" vertical="top" wrapText="1"/>
    </xf>
    <xf numFmtId="0" fontId="35" fillId="0" borderId="1" xfId="0" applyFont="1" applyBorder="1" applyAlignment="1">
      <alignment horizontal="center" vertical="top" wrapText="1"/>
    </xf>
    <xf numFmtId="0" fontId="36" fillId="8" borderId="2" xfId="0" applyFont="1" applyFill="1" applyBorder="1" applyAlignment="1">
      <alignment horizontal="left" vertical="top" wrapText="1"/>
    </xf>
    <xf numFmtId="0" fontId="35" fillId="8" borderId="2" xfId="0" applyFont="1" applyFill="1" applyBorder="1" applyAlignment="1">
      <alignment horizontal="center" vertical="top" wrapText="1"/>
    </xf>
    <xf numFmtId="2" fontId="5" fillId="0" borderId="2" xfId="0" applyNumberFormat="1" applyFont="1" applyBorder="1" applyAlignment="1">
      <alignment horizontal="left" vertical="top" shrinkToFit="1"/>
    </xf>
    <xf numFmtId="0" fontId="4" fillId="0" borderId="2" xfId="0" applyFont="1" applyBorder="1" applyAlignment="1">
      <alignment horizontal="left" vertical="center" wrapText="1"/>
    </xf>
    <xf numFmtId="0" fontId="3" fillId="0" borderId="10" xfId="0" applyFont="1" applyBorder="1" applyAlignment="1">
      <alignment horizontal="left" vertical="top"/>
    </xf>
    <xf numFmtId="1" fontId="5" fillId="0" borderId="2" xfId="0" applyNumberFormat="1" applyFont="1" applyBorder="1" applyAlignment="1">
      <alignment horizontal="center" vertical="center" shrinkToFit="1"/>
    </xf>
    <xf numFmtId="2" fontId="5" fillId="0" borderId="2" xfId="0" applyNumberFormat="1" applyFont="1" applyBorder="1" applyAlignment="1">
      <alignment horizontal="left" vertical="center" shrinkToFit="1"/>
    </xf>
    <xf numFmtId="0" fontId="2" fillId="0" borderId="3" xfId="0" applyFont="1" applyBorder="1" applyAlignment="1">
      <alignment horizontal="right" vertical="top" wrapText="1"/>
    </xf>
    <xf numFmtId="0" fontId="4" fillId="0" borderId="2" xfId="0" applyFont="1" applyBorder="1" applyAlignment="1">
      <alignment horizontal="left" vertical="top" wrapText="1"/>
    </xf>
    <xf numFmtId="1" fontId="5" fillId="0" borderId="2" xfId="0" applyNumberFormat="1" applyFont="1" applyBorder="1" applyAlignment="1">
      <alignment horizontal="center" vertical="top" shrinkToFi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6" xfId="0" applyFont="1" applyFill="1" applyBorder="1" applyAlignment="1">
      <alignment vertical="center" wrapText="1"/>
    </xf>
    <xf numFmtId="0" fontId="10" fillId="0" borderId="8" xfId="0" applyFont="1" applyBorder="1" applyAlignment="1">
      <alignment horizontal="left" vertical="center" wrapText="1"/>
    </xf>
    <xf numFmtId="0" fontId="8" fillId="2" borderId="9"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2</xdr:col>
      <xdr:colOff>495300</xdr:colOff>
      <xdr:row>110</xdr:row>
      <xdr:rowOff>485775</xdr:rowOff>
    </xdr:from>
    <xdr:ext cx="38100" cy="0"/>
    <xdr:sp macro="" textlink="">
      <xdr:nvSpPr>
        <xdr:cNvPr id="3" name="Shape 3">
          <a:extLst>
            <a:ext uri="{FF2B5EF4-FFF2-40B4-BE49-F238E27FC236}">
              <a16:creationId xmlns:a16="http://schemas.microsoft.com/office/drawing/2014/main" id="{00000000-0008-0000-0100-000003000000}"/>
            </a:ext>
          </a:extLst>
        </xdr:cNvPr>
        <xdr:cNvSpPr/>
      </xdr:nvSpPr>
      <xdr:spPr>
        <a:xfrm>
          <a:off x="5332983" y="3776190"/>
          <a:ext cx="26034" cy="7620"/>
        </a:xfrm>
        <a:custGeom>
          <a:avLst/>
          <a:gdLst/>
          <a:ahLst/>
          <a:cxnLst/>
          <a:rect l="l" t="t" r="r" b="b"/>
          <a:pathLst>
            <a:path w="26034" h="7620" extrusionOk="0">
              <a:moveTo>
                <a:pt x="25907" y="0"/>
              </a:moveTo>
              <a:lnTo>
                <a:pt x="0" y="0"/>
              </a:lnTo>
              <a:lnTo>
                <a:pt x="0" y="7620"/>
              </a:lnTo>
              <a:lnTo>
                <a:pt x="25907" y="7620"/>
              </a:lnTo>
              <a:lnTo>
                <a:pt x="25907" y="0"/>
              </a:lnTo>
              <a:close/>
            </a:path>
          </a:pathLst>
        </a:custGeom>
        <a:solidFill>
          <a:srgbClr val="000000">
            <a:alpha val="50196"/>
          </a:srgbClr>
        </a:solidFill>
        <a:ln>
          <a:noFill/>
        </a:ln>
      </xdr:spPr>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hyperlink" Target="http://sr.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sqref="A1:E1"/>
    </sheetView>
  </sheetViews>
  <sheetFormatPr defaultColWidth="14.3984375" defaultRowHeight="15" customHeight="1" x14ac:dyDescent="0.3"/>
  <cols>
    <col min="1" max="1" width="17.296875" customWidth="1"/>
    <col min="2" max="2" width="67.8984375" customWidth="1"/>
    <col min="3" max="4" width="24.8984375" customWidth="1"/>
    <col min="5" max="5" width="24.69921875" customWidth="1"/>
    <col min="6" max="26" width="8.69921875" customWidth="1"/>
  </cols>
  <sheetData>
    <row r="1" spans="1:5" ht="25.5" customHeight="1" x14ac:dyDescent="0.3">
      <c r="A1" s="212" t="s">
        <v>0</v>
      </c>
      <c r="B1" s="213"/>
      <c r="C1" s="213"/>
      <c r="D1" s="213"/>
      <c r="E1" s="213"/>
    </row>
    <row r="2" spans="1:5" ht="15" customHeight="1" x14ac:dyDescent="0.3">
      <c r="A2" s="214" t="s">
        <v>1</v>
      </c>
      <c r="B2" s="215"/>
      <c r="C2" s="215"/>
      <c r="D2" s="215"/>
      <c r="E2" s="215"/>
    </row>
    <row r="3" spans="1:5" ht="13.5" customHeight="1" x14ac:dyDescent="0.3">
      <c r="A3" s="216" t="s">
        <v>2</v>
      </c>
      <c r="B3" s="218" t="s">
        <v>3</v>
      </c>
      <c r="C3" s="219" t="s">
        <v>4</v>
      </c>
      <c r="D3" s="220"/>
      <c r="E3" s="221"/>
    </row>
    <row r="4" spans="1:5" ht="15.75" customHeight="1" x14ac:dyDescent="0.3">
      <c r="A4" s="217"/>
      <c r="B4" s="217"/>
      <c r="C4" s="3" t="s">
        <v>5</v>
      </c>
      <c r="D4" s="4" t="s">
        <v>6</v>
      </c>
      <c r="E4" s="3" t="s">
        <v>7</v>
      </c>
    </row>
    <row r="5" spans="1:5" ht="13.5" customHeight="1" x14ac:dyDescent="0.3">
      <c r="A5" s="5" t="s">
        <v>8</v>
      </c>
      <c r="B5" s="6" t="s">
        <v>9</v>
      </c>
      <c r="C5" s="7"/>
      <c r="D5" s="8"/>
      <c r="E5" s="7"/>
    </row>
    <row r="6" spans="1:5" ht="13.5" customHeight="1" x14ac:dyDescent="0.3">
      <c r="A6" s="5" t="s">
        <v>10</v>
      </c>
      <c r="B6" s="6" t="s">
        <v>11</v>
      </c>
      <c r="C6" s="7"/>
      <c r="D6" s="7"/>
      <c r="E6" s="7"/>
    </row>
    <row r="7" spans="1:5" ht="13.5" customHeight="1" x14ac:dyDescent="0.3">
      <c r="A7" s="5" t="s">
        <v>12</v>
      </c>
      <c r="B7" s="6" t="s">
        <v>13</v>
      </c>
      <c r="C7" s="8"/>
      <c r="D7" s="7"/>
      <c r="E7" s="7"/>
    </row>
    <row r="8" spans="1:5" ht="13.5" customHeight="1" x14ac:dyDescent="0.3">
      <c r="A8" s="5" t="s">
        <v>14</v>
      </c>
      <c r="B8" s="6" t="s">
        <v>15</v>
      </c>
      <c r="C8" s="8"/>
      <c r="D8" s="7"/>
      <c r="E8" s="7"/>
    </row>
    <row r="9" spans="1:5" ht="13.5" customHeight="1" x14ac:dyDescent="0.3">
      <c r="A9" s="5" t="s">
        <v>16</v>
      </c>
      <c r="B9" s="6" t="s">
        <v>17</v>
      </c>
      <c r="C9" s="7"/>
      <c r="D9" s="7"/>
      <c r="E9" s="7"/>
    </row>
    <row r="10" spans="1:5" ht="13.5" customHeight="1" x14ac:dyDescent="0.3">
      <c r="A10" s="5" t="s">
        <v>18</v>
      </c>
      <c r="B10" s="6" t="s">
        <v>19</v>
      </c>
      <c r="C10" s="7"/>
      <c r="D10" s="7"/>
      <c r="E10" s="7"/>
    </row>
    <row r="11" spans="1:5" ht="13.5" customHeight="1" x14ac:dyDescent="0.3">
      <c r="A11" s="5" t="s">
        <v>20</v>
      </c>
      <c r="B11" s="6" t="s">
        <v>21</v>
      </c>
      <c r="C11" s="7"/>
      <c r="D11" s="7"/>
      <c r="E11" s="7"/>
    </row>
    <row r="12" spans="1:5" ht="13.5" customHeight="1" x14ac:dyDescent="0.3">
      <c r="A12" s="5" t="s">
        <v>22</v>
      </c>
      <c r="B12" s="6" t="s">
        <v>23</v>
      </c>
      <c r="C12" s="7"/>
      <c r="D12" s="7"/>
      <c r="E12" s="7"/>
    </row>
    <row r="13" spans="1:5" ht="13.5" customHeight="1" x14ac:dyDescent="0.3">
      <c r="A13" s="5" t="s">
        <v>24</v>
      </c>
      <c r="B13" s="6" t="s">
        <v>25</v>
      </c>
      <c r="C13" s="8"/>
      <c r="D13" s="7"/>
      <c r="E13" s="7"/>
    </row>
    <row r="14" spans="1:5" ht="13.5" customHeight="1" x14ac:dyDescent="0.3">
      <c r="A14" s="5" t="s">
        <v>26</v>
      </c>
      <c r="B14" s="6" t="s">
        <v>27</v>
      </c>
      <c r="C14" s="8"/>
      <c r="D14" s="7"/>
      <c r="E14" s="7"/>
    </row>
    <row r="15" spans="1:5" ht="13.5" customHeight="1" x14ac:dyDescent="0.3">
      <c r="A15" s="5" t="s">
        <v>28</v>
      </c>
      <c r="B15" s="6" t="s">
        <v>29</v>
      </c>
      <c r="C15" s="7"/>
      <c r="D15" s="7"/>
      <c r="E15" s="7"/>
    </row>
    <row r="16" spans="1:5" ht="27" customHeight="1" x14ac:dyDescent="0.3">
      <c r="A16" s="5" t="s">
        <v>30</v>
      </c>
      <c r="B16" s="9" t="s">
        <v>31</v>
      </c>
      <c r="C16" s="10"/>
      <c r="D16" s="7"/>
      <c r="E16" s="7"/>
    </row>
    <row r="17" spans="1:5" ht="13.5" customHeight="1" x14ac:dyDescent="0.3">
      <c r="A17" s="5" t="s">
        <v>32</v>
      </c>
      <c r="B17" s="6" t="s">
        <v>33</v>
      </c>
      <c r="C17" s="7"/>
      <c r="D17" s="7"/>
      <c r="E17" s="7"/>
    </row>
    <row r="18" spans="1:5" ht="13.5" customHeight="1" x14ac:dyDescent="0.3">
      <c r="A18" s="5" t="s">
        <v>34</v>
      </c>
      <c r="B18" s="6" t="s">
        <v>35</v>
      </c>
      <c r="C18" s="7"/>
      <c r="D18" s="7"/>
      <c r="E18" s="7"/>
    </row>
    <row r="19" spans="1:5" ht="13.5" customHeight="1" x14ac:dyDescent="0.3">
      <c r="A19" s="5" t="s">
        <v>36</v>
      </c>
      <c r="B19" s="6" t="s">
        <v>37</v>
      </c>
      <c r="C19" s="8"/>
      <c r="D19" s="7"/>
      <c r="E19" s="7"/>
    </row>
    <row r="20" spans="1:5" ht="13.5" customHeight="1" x14ac:dyDescent="0.3">
      <c r="A20" s="5" t="s">
        <v>38</v>
      </c>
      <c r="B20" s="6" t="s">
        <v>39</v>
      </c>
      <c r="C20" s="7"/>
      <c r="D20" s="7"/>
      <c r="E20" s="7"/>
    </row>
    <row r="21" spans="1:5" ht="27" customHeight="1" x14ac:dyDescent="0.3">
      <c r="A21" s="5" t="s">
        <v>40</v>
      </c>
      <c r="B21" s="9" t="s">
        <v>41</v>
      </c>
      <c r="C21" s="8"/>
      <c r="D21" s="7"/>
      <c r="E21" s="7"/>
    </row>
    <row r="22" spans="1:5" ht="13.5" customHeight="1" x14ac:dyDescent="0.3">
      <c r="A22" s="5" t="s">
        <v>42</v>
      </c>
      <c r="B22" s="6" t="s">
        <v>43</v>
      </c>
      <c r="C22" s="8"/>
      <c r="D22" s="7"/>
      <c r="E22" s="7"/>
    </row>
    <row r="23" spans="1:5" ht="13.5" customHeight="1" x14ac:dyDescent="0.3">
      <c r="A23" s="5" t="s">
        <v>44</v>
      </c>
      <c r="B23" s="6" t="s">
        <v>45</v>
      </c>
      <c r="C23" s="7"/>
      <c r="D23" s="7"/>
      <c r="E23" s="7"/>
    </row>
    <row r="24" spans="1:5" ht="13.5" customHeight="1" x14ac:dyDescent="0.3">
      <c r="A24" s="5" t="s">
        <v>46</v>
      </c>
      <c r="B24" s="6" t="s">
        <v>47</v>
      </c>
      <c r="C24" s="7"/>
      <c r="D24" s="7"/>
      <c r="E24" s="7"/>
    </row>
    <row r="25" spans="1:5" ht="13.5" customHeight="1" x14ac:dyDescent="0.3">
      <c r="A25" s="11"/>
      <c r="B25" s="12" t="s">
        <v>48</v>
      </c>
      <c r="C25" s="13"/>
      <c r="D25" s="13"/>
      <c r="E25" s="13"/>
    </row>
    <row r="26" spans="1:5" ht="13.5" customHeight="1" x14ac:dyDescent="0.3">
      <c r="A26" s="11"/>
      <c r="B26" s="12" t="s">
        <v>49</v>
      </c>
      <c r="C26" s="222"/>
      <c r="D26" s="220"/>
      <c r="E26" s="221"/>
    </row>
    <row r="27" spans="1:5" ht="6" customHeight="1" x14ac:dyDescent="0.3">
      <c r="A27" s="11"/>
      <c r="B27" s="11"/>
      <c r="C27" s="11"/>
      <c r="D27" s="11"/>
      <c r="E27" s="11"/>
    </row>
    <row r="28" spans="1:5" ht="13.5" customHeight="1" x14ac:dyDescent="0.3">
      <c r="A28" s="11"/>
      <c r="B28" s="14" t="s">
        <v>50</v>
      </c>
      <c r="C28" s="11"/>
      <c r="D28" s="11"/>
      <c r="E28" s="11"/>
    </row>
    <row r="29" spans="1:5" ht="13.5" customHeight="1" x14ac:dyDescent="0.3">
      <c r="A29" s="5" t="s">
        <v>51</v>
      </c>
      <c r="B29" s="6" t="s">
        <v>52</v>
      </c>
      <c r="C29" s="8"/>
      <c r="D29" s="7"/>
      <c r="E29" s="7"/>
    </row>
    <row r="30" spans="1:5" ht="13.5" customHeight="1" x14ac:dyDescent="0.3">
      <c r="A30" s="5" t="s">
        <v>53</v>
      </c>
      <c r="B30" s="6" t="s">
        <v>54</v>
      </c>
      <c r="C30" s="7"/>
      <c r="D30" s="7"/>
      <c r="E30" s="7"/>
    </row>
    <row r="31" spans="1:5" ht="13.5" customHeight="1" x14ac:dyDescent="0.3">
      <c r="A31" s="5" t="s">
        <v>55</v>
      </c>
      <c r="B31" s="6" t="s">
        <v>56</v>
      </c>
      <c r="C31" s="7"/>
      <c r="D31" s="7"/>
      <c r="E31" s="7"/>
    </row>
    <row r="32" spans="1:5" ht="27" customHeight="1" x14ac:dyDescent="0.3">
      <c r="A32" s="5" t="s">
        <v>57</v>
      </c>
      <c r="B32" s="9" t="s">
        <v>58</v>
      </c>
      <c r="C32" s="10"/>
      <c r="D32" s="7"/>
      <c r="E32" s="7"/>
    </row>
    <row r="33" spans="1:5" ht="7.5" customHeight="1" x14ac:dyDescent="0.3">
      <c r="A33" s="11"/>
      <c r="B33" s="11"/>
      <c r="C33" s="11"/>
      <c r="D33" s="11"/>
      <c r="E33" s="11"/>
    </row>
    <row r="34" spans="1:5" ht="13.5" customHeight="1" x14ac:dyDescent="0.3">
      <c r="A34" s="11"/>
      <c r="B34" s="12" t="s">
        <v>59</v>
      </c>
      <c r="C34" s="13"/>
      <c r="D34" s="13"/>
      <c r="E34" s="13"/>
    </row>
    <row r="35" spans="1:5" ht="13.5" customHeight="1" x14ac:dyDescent="0.3">
      <c r="A35" s="11"/>
      <c r="B35" s="12" t="s">
        <v>60</v>
      </c>
      <c r="C35" s="222"/>
      <c r="D35" s="220"/>
      <c r="E35" s="221"/>
    </row>
    <row r="36" spans="1:5" ht="12.75" customHeight="1" x14ac:dyDescent="0.3"/>
    <row r="37" spans="1:5" ht="12.75" customHeight="1" x14ac:dyDescent="0.3"/>
    <row r="38" spans="1:5" ht="12.75" customHeight="1" x14ac:dyDescent="0.3"/>
    <row r="39" spans="1:5" ht="12.75" customHeight="1" x14ac:dyDescent="0.3"/>
    <row r="40" spans="1:5" ht="12.75" customHeight="1" x14ac:dyDescent="0.3"/>
    <row r="41" spans="1:5" ht="12.75" customHeight="1" x14ac:dyDescent="0.3"/>
    <row r="42" spans="1:5" ht="12.75" customHeight="1" x14ac:dyDescent="0.3"/>
    <row r="43" spans="1:5" ht="12.75" customHeight="1" x14ac:dyDescent="0.3"/>
    <row r="44" spans="1:5" ht="12.75" customHeight="1" x14ac:dyDescent="0.3"/>
    <row r="45" spans="1:5" ht="12.75" customHeight="1" x14ac:dyDescent="0.3"/>
    <row r="46" spans="1:5" ht="12.75" customHeight="1" x14ac:dyDescent="0.3"/>
    <row r="47" spans="1:5" ht="12.75" customHeight="1" x14ac:dyDescent="0.3"/>
    <row r="48" spans="1:5"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7">
    <mergeCell ref="C26:E26"/>
    <mergeCell ref="C35:E35"/>
    <mergeCell ref="A1:E1"/>
    <mergeCell ref="A2:E2"/>
    <mergeCell ref="A3:A4"/>
    <mergeCell ref="B3:B4"/>
    <mergeCell ref="C3:E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189"/>
  <sheetViews>
    <sheetView tabSelected="1" topLeftCell="D1" workbookViewId="0">
      <selection activeCell="O9" sqref="O9"/>
    </sheetView>
  </sheetViews>
  <sheetFormatPr defaultColWidth="14.3984375" defaultRowHeight="15" customHeight="1" x14ac:dyDescent="0.3"/>
  <cols>
    <col min="1" max="1" width="6.09765625" customWidth="1"/>
    <col min="2" max="2" width="10.3984375" customWidth="1"/>
    <col min="3" max="3" width="70.296875" customWidth="1"/>
    <col min="4" max="5" width="6" customWidth="1"/>
    <col min="6" max="11" width="11.8984375" customWidth="1"/>
    <col min="12" max="26" width="8.69921875" customWidth="1"/>
  </cols>
  <sheetData>
    <row r="1" spans="1:26" x14ac:dyDescent="0.3">
      <c r="A1" s="224" t="s">
        <v>61</v>
      </c>
      <c r="B1" s="224" t="s">
        <v>62</v>
      </c>
      <c r="C1" s="225" t="s">
        <v>63</v>
      </c>
      <c r="D1" s="224" t="s">
        <v>64</v>
      </c>
      <c r="E1" s="275" t="s">
        <v>5655</v>
      </c>
      <c r="F1" s="279"/>
      <c r="G1" s="279"/>
      <c r="H1" s="276"/>
      <c r="I1" s="280" t="s">
        <v>5656</v>
      </c>
      <c r="J1" s="281"/>
      <c r="K1" s="281"/>
      <c r="L1" s="281"/>
      <c r="M1" s="15"/>
      <c r="N1" s="15"/>
      <c r="O1" s="15"/>
      <c r="P1" s="15"/>
      <c r="Q1" s="15"/>
      <c r="R1" s="15"/>
      <c r="S1" s="15"/>
      <c r="T1" s="15"/>
      <c r="U1" s="15"/>
      <c r="V1" s="15"/>
      <c r="W1" s="15"/>
      <c r="X1" s="15"/>
      <c r="Y1" s="15"/>
      <c r="Z1" s="15"/>
    </row>
    <row r="2" spans="1:26" x14ac:dyDescent="0.3">
      <c r="A2" s="217"/>
      <c r="B2" s="217"/>
      <c r="C2" s="217"/>
      <c r="D2" s="217"/>
      <c r="E2" s="2" t="s">
        <v>5657</v>
      </c>
      <c r="F2" s="277" t="s">
        <v>5658</v>
      </c>
      <c r="G2" s="277" t="s">
        <v>5659</v>
      </c>
      <c r="H2" s="277" t="s">
        <v>5660</v>
      </c>
      <c r="I2" s="2" t="s">
        <v>5657</v>
      </c>
      <c r="J2" s="277" t="s">
        <v>5658</v>
      </c>
      <c r="K2" s="277" t="s">
        <v>5659</v>
      </c>
      <c r="L2" s="15" t="s">
        <v>5660</v>
      </c>
      <c r="M2" s="15"/>
      <c r="N2" s="15"/>
      <c r="O2" s="15"/>
      <c r="P2" s="15"/>
      <c r="Q2" s="15"/>
      <c r="R2" s="15"/>
      <c r="S2" s="15"/>
      <c r="T2" s="15"/>
      <c r="U2" s="15"/>
      <c r="V2" s="15"/>
      <c r="W2" s="15"/>
      <c r="X2" s="15"/>
      <c r="Y2" s="15"/>
      <c r="Z2" s="15"/>
    </row>
    <row r="3" spans="1:26" x14ac:dyDescent="0.3">
      <c r="A3" s="17"/>
      <c r="B3" s="17"/>
      <c r="C3" s="17"/>
      <c r="D3" s="17"/>
      <c r="E3" s="17"/>
      <c r="F3" s="17"/>
      <c r="G3" s="17"/>
      <c r="H3" s="17"/>
      <c r="I3" s="17"/>
      <c r="J3" s="17"/>
      <c r="K3" s="17"/>
      <c r="L3" s="15"/>
      <c r="M3" s="15"/>
      <c r="N3" s="15"/>
      <c r="O3" s="15"/>
      <c r="P3" s="15"/>
      <c r="Q3" s="15"/>
      <c r="R3" s="15"/>
      <c r="S3" s="15"/>
      <c r="T3" s="15"/>
      <c r="U3" s="15"/>
      <c r="V3" s="15"/>
      <c r="W3" s="15"/>
      <c r="X3" s="15"/>
      <c r="Y3" s="15"/>
      <c r="Z3" s="15"/>
    </row>
    <row r="4" spans="1:26" x14ac:dyDescent="0.3">
      <c r="A4" s="20" t="s">
        <v>67</v>
      </c>
      <c r="B4" s="20" t="s">
        <v>68</v>
      </c>
      <c r="C4" s="21" t="s">
        <v>69</v>
      </c>
      <c r="D4" s="22"/>
      <c r="E4" s="22"/>
      <c r="F4" s="22"/>
      <c r="G4" s="22"/>
      <c r="H4" s="22"/>
      <c r="I4" s="22"/>
      <c r="J4" s="22"/>
      <c r="K4" s="22"/>
      <c r="L4" s="15"/>
      <c r="M4" s="15"/>
      <c r="N4" s="15"/>
      <c r="O4" s="15"/>
      <c r="P4" s="15"/>
      <c r="Q4" s="15"/>
      <c r="R4" s="15"/>
      <c r="S4" s="15"/>
      <c r="T4" s="15"/>
      <c r="U4" s="15"/>
      <c r="V4" s="15"/>
      <c r="W4" s="15"/>
      <c r="X4" s="15"/>
      <c r="Y4" s="15"/>
      <c r="Z4" s="15"/>
    </row>
    <row r="5" spans="1:26" x14ac:dyDescent="0.3">
      <c r="A5" s="17"/>
      <c r="B5" s="17"/>
      <c r="C5" s="17"/>
      <c r="D5" s="17"/>
      <c r="E5" s="17"/>
      <c r="F5" s="17"/>
      <c r="G5" s="17"/>
      <c r="H5" s="17"/>
      <c r="I5" s="17"/>
      <c r="J5" s="17"/>
      <c r="K5" s="17"/>
      <c r="L5" s="15"/>
      <c r="M5" s="15"/>
      <c r="N5" s="15"/>
      <c r="O5" s="15"/>
      <c r="P5" s="15"/>
      <c r="Q5" s="15"/>
      <c r="R5" s="15"/>
      <c r="S5" s="15"/>
      <c r="T5" s="15"/>
      <c r="U5" s="15"/>
      <c r="V5" s="15"/>
      <c r="W5" s="15"/>
      <c r="X5" s="15"/>
      <c r="Y5" s="15"/>
      <c r="Z5" s="15"/>
    </row>
    <row r="6" spans="1:26" x14ac:dyDescent="0.3">
      <c r="A6" s="24">
        <v>1</v>
      </c>
      <c r="B6" s="25">
        <v>1.3</v>
      </c>
      <c r="C6" s="17" t="s">
        <v>70</v>
      </c>
      <c r="D6" s="17"/>
      <c r="E6" s="17"/>
      <c r="F6" s="17"/>
      <c r="G6" s="17"/>
      <c r="H6" s="17"/>
      <c r="I6" s="17"/>
      <c r="J6" s="17"/>
      <c r="K6" s="17"/>
      <c r="L6" s="15"/>
      <c r="M6" s="15"/>
      <c r="N6" s="15"/>
      <c r="O6" s="15"/>
      <c r="P6" s="15"/>
      <c r="Q6" s="15"/>
      <c r="R6" s="15"/>
      <c r="S6" s="15"/>
      <c r="T6" s="15"/>
      <c r="U6" s="15"/>
      <c r="V6" s="15"/>
      <c r="W6" s="15"/>
      <c r="X6" s="15"/>
      <c r="Y6" s="15"/>
      <c r="Z6" s="15"/>
    </row>
    <row r="7" spans="1:26" x14ac:dyDescent="0.3">
      <c r="A7" s="25">
        <v>1.1000000000000001</v>
      </c>
      <c r="B7" s="26" t="s">
        <v>71</v>
      </c>
      <c r="C7" s="27" t="s">
        <v>72</v>
      </c>
      <c r="D7" s="26" t="s">
        <v>73</v>
      </c>
      <c r="E7" s="26"/>
      <c r="F7" s="24">
        <v>1000</v>
      </c>
      <c r="G7" s="24"/>
      <c r="H7" s="24"/>
      <c r="I7" s="24"/>
      <c r="J7" s="24"/>
      <c r="K7" s="24"/>
      <c r="L7" s="15"/>
      <c r="M7" s="15"/>
      <c r="N7" s="15"/>
      <c r="O7" s="15"/>
      <c r="P7" s="15"/>
      <c r="Q7" s="15"/>
      <c r="R7" s="15"/>
      <c r="S7" s="15"/>
      <c r="T7" s="15"/>
      <c r="U7" s="15"/>
      <c r="V7" s="15"/>
      <c r="W7" s="15"/>
      <c r="X7" s="15"/>
      <c r="Y7" s="15"/>
      <c r="Z7" s="15"/>
    </row>
    <row r="8" spans="1:26" x14ac:dyDescent="0.3">
      <c r="A8" s="17"/>
      <c r="B8" s="17"/>
      <c r="C8" s="17"/>
      <c r="D8" s="17"/>
      <c r="E8" s="17"/>
      <c r="F8" s="17"/>
      <c r="G8" s="17"/>
      <c r="H8" s="17"/>
      <c r="I8" s="17"/>
      <c r="J8" s="17"/>
      <c r="K8" s="17"/>
      <c r="L8" s="15"/>
      <c r="M8" s="15"/>
      <c r="N8" s="15"/>
      <c r="O8" s="15"/>
      <c r="P8" s="15"/>
      <c r="Q8" s="15"/>
      <c r="R8" s="15"/>
      <c r="S8" s="15"/>
      <c r="T8" s="15"/>
      <c r="U8" s="15"/>
      <c r="V8" s="15"/>
      <c r="W8" s="15"/>
      <c r="X8" s="15"/>
      <c r="Y8" s="15"/>
      <c r="Z8" s="15"/>
    </row>
    <row r="9" spans="1:26" x14ac:dyDescent="0.3">
      <c r="A9" s="24">
        <v>2</v>
      </c>
      <c r="B9" s="25">
        <v>1.5</v>
      </c>
      <c r="C9" s="17" t="s">
        <v>74</v>
      </c>
      <c r="D9" s="26" t="s">
        <v>75</v>
      </c>
      <c r="E9" s="26"/>
      <c r="F9" s="24">
        <v>25754</v>
      </c>
      <c r="G9" s="24"/>
      <c r="H9" s="24"/>
      <c r="I9" s="24"/>
      <c r="J9" s="24"/>
      <c r="K9" s="24"/>
      <c r="L9" s="15"/>
      <c r="M9" s="15"/>
      <c r="N9" s="15"/>
      <c r="O9" s="15"/>
      <c r="P9" s="15"/>
      <c r="Q9" s="15"/>
      <c r="R9" s="15"/>
      <c r="S9" s="15"/>
      <c r="T9" s="15"/>
      <c r="U9" s="15"/>
      <c r="V9" s="15"/>
      <c r="W9" s="15"/>
      <c r="X9" s="15"/>
      <c r="Y9" s="15"/>
      <c r="Z9" s="15"/>
    </row>
    <row r="10" spans="1:26" x14ac:dyDescent="0.3">
      <c r="A10" s="17"/>
      <c r="B10" s="17"/>
      <c r="C10" s="17"/>
      <c r="D10" s="17"/>
      <c r="E10" s="17"/>
      <c r="F10" s="17"/>
      <c r="G10" s="17"/>
      <c r="H10" s="17"/>
      <c r="I10" s="17"/>
      <c r="J10" s="17"/>
      <c r="K10" s="17"/>
      <c r="L10" s="15"/>
      <c r="M10" s="15"/>
      <c r="N10" s="15"/>
      <c r="O10" s="15"/>
      <c r="P10" s="15"/>
      <c r="Q10" s="15"/>
      <c r="R10" s="15"/>
      <c r="S10" s="15"/>
      <c r="T10" s="15"/>
      <c r="U10" s="15"/>
      <c r="V10" s="15"/>
      <c r="W10" s="15"/>
      <c r="X10" s="15"/>
      <c r="Y10" s="15"/>
      <c r="Z10" s="15"/>
    </row>
    <row r="11" spans="1:26" x14ac:dyDescent="0.3">
      <c r="A11" s="24">
        <v>3</v>
      </c>
      <c r="B11" s="25">
        <v>1.6</v>
      </c>
      <c r="C11" s="17" t="s">
        <v>76</v>
      </c>
      <c r="D11" s="26" t="s">
        <v>77</v>
      </c>
      <c r="E11" s="26"/>
      <c r="F11" s="24">
        <v>12877</v>
      </c>
      <c r="G11" s="24"/>
      <c r="H11" s="24"/>
      <c r="I11" s="24"/>
      <c r="J11" s="24"/>
      <c r="K11" s="24"/>
      <c r="L11" s="15"/>
      <c r="M11" s="15"/>
      <c r="N11" s="15"/>
      <c r="O11" s="15"/>
      <c r="P11" s="15"/>
      <c r="Q11" s="15"/>
      <c r="R11" s="15"/>
      <c r="S11" s="15"/>
      <c r="T11" s="15"/>
      <c r="U11" s="15"/>
      <c r="V11" s="15"/>
      <c r="W11" s="15"/>
      <c r="X11" s="15"/>
      <c r="Y11" s="15"/>
      <c r="Z11" s="15"/>
    </row>
    <row r="12" spans="1:26" x14ac:dyDescent="0.3">
      <c r="A12" s="17"/>
      <c r="B12" s="17"/>
      <c r="C12" s="17"/>
      <c r="D12" s="17"/>
      <c r="E12" s="17"/>
      <c r="F12" s="17"/>
      <c r="G12" s="17"/>
      <c r="H12" s="17"/>
      <c r="I12" s="17"/>
      <c r="J12" s="17"/>
      <c r="K12" s="17"/>
      <c r="L12" s="15"/>
      <c r="M12" s="15"/>
      <c r="N12" s="15"/>
      <c r="O12" s="15"/>
      <c r="P12" s="15"/>
      <c r="Q12" s="15"/>
      <c r="R12" s="15"/>
      <c r="S12" s="15"/>
      <c r="T12" s="15"/>
      <c r="U12" s="15"/>
      <c r="V12" s="15"/>
      <c r="W12" s="15"/>
      <c r="X12" s="15"/>
      <c r="Y12" s="15"/>
      <c r="Z12" s="15"/>
    </row>
    <row r="13" spans="1:26" x14ac:dyDescent="0.3">
      <c r="A13" s="24">
        <v>4</v>
      </c>
      <c r="B13" s="25">
        <v>1.7</v>
      </c>
      <c r="C13" s="27" t="s">
        <v>78</v>
      </c>
      <c r="D13" s="17"/>
      <c r="E13" s="17"/>
      <c r="F13" s="17"/>
      <c r="G13" s="17"/>
      <c r="H13" s="17"/>
      <c r="I13" s="17"/>
      <c r="J13" s="17"/>
      <c r="K13" s="17"/>
      <c r="L13" s="15"/>
      <c r="M13" s="15"/>
      <c r="N13" s="15"/>
      <c r="O13" s="15"/>
      <c r="P13" s="15"/>
      <c r="Q13" s="15"/>
      <c r="R13" s="15"/>
      <c r="S13" s="15"/>
      <c r="T13" s="15"/>
      <c r="U13" s="15"/>
      <c r="V13" s="15"/>
      <c r="W13" s="15"/>
      <c r="X13" s="15"/>
      <c r="Y13" s="15"/>
      <c r="Z13" s="15"/>
    </row>
    <row r="14" spans="1:26" x14ac:dyDescent="0.3">
      <c r="A14" s="25">
        <v>4.0999999999999996</v>
      </c>
      <c r="B14" s="26" t="s">
        <v>79</v>
      </c>
      <c r="C14" s="27" t="s">
        <v>80</v>
      </c>
      <c r="D14" s="26" t="s">
        <v>81</v>
      </c>
      <c r="E14" s="26"/>
      <c r="F14" s="24">
        <v>3535</v>
      </c>
      <c r="G14" s="24"/>
      <c r="H14" s="24"/>
      <c r="I14" s="24"/>
      <c r="J14" s="24"/>
      <c r="K14" s="24"/>
      <c r="L14" s="15"/>
      <c r="M14" s="15"/>
      <c r="N14" s="15"/>
      <c r="O14" s="15"/>
      <c r="P14" s="15"/>
      <c r="Q14" s="15"/>
      <c r="R14" s="15"/>
      <c r="S14" s="15"/>
      <c r="T14" s="15"/>
      <c r="U14" s="15"/>
      <c r="V14" s="15"/>
      <c r="W14" s="15"/>
      <c r="X14" s="15"/>
      <c r="Y14" s="15"/>
      <c r="Z14" s="15"/>
    </row>
    <row r="15" spans="1:26" x14ac:dyDescent="0.3">
      <c r="A15" s="25">
        <v>4.2</v>
      </c>
      <c r="B15" s="26" t="s">
        <v>82</v>
      </c>
      <c r="C15" s="27" t="s">
        <v>83</v>
      </c>
      <c r="D15" s="26" t="s">
        <v>84</v>
      </c>
      <c r="E15" s="26"/>
      <c r="F15" s="24">
        <v>19210</v>
      </c>
      <c r="G15" s="24"/>
      <c r="H15" s="24"/>
      <c r="I15" s="24"/>
      <c r="J15" s="24"/>
      <c r="K15" s="24"/>
      <c r="L15" s="15"/>
      <c r="M15" s="15"/>
      <c r="N15" s="15"/>
      <c r="O15" s="15"/>
      <c r="P15" s="15"/>
      <c r="Q15" s="15"/>
      <c r="R15" s="15"/>
      <c r="S15" s="15"/>
      <c r="T15" s="15"/>
      <c r="U15" s="15"/>
      <c r="V15" s="15"/>
      <c r="W15" s="15"/>
      <c r="X15" s="15"/>
      <c r="Y15" s="15"/>
      <c r="Z15" s="15"/>
    </row>
    <row r="16" spans="1:26" x14ac:dyDescent="0.3">
      <c r="A16" s="25">
        <v>4.3</v>
      </c>
      <c r="B16" s="26" t="s">
        <v>85</v>
      </c>
      <c r="C16" s="27" t="s">
        <v>86</v>
      </c>
      <c r="D16" s="26" t="s">
        <v>87</v>
      </c>
      <c r="E16" s="26"/>
      <c r="F16" s="24">
        <v>100</v>
      </c>
      <c r="G16" s="24"/>
      <c r="H16" s="24"/>
      <c r="I16" s="24"/>
      <c r="J16" s="24"/>
      <c r="K16" s="24"/>
      <c r="L16" s="15"/>
      <c r="M16" s="15"/>
      <c r="N16" s="15"/>
      <c r="O16" s="15"/>
      <c r="P16" s="15"/>
      <c r="Q16" s="15"/>
      <c r="R16" s="15"/>
      <c r="S16" s="15"/>
      <c r="T16" s="15"/>
      <c r="U16" s="15"/>
      <c r="V16" s="15"/>
      <c r="W16" s="15"/>
      <c r="X16" s="15"/>
      <c r="Y16" s="15"/>
      <c r="Z16" s="15"/>
    </row>
    <row r="17" spans="1:26" x14ac:dyDescent="0.3">
      <c r="A17" s="25">
        <v>4.4000000000000004</v>
      </c>
      <c r="B17" s="26" t="s">
        <v>88</v>
      </c>
      <c r="C17" s="27" t="s">
        <v>89</v>
      </c>
      <c r="D17" s="26" t="s">
        <v>90</v>
      </c>
      <c r="E17" s="26"/>
      <c r="F17" s="24">
        <v>640</v>
      </c>
      <c r="G17" s="24"/>
      <c r="H17" s="24"/>
      <c r="I17" s="24"/>
      <c r="J17" s="24"/>
      <c r="K17" s="24"/>
      <c r="L17" s="15"/>
      <c r="M17" s="15"/>
      <c r="N17" s="15"/>
      <c r="O17" s="15"/>
      <c r="P17" s="15"/>
      <c r="Q17" s="15"/>
      <c r="R17" s="15"/>
      <c r="S17" s="15"/>
      <c r="T17" s="15"/>
      <c r="U17" s="15"/>
      <c r="V17" s="15"/>
      <c r="W17" s="15"/>
      <c r="X17" s="15"/>
      <c r="Y17" s="15"/>
      <c r="Z17" s="15"/>
    </row>
    <row r="18" spans="1:26" x14ac:dyDescent="0.3">
      <c r="A18" s="25">
        <v>4.5</v>
      </c>
      <c r="B18" s="26" t="s">
        <v>91</v>
      </c>
      <c r="C18" s="27" t="s">
        <v>92</v>
      </c>
      <c r="D18" s="26" t="s">
        <v>93</v>
      </c>
      <c r="E18" s="26"/>
      <c r="F18" s="24">
        <v>100</v>
      </c>
      <c r="G18" s="24"/>
      <c r="H18" s="24"/>
      <c r="I18" s="24"/>
      <c r="J18" s="24"/>
      <c r="K18" s="24"/>
      <c r="L18" s="15"/>
      <c r="M18" s="15"/>
      <c r="N18" s="15"/>
      <c r="O18" s="15"/>
      <c r="P18" s="15"/>
      <c r="Q18" s="15"/>
      <c r="R18" s="15"/>
      <c r="S18" s="15"/>
      <c r="T18" s="15"/>
      <c r="U18" s="15"/>
      <c r="V18" s="15"/>
      <c r="W18" s="15"/>
      <c r="X18" s="15"/>
      <c r="Y18" s="15"/>
      <c r="Z18" s="15"/>
    </row>
    <row r="19" spans="1:26" x14ac:dyDescent="0.3">
      <c r="A19" s="25">
        <v>4.5999999999999996</v>
      </c>
      <c r="B19" s="26" t="s">
        <v>94</v>
      </c>
      <c r="C19" s="27" t="s">
        <v>95</v>
      </c>
      <c r="D19" s="26" t="s">
        <v>96</v>
      </c>
      <c r="E19" s="26"/>
      <c r="F19" s="24">
        <v>120</v>
      </c>
      <c r="G19" s="24"/>
      <c r="H19" s="24"/>
      <c r="I19" s="24"/>
      <c r="J19" s="24"/>
      <c r="K19" s="24"/>
      <c r="L19" s="15"/>
      <c r="M19" s="15"/>
      <c r="N19" s="15"/>
      <c r="O19" s="15"/>
      <c r="P19" s="15"/>
      <c r="Q19" s="15"/>
      <c r="R19" s="15"/>
      <c r="S19" s="15"/>
      <c r="T19" s="15"/>
      <c r="U19" s="15"/>
      <c r="V19" s="15"/>
      <c r="W19" s="15"/>
      <c r="X19" s="15"/>
      <c r="Y19" s="15"/>
      <c r="Z19" s="15"/>
    </row>
    <row r="20" spans="1:26" x14ac:dyDescent="0.3">
      <c r="A20" s="25">
        <v>4.7</v>
      </c>
      <c r="B20" s="26" t="s">
        <v>97</v>
      </c>
      <c r="C20" s="27" t="s">
        <v>98</v>
      </c>
      <c r="D20" s="26" t="s">
        <v>99</v>
      </c>
      <c r="E20" s="26"/>
      <c r="F20" s="24">
        <v>100</v>
      </c>
      <c r="G20" s="24"/>
      <c r="H20" s="24"/>
      <c r="I20" s="24"/>
      <c r="J20" s="24"/>
      <c r="K20" s="24"/>
      <c r="L20" s="15"/>
      <c r="M20" s="15"/>
      <c r="N20" s="15"/>
      <c r="O20" s="15"/>
      <c r="P20" s="15"/>
      <c r="Q20" s="15"/>
      <c r="R20" s="15"/>
      <c r="S20" s="15"/>
      <c r="T20" s="15"/>
      <c r="U20" s="15"/>
      <c r="V20" s="15"/>
      <c r="W20" s="15"/>
      <c r="X20" s="15"/>
      <c r="Y20" s="15"/>
      <c r="Z20" s="15"/>
    </row>
    <row r="21" spans="1:26" x14ac:dyDescent="0.3">
      <c r="A21" s="25">
        <v>4.8</v>
      </c>
      <c r="B21" s="26" t="s">
        <v>100</v>
      </c>
      <c r="C21" s="27" t="s">
        <v>101</v>
      </c>
      <c r="D21" s="26" t="s">
        <v>102</v>
      </c>
      <c r="E21" s="26"/>
      <c r="F21" s="24">
        <v>1200</v>
      </c>
      <c r="G21" s="24"/>
      <c r="H21" s="24"/>
      <c r="I21" s="24"/>
      <c r="J21" s="24"/>
      <c r="K21" s="24"/>
      <c r="L21" s="15"/>
      <c r="M21" s="15"/>
      <c r="N21" s="15"/>
      <c r="O21" s="15"/>
      <c r="P21" s="15"/>
      <c r="Q21" s="15"/>
      <c r="R21" s="15"/>
      <c r="S21" s="15"/>
      <c r="T21" s="15"/>
      <c r="U21" s="15"/>
      <c r="V21" s="15"/>
      <c r="W21" s="15"/>
      <c r="X21" s="15"/>
      <c r="Y21" s="15"/>
      <c r="Z21" s="15"/>
    </row>
    <row r="22" spans="1:26" x14ac:dyDescent="0.3">
      <c r="A22" s="17"/>
      <c r="B22" s="17"/>
      <c r="C22" s="17"/>
      <c r="D22" s="17"/>
      <c r="E22" s="17"/>
      <c r="F22" s="17"/>
      <c r="G22" s="17"/>
      <c r="H22" s="17"/>
      <c r="I22" s="17"/>
      <c r="J22" s="17"/>
      <c r="K22" s="17"/>
      <c r="L22" s="15"/>
      <c r="M22" s="15"/>
      <c r="N22" s="15"/>
      <c r="O22" s="15"/>
      <c r="P22" s="15"/>
      <c r="Q22" s="15"/>
      <c r="R22" s="15"/>
      <c r="S22" s="15"/>
      <c r="T22" s="15"/>
      <c r="U22" s="15"/>
      <c r="V22" s="15"/>
      <c r="W22" s="15"/>
      <c r="X22" s="15"/>
      <c r="Y22" s="15"/>
      <c r="Z22" s="15"/>
    </row>
    <row r="23" spans="1:26" x14ac:dyDescent="0.3">
      <c r="A23" s="24">
        <v>6</v>
      </c>
      <c r="B23" s="29">
        <v>1.19</v>
      </c>
      <c r="C23" s="27" t="s">
        <v>103</v>
      </c>
      <c r="D23" s="26" t="s">
        <v>104</v>
      </c>
      <c r="E23" s="26"/>
      <c r="F23" s="24">
        <v>300</v>
      </c>
      <c r="G23" s="24"/>
      <c r="H23" s="24"/>
      <c r="I23" s="24"/>
      <c r="J23" s="24"/>
      <c r="K23" s="24"/>
      <c r="L23" s="15"/>
      <c r="M23" s="15"/>
      <c r="N23" s="15"/>
      <c r="O23" s="15"/>
      <c r="P23" s="15"/>
      <c r="Q23" s="15"/>
      <c r="R23" s="15"/>
      <c r="S23" s="15"/>
      <c r="T23" s="15"/>
      <c r="U23" s="15"/>
      <c r="V23" s="15"/>
      <c r="W23" s="15"/>
      <c r="X23" s="15"/>
      <c r="Y23" s="15"/>
      <c r="Z23" s="15"/>
    </row>
    <row r="24" spans="1:26" x14ac:dyDescent="0.3">
      <c r="A24" s="17"/>
      <c r="B24" s="17"/>
      <c r="C24" s="17"/>
      <c r="D24" s="17"/>
      <c r="E24" s="17"/>
      <c r="F24" s="17"/>
      <c r="G24" s="17"/>
      <c r="H24" s="17"/>
      <c r="I24" s="17"/>
      <c r="J24" s="17"/>
      <c r="K24" s="17"/>
      <c r="L24" s="15"/>
      <c r="M24" s="15"/>
      <c r="N24" s="15"/>
      <c r="O24" s="15"/>
      <c r="P24" s="15"/>
      <c r="Q24" s="15"/>
      <c r="R24" s="15"/>
      <c r="S24" s="15"/>
      <c r="T24" s="15"/>
      <c r="U24" s="15"/>
      <c r="V24" s="15"/>
      <c r="W24" s="15"/>
      <c r="X24" s="15"/>
      <c r="Y24" s="15"/>
      <c r="Z24" s="15"/>
    </row>
    <row r="25" spans="1:26" x14ac:dyDescent="0.3">
      <c r="A25" s="24">
        <v>7</v>
      </c>
      <c r="B25" s="29">
        <v>1.2</v>
      </c>
      <c r="C25" s="27" t="s">
        <v>105</v>
      </c>
      <c r="D25" s="17"/>
      <c r="E25" s="17"/>
      <c r="F25" s="17"/>
      <c r="G25" s="17"/>
      <c r="H25" s="17"/>
      <c r="I25" s="17"/>
      <c r="J25" s="17"/>
      <c r="K25" s="17"/>
      <c r="L25" s="15"/>
      <c r="M25" s="15"/>
      <c r="N25" s="15"/>
      <c r="O25" s="15"/>
      <c r="P25" s="15"/>
      <c r="Q25" s="15"/>
      <c r="R25" s="15"/>
      <c r="S25" s="15"/>
      <c r="T25" s="15"/>
      <c r="U25" s="15"/>
      <c r="V25" s="15"/>
      <c r="W25" s="15"/>
      <c r="X25" s="15"/>
      <c r="Y25" s="15"/>
      <c r="Z25" s="15"/>
    </row>
    <row r="26" spans="1:26" x14ac:dyDescent="0.3">
      <c r="A26" s="25">
        <v>7.1</v>
      </c>
      <c r="B26" s="26" t="s">
        <v>106</v>
      </c>
      <c r="C26" s="27" t="s">
        <v>107</v>
      </c>
      <c r="D26" s="26" t="s">
        <v>108</v>
      </c>
      <c r="E26" s="26"/>
      <c r="F26" s="24">
        <v>18830</v>
      </c>
      <c r="G26" s="24"/>
      <c r="H26" s="24"/>
      <c r="I26" s="24"/>
      <c r="J26" s="24"/>
      <c r="K26" s="24"/>
      <c r="L26" s="15"/>
      <c r="M26" s="15"/>
      <c r="N26" s="15"/>
      <c r="O26" s="15"/>
      <c r="P26" s="15"/>
      <c r="Q26" s="15"/>
      <c r="R26" s="15"/>
      <c r="S26" s="15"/>
      <c r="T26" s="15"/>
      <c r="U26" s="15"/>
      <c r="V26" s="15"/>
      <c r="W26" s="15"/>
      <c r="X26" s="15"/>
      <c r="Y26" s="15"/>
      <c r="Z26" s="15"/>
    </row>
    <row r="27" spans="1:26" x14ac:dyDescent="0.3">
      <c r="A27" s="25">
        <v>7.2</v>
      </c>
      <c r="B27" s="26" t="s">
        <v>109</v>
      </c>
      <c r="C27" s="27" t="s">
        <v>110</v>
      </c>
      <c r="D27" s="26" t="s">
        <v>111</v>
      </c>
      <c r="E27" s="26"/>
      <c r="F27" s="24">
        <v>19573</v>
      </c>
      <c r="G27" s="24"/>
      <c r="H27" s="24"/>
      <c r="I27" s="24"/>
      <c r="J27" s="24"/>
      <c r="K27" s="24"/>
      <c r="L27" s="15"/>
      <c r="M27" s="15"/>
      <c r="N27" s="15"/>
      <c r="O27" s="15"/>
      <c r="P27" s="15"/>
      <c r="Q27" s="15"/>
      <c r="R27" s="15"/>
      <c r="S27" s="15"/>
      <c r="T27" s="15"/>
      <c r="U27" s="15"/>
      <c r="V27" s="15"/>
      <c r="W27" s="15"/>
      <c r="X27" s="15"/>
      <c r="Y27" s="15"/>
      <c r="Z27" s="15"/>
    </row>
    <row r="28" spans="1:26" x14ac:dyDescent="0.3">
      <c r="A28" s="25">
        <v>7.3</v>
      </c>
      <c r="B28" s="26" t="s">
        <v>112</v>
      </c>
      <c r="C28" s="27" t="s">
        <v>113</v>
      </c>
      <c r="D28" s="26" t="s">
        <v>114</v>
      </c>
      <c r="E28" s="26"/>
      <c r="F28" s="24">
        <v>260</v>
      </c>
      <c r="G28" s="24"/>
      <c r="H28" s="24"/>
      <c r="I28" s="24"/>
      <c r="J28" s="24"/>
      <c r="K28" s="24"/>
      <c r="L28" s="15"/>
      <c r="M28" s="15"/>
      <c r="N28" s="15"/>
      <c r="O28" s="15"/>
      <c r="P28" s="15"/>
      <c r="Q28" s="15"/>
      <c r="R28" s="15"/>
      <c r="S28" s="15"/>
      <c r="T28" s="15"/>
      <c r="U28" s="15"/>
      <c r="V28" s="15"/>
      <c r="W28" s="15"/>
      <c r="X28" s="15"/>
      <c r="Y28" s="15"/>
      <c r="Z28" s="15"/>
    </row>
    <row r="29" spans="1:26" x14ac:dyDescent="0.3">
      <c r="A29" s="17"/>
      <c r="B29" s="17"/>
      <c r="C29" s="17"/>
      <c r="D29" s="17"/>
      <c r="E29" s="17"/>
      <c r="F29" s="17"/>
      <c r="G29" s="17"/>
      <c r="H29" s="17"/>
      <c r="I29" s="17"/>
      <c r="J29" s="17"/>
      <c r="K29" s="17"/>
      <c r="L29" s="15"/>
      <c r="M29" s="15"/>
      <c r="N29" s="15"/>
      <c r="O29" s="15"/>
      <c r="P29" s="15"/>
      <c r="Q29" s="15"/>
      <c r="R29" s="15"/>
      <c r="S29" s="15"/>
      <c r="T29" s="15"/>
      <c r="U29" s="15"/>
      <c r="V29" s="15"/>
      <c r="W29" s="15"/>
      <c r="X29" s="15"/>
      <c r="Y29" s="15"/>
      <c r="Z29" s="15"/>
    </row>
    <row r="30" spans="1:26" x14ac:dyDescent="0.3">
      <c r="A30" s="24">
        <v>8</v>
      </c>
      <c r="B30" s="29">
        <v>1.24</v>
      </c>
      <c r="C30" s="17" t="s">
        <v>115</v>
      </c>
      <c r="D30" s="17"/>
      <c r="E30" s="17"/>
      <c r="F30" s="17"/>
      <c r="G30" s="17"/>
      <c r="H30" s="17"/>
      <c r="I30" s="17"/>
      <c r="J30" s="17"/>
      <c r="K30" s="17"/>
      <c r="L30" s="15"/>
      <c r="M30" s="15"/>
      <c r="N30" s="15"/>
      <c r="O30" s="15"/>
      <c r="P30" s="15"/>
      <c r="Q30" s="15"/>
      <c r="R30" s="15"/>
      <c r="S30" s="15"/>
      <c r="T30" s="15"/>
      <c r="U30" s="15"/>
      <c r="V30" s="15"/>
      <c r="W30" s="15"/>
      <c r="X30" s="15"/>
      <c r="Y30" s="15"/>
      <c r="Z30" s="15"/>
    </row>
    <row r="31" spans="1:26" x14ac:dyDescent="0.3">
      <c r="A31" s="25">
        <v>8.1</v>
      </c>
      <c r="B31" s="26" t="s">
        <v>116</v>
      </c>
      <c r="C31" s="27" t="s">
        <v>117</v>
      </c>
      <c r="D31" s="26" t="s">
        <v>118</v>
      </c>
      <c r="E31" s="26"/>
      <c r="F31" s="24">
        <v>1180</v>
      </c>
      <c r="G31" s="24"/>
      <c r="H31" s="24"/>
      <c r="I31" s="24"/>
      <c r="J31" s="24"/>
      <c r="K31" s="24"/>
      <c r="L31" s="15"/>
      <c r="M31" s="15"/>
      <c r="N31" s="15"/>
      <c r="O31" s="15"/>
      <c r="P31" s="15"/>
      <c r="Q31" s="15"/>
      <c r="R31" s="15"/>
      <c r="S31" s="15"/>
      <c r="T31" s="15"/>
      <c r="U31" s="15"/>
      <c r="V31" s="15"/>
      <c r="W31" s="15"/>
      <c r="X31" s="15"/>
      <c r="Y31" s="15"/>
      <c r="Z31" s="15"/>
    </row>
    <row r="32" spans="1:26" x14ac:dyDescent="0.3">
      <c r="A32" s="25">
        <v>8.1999999999999993</v>
      </c>
      <c r="B32" s="26" t="s">
        <v>119</v>
      </c>
      <c r="C32" s="27" t="s">
        <v>120</v>
      </c>
      <c r="D32" s="26" t="s">
        <v>121</v>
      </c>
      <c r="E32" s="26"/>
      <c r="F32" s="24">
        <v>1091</v>
      </c>
      <c r="G32" s="24"/>
      <c r="H32" s="24"/>
      <c r="I32" s="24"/>
      <c r="J32" s="24"/>
      <c r="K32" s="24"/>
      <c r="L32" s="15"/>
      <c r="M32" s="15"/>
      <c r="N32" s="15"/>
      <c r="O32" s="15"/>
      <c r="P32" s="15"/>
      <c r="Q32" s="15"/>
      <c r="R32" s="15"/>
      <c r="S32" s="15"/>
      <c r="T32" s="15"/>
      <c r="U32" s="15"/>
      <c r="V32" s="15"/>
      <c r="W32" s="15"/>
      <c r="X32" s="15"/>
      <c r="Y32" s="15"/>
      <c r="Z32" s="15"/>
    </row>
    <row r="33" spans="1:26" x14ac:dyDescent="0.3">
      <c r="A33" s="25">
        <v>8.3000000000000007</v>
      </c>
      <c r="B33" s="26" t="s">
        <v>122</v>
      </c>
      <c r="C33" s="27" t="s">
        <v>123</v>
      </c>
      <c r="D33" s="26" t="s">
        <v>124</v>
      </c>
      <c r="E33" s="26"/>
      <c r="F33" s="24">
        <v>1180</v>
      </c>
      <c r="G33" s="24"/>
      <c r="H33" s="24"/>
      <c r="I33" s="24"/>
      <c r="J33" s="24"/>
      <c r="K33" s="24"/>
      <c r="L33" s="15"/>
      <c r="M33" s="15"/>
      <c r="N33" s="15"/>
      <c r="O33" s="15"/>
      <c r="P33" s="15"/>
      <c r="Q33" s="15"/>
      <c r="R33" s="15"/>
      <c r="S33" s="15"/>
      <c r="T33" s="15"/>
      <c r="U33" s="15"/>
      <c r="V33" s="15"/>
      <c r="W33" s="15"/>
      <c r="X33" s="15"/>
      <c r="Y33" s="15"/>
      <c r="Z33" s="15"/>
    </row>
    <row r="34" spans="1:26" x14ac:dyDescent="0.3">
      <c r="A34" s="30">
        <v>8.4</v>
      </c>
      <c r="B34" s="31" t="s">
        <v>125</v>
      </c>
      <c r="C34" s="32" t="s">
        <v>126</v>
      </c>
      <c r="D34" s="31" t="s">
        <v>127</v>
      </c>
      <c r="E34" s="31"/>
      <c r="F34" s="33">
        <v>3734</v>
      </c>
      <c r="G34" s="33"/>
      <c r="H34" s="33"/>
      <c r="I34" s="33"/>
      <c r="J34" s="33"/>
      <c r="K34" s="33"/>
      <c r="L34" s="15"/>
      <c r="M34" s="15"/>
      <c r="N34" s="15"/>
      <c r="O34" s="15"/>
      <c r="P34" s="15"/>
      <c r="Q34" s="15"/>
      <c r="R34" s="15"/>
      <c r="S34" s="15"/>
      <c r="T34" s="15"/>
      <c r="U34" s="15"/>
      <c r="V34" s="15"/>
      <c r="W34" s="15"/>
      <c r="X34" s="15"/>
      <c r="Y34" s="15"/>
      <c r="Z34" s="15"/>
    </row>
    <row r="35" spans="1:26" x14ac:dyDescent="0.3">
      <c r="A35" s="17"/>
      <c r="B35" s="17"/>
      <c r="C35" s="17"/>
      <c r="D35" s="17"/>
      <c r="E35" s="17"/>
      <c r="F35" s="17"/>
      <c r="G35" s="17"/>
      <c r="H35" s="17"/>
      <c r="I35" s="17"/>
      <c r="J35" s="17"/>
      <c r="K35" s="17"/>
      <c r="L35" s="15"/>
      <c r="M35" s="15"/>
      <c r="N35" s="15"/>
      <c r="O35" s="15"/>
      <c r="P35" s="15"/>
      <c r="Q35" s="15"/>
      <c r="R35" s="15"/>
      <c r="S35" s="15"/>
      <c r="T35" s="15"/>
      <c r="U35" s="15"/>
      <c r="V35" s="15"/>
      <c r="W35" s="15"/>
      <c r="X35" s="15"/>
      <c r="Y35" s="15"/>
      <c r="Z35" s="15"/>
    </row>
    <row r="36" spans="1:26" x14ac:dyDescent="0.3">
      <c r="A36" s="24">
        <v>9</v>
      </c>
      <c r="B36" s="29">
        <v>1.26</v>
      </c>
      <c r="C36" s="27" t="s">
        <v>128</v>
      </c>
      <c r="D36" s="26" t="s">
        <v>129</v>
      </c>
      <c r="E36" s="26"/>
      <c r="F36" s="24">
        <v>481</v>
      </c>
      <c r="G36" s="24"/>
      <c r="H36" s="24"/>
      <c r="I36" s="24"/>
      <c r="J36" s="24"/>
      <c r="K36" s="24"/>
      <c r="L36" s="15"/>
      <c r="M36" s="15"/>
      <c r="N36" s="15"/>
      <c r="O36" s="15"/>
      <c r="P36" s="15"/>
      <c r="Q36" s="15"/>
      <c r="R36" s="15"/>
      <c r="S36" s="15"/>
      <c r="T36" s="15"/>
      <c r="U36" s="15"/>
      <c r="V36" s="15"/>
      <c r="W36" s="15"/>
      <c r="X36" s="15"/>
      <c r="Y36" s="15"/>
      <c r="Z36" s="15"/>
    </row>
    <row r="37" spans="1:26" x14ac:dyDescent="0.3">
      <c r="A37" s="17"/>
      <c r="B37" s="17"/>
      <c r="C37" s="17"/>
      <c r="D37" s="17"/>
      <c r="E37" s="17"/>
      <c r="F37" s="17"/>
      <c r="G37" s="17"/>
      <c r="H37" s="17"/>
      <c r="I37" s="17"/>
      <c r="J37" s="17"/>
      <c r="K37" s="17"/>
      <c r="L37" s="15"/>
      <c r="M37" s="15"/>
      <c r="N37" s="15"/>
      <c r="O37" s="15"/>
      <c r="P37" s="15"/>
      <c r="Q37" s="15"/>
      <c r="R37" s="15"/>
      <c r="S37" s="15"/>
      <c r="T37" s="15"/>
      <c r="U37" s="15"/>
      <c r="V37" s="15"/>
      <c r="W37" s="15"/>
      <c r="X37" s="15"/>
      <c r="Y37" s="15"/>
      <c r="Z37" s="15"/>
    </row>
    <row r="38" spans="1:26" x14ac:dyDescent="0.3">
      <c r="A38" s="24">
        <v>10</v>
      </c>
      <c r="B38" s="29">
        <v>1.27</v>
      </c>
      <c r="C38" s="17" t="s">
        <v>130</v>
      </c>
      <c r="D38" s="17"/>
      <c r="E38" s="17"/>
      <c r="F38" s="17"/>
      <c r="G38" s="17"/>
      <c r="H38" s="17"/>
      <c r="I38" s="17"/>
      <c r="J38" s="17"/>
      <c r="K38" s="17"/>
      <c r="L38" s="15"/>
      <c r="M38" s="15"/>
      <c r="N38" s="15"/>
      <c r="O38" s="15"/>
      <c r="P38" s="15"/>
      <c r="Q38" s="15"/>
      <c r="R38" s="15"/>
      <c r="S38" s="15"/>
      <c r="T38" s="15"/>
      <c r="U38" s="15"/>
      <c r="V38" s="15"/>
      <c r="W38" s="15"/>
      <c r="X38" s="15"/>
      <c r="Y38" s="15"/>
      <c r="Z38" s="15"/>
    </row>
    <row r="39" spans="1:26" x14ac:dyDescent="0.3">
      <c r="A39" s="25">
        <v>10.1</v>
      </c>
      <c r="B39" s="26" t="s">
        <v>131</v>
      </c>
      <c r="C39" s="27" t="s">
        <v>132</v>
      </c>
      <c r="D39" s="26" t="s">
        <v>133</v>
      </c>
      <c r="E39" s="26"/>
      <c r="F39" s="24">
        <v>26</v>
      </c>
      <c r="G39" s="24"/>
      <c r="H39" s="24"/>
      <c r="I39" s="24"/>
      <c r="J39" s="24"/>
      <c r="K39" s="24"/>
      <c r="L39" s="15"/>
      <c r="M39" s="15"/>
      <c r="N39" s="15"/>
      <c r="O39" s="15"/>
      <c r="P39" s="15"/>
      <c r="Q39" s="15"/>
      <c r="R39" s="15"/>
      <c r="S39" s="15"/>
      <c r="T39" s="15"/>
      <c r="U39" s="15"/>
      <c r="V39" s="15"/>
      <c r="W39" s="15"/>
      <c r="X39" s="15"/>
      <c r="Y39" s="15"/>
      <c r="Z39" s="15"/>
    </row>
    <row r="40" spans="1:26" x14ac:dyDescent="0.3">
      <c r="A40" s="25">
        <v>10.199999999999999</v>
      </c>
      <c r="B40" s="26" t="s">
        <v>134</v>
      </c>
      <c r="C40" s="27" t="s">
        <v>135</v>
      </c>
      <c r="D40" s="26" t="s">
        <v>136</v>
      </c>
      <c r="E40" s="26"/>
      <c r="F40" s="24">
        <v>4914</v>
      </c>
      <c r="G40" s="24"/>
      <c r="H40" s="24"/>
      <c r="I40" s="24"/>
      <c r="J40" s="24"/>
      <c r="K40" s="24"/>
      <c r="L40" s="15"/>
      <c r="M40" s="15"/>
      <c r="N40" s="15"/>
      <c r="O40" s="15"/>
      <c r="P40" s="15"/>
      <c r="Q40" s="15"/>
      <c r="R40" s="15"/>
      <c r="S40" s="15"/>
      <c r="T40" s="15"/>
      <c r="U40" s="15"/>
      <c r="V40" s="15"/>
      <c r="W40" s="15"/>
      <c r="X40" s="15"/>
      <c r="Y40" s="15"/>
      <c r="Z40" s="15"/>
    </row>
    <row r="41" spans="1:26" x14ac:dyDescent="0.3">
      <c r="A41" s="25">
        <v>10.4</v>
      </c>
      <c r="B41" s="26" t="s">
        <v>137</v>
      </c>
      <c r="C41" s="27" t="s">
        <v>138</v>
      </c>
      <c r="D41" s="26" t="s">
        <v>139</v>
      </c>
      <c r="E41" s="26"/>
      <c r="F41" s="24">
        <v>536</v>
      </c>
      <c r="G41" s="24"/>
      <c r="H41" s="24"/>
      <c r="I41" s="24"/>
      <c r="J41" s="24"/>
      <c r="K41" s="24"/>
      <c r="L41" s="15"/>
      <c r="M41" s="15"/>
      <c r="N41" s="15"/>
      <c r="O41" s="15"/>
      <c r="P41" s="15"/>
      <c r="Q41" s="15"/>
      <c r="R41" s="15"/>
      <c r="S41" s="15"/>
      <c r="T41" s="15"/>
      <c r="U41" s="15"/>
      <c r="V41" s="15"/>
      <c r="W41" s="15"/>
      <c r="X41" s="15"/>
      <c r="Y41" s="15"/>
      <c r="Z41" s="15"/>
    </row>
    <row r="42" spans="1:26" x14ac:dyDescent="0.3">
      <c r="A42" s="17"/>
      <c r="B42" s="17"/>
      <c r="C42" s="17"/>
      <c r="D42" s="17"/>
      <c r="E42" s="17"/>
      <c r="F42" s="17"/>
      <c r="G42" s="17"/>
      <c r="H42" s="17"/>
      <c r="I42" s="17"/>
      <c r="J42" s="17"/>
      <c r="K42" s="17"/>
      <c r="L42" s="15"/>
      <c r="M42" s="15"/>
      <c r="N42" s="15"/>
      <c r="O42" s="15"/>
      <c r="P42" s="15"/>
      <c r="Q42" s="15"/>
      <c r="R42" s="15"/>
      <c r="S42" s="15"/>
      <c r="T42" s="15"/>
      <c r="U42" s="15"/>
      <c r="V42" s="15"/>
      <c r="W42" s="15"/>
      <c r="X42" s="15"/>
      <c r="Y42" s="15"/>
      <c r="Z42" s="15"/>
    </row>
    <row r="43" spans="1:26" x14ac:dyDescent="0.3">
      <c r="A43" s="24">
        <v>11</v>
      </c>
      <c r="B43" s="29">
        <v>1.28</v>
      </c>
      <c r="C43" s="17" t="s">
        <v>140</v>
      </c>
      <c r="D43" s="17"/>
      <c r="E43" s="17"/>
      <c r="F43" s="17"/>
      <c r="G43" s="17"/>
      <c r="H43" s="17"/>
      <c r="I43" s="17"/>
      <c r="J43" s="17"/>
      <c r="K43" s="17"/>
      <c r="L43" s="15"/>
      <c r="M43" s="15"/>
      <c r="N43" s="15"/>
      <c r="O43" s="15"/>
      <c r="P43" s="15"/>
      <c r="Q43" s="15"/>
      <c r="R43" s="15"/>
      <c r="S43" s="15"/>
      <c r="T43" s="15"/>
      <c r="U43" s="15"/>
      <c r="V43" s="15"/>
      <c r="W43" s="15"/>
      <c r="X43" s="15"/>
      <c r="Y43" s="15"/>
      <c r="Z43" s="15"/>
    </row>
    <row r="44" spans="1:26" x14ac:dyDescent="0.3">
      <c r="A44" s="25">
        <v>11.1</v>
      </c>
      <c r="B44" s="26" t="s">
        <v>141</v>
      </c>
      <c r="C44" s="27" t="s">
        <v>142</v>
      </c>
      <c r="D44" s="26" t="s">
        <v>143</v>
      </c>
      <c r="E44" s="26"/>
      <c r="F44" s="24">
        <v>907</v>
      </c>
      <c r="G44" s="24"/>
      <c r="H44" s="24"/>
      <c r="I44" s="24"/>
      <c r="J44" s="24"/>
      <c r="K44" s="24"/>
      <c r="L44" s="15"/>
      <c r="M44" s="15"/>
      <c r="N44" s="15"/>
      <c r="O44" s="15"/>
      <c r="P44" s="15"/>
      <c r="Q44" s="15"/>
      <c r="R44" s="15"/>
      <c r="S44" s="15"/>
      <c r="T44" s="15"/>
      <c r="U44" s="15"/>
      <c r="V44" s="15"/>
      <c r="W44" s="15"/>
      <c r="X44" s="15"/>
      <c r="Y44" s="15"/>
      <c r="Z44" s="15"/>
    </row>
    <row r="45" spans="1:26" x14ac:dyDescent="0.3">
      <c r="A45" s="25">
        <v>11.2</v>
      </c>
      <c r="B45" s="26" t="s">
        <v>144</v>
      </c>
      <c r="C45" s="27" t="s">
        <v>145</v>
      </c>
      <c r="D45" s="26" t="s">
        <v>146</v>
      </c>
      <c r="E45" s="26"/>
      <c r="F45" s="24">
        <v>4914</v>
      </c>
      <c r="G45" s="24"/>
      <c r="H45" s="24"/>
      <c r="I45" s="24"/>
      <c r="J45" s="24"/>
      <c r="K45" s="24"/>
      <c r="L45" s="15"/>
      <c r="M45" s="15"/>
      <c r="N45" s="15"/>
      <c r="O45" s="15"/>
      <c r="P45" s="15"/>
      <c r="Q45" s="15"/>
      <c r="R45" s="15"/>
      <c r="S45" s="15"/>
      <c r="T45" s="15"/>
      <c r="U45" s="15"/>
      <c r="V45" s="15"/>
      <c r="W45" s="15"/>
      <c r="X45" s="15"/>
      <c r="Y45" s="15"/>
      <c r="Z45" s="15"/>
    </row>
    <row r="46" spans="1:26" x14ac:dyDescent="0.3">
      <c r="A46" s="25">
        <v>11.5</v>
      </c>
      <c r="B46" s="26" t="s">
        <v>147</v>
      </c>
      <c r="C46" s="27" t="s">
        <v>148</v>
      </c>
      <c r="D46" s="26" t="s">
        <v>149</v>
      </c>
      <c r="E46" s="26"/>
      <c r="F46" s="24">
        <v>881</v>
      </c>
      <c r="G46" s="24"/>
      <c r="H46" s="24"/>
      <c r="I46" s="24"/>
      <c r="J46" s="24"/>
      <c r="K46" s="24"/>
      <c r="L46" s="15"/>
      <c r="M46" s="15"/>
      <c r="N46" s="15"/>
      <c r="O46" s="15"/>
      <c r="P46" s="15"/>
      <c r="Q46" s="15"/>
      <c r="R46" s="15"/>
      <c r="S46" s="15"/>
      <c r="T46" s="15"/>
      <c r="U46" s="15"/>
      <c r="V46" s="15"/>
      <c r="W46" s="15"/>
      <c r="X46" s="15"/>
      <c r="Y46" s="15"/>
      <c r="Z46" s="15"/>
    </row>
    <row r="47" spans="1:26" x14ac:dyDescent="0.3">
      <c r="A47" s="17"/>
      <c r="B47" s="17"/>
      <c r="C47" s="17"/>
      <c r="D47" s="17"/>
      <c r="E47" s="17"/>
      <c r="F47" s="17"/>
      <c r="G47" s="17"/>
      <c r="H47" s="17"/>
      <c r="I47" s="17"/>
      <c r="J47" s="17"/>
      <c r="K47" s="17"/>
      <c r="L47" s="15"/>
      <c r="M47" s="15"/>
      <c r="N47" s="15"/>
      <c r="O47" s="15"/>
      <c r="P47" s="15"/>
      <c r="Q47" s="15"/>
      <c r="R47" s="15"/>
      <c r="S47" s="15"/>
      <c r="T47" s="15"/>
      <c r="U47" s="15"/>
      <c r="V47" s="15"/>
      <c r="W47" s="15"/>
      <c r="X47" s="15"/>
      <c r="Y47" s="15"/>
      <c r="Z47" s="15"/>
    </row>
    <row r="48" spans="1:26" x14ac:dyDescent="0.3">
      <c r="A48" s="24">
        <v>12</v>
      </c>
      <c r="B48" s="29">
        <v>1.31</v>
      </c>
      <c r="C48" s="17" t="s">
        <v>150</v>
      </c>
      <c r="D48" s="26" t="s">
        <v>151</v>
      </c>
      <c r="E48" s="26"/>
      <c r="F48" s="24">
        <v>673</v>
      </c>
      <c r="G48" s="24"/>
      <c r="H48" s="24"/>
      <c r="I48" s="24"/>
      <c r="J48" s="24"/>
      <c r="K48" s="24"/>
      <c r="L48" s="15"/>
      <c r="M48" s="15"/>
      <c r="N48" s="15"/>
      <c r="O48" s="15"/>
      <c r="P48" s="15"/>
      <c r="Q48" s="15"/>
      <c r="R48" s="15"/>
      <c r="S48" s="15"/>
      <c r="T48" s="15"/>
      <c r="U48" s="15"/>
      <c r="V48" s="15"/>
      <c r="W48" s="15"/>
      <c r="X48" s="15"/>
      <c r="Y48" s="15"/>
      <c r="Z48" s="15"/>
    </row>
    <row r="49" spans="1:26" x14ac:dyDescent="0.3">
      <c r="A49" s="17"/>
      <c r="B49" s="17"/>
      <c r="C49" s="17"/>
      <c r="D49" s="17"/>
      <c r="E49" s="17"/>
      <c r="F49" s="17"/>
      <c r="G49" s="17"/>
      <c r="H49" s="17"/>
      <c r="I49" s="17"/>
      <c r="J49" s="17"/>
      <c r="K49" s="17"/>
      <c r="L49" s="15"/>
      <c r="M49" s="15"/>
      <c r="N49" s="15"/>
      <c r="O49" s="15"/>
      <c r="P49" s="15"/>
      <c r="Q49" s="15"/>
      <c r="R49" s="15"/>
      <c r="S49" s="15"/>
      <c r="T49" s="15"/>
      <c r="U49" s="15"/>
      <c r="V49" s="15"/>
      <c r="W49" s="15"/>
      <c r="X49" s="15"/>
      <c r="Y49" s="15"/>
      <c r="Z49" s="15"/>
    </row>
    <row r="50" spans="1:26" x14ac:dyDescent="0.3">
      <c r="A50" s="24">
        <v>13</v>
      </c>
      <c r="B50" s="29">
        <v>1.32</v>
      </c>
      <c r="C50" s="17" t="s">
        <v>152</v>
      </c>
      <c r="D50" s="26" t="s">
        <v>153</v>
      </c>
      <c r="E50" s="26"/>
      <c r="F50" s="24">
        <v>1967</v>
      </c>
      <c r="G50" s="24"/>
      <c r="H50" s="24"/>
      <c r="I50" s="24"/>
      <c r="J50" s="24"/>
      <c r="K50" s="24"/>
      <c r="L50" s="15"/>
      <c r="M50" s="15"/>
      <c r="N50" s="15"/>
      <c r="O50" s="15"/>
      <c r="P50" s="15"/>
      <c r="Q50" s="15"/>
      <c r="R50" s="15"/>
      <c r="S50" s="15"/>
      <c r="T50" s="15"/>
      <c r="U50" s="15"/>
      <c r="V50" s="15"/>
      <c r="W50" s="15"/>
      <c r="X50" s="15"/>
      <c r="Y50" s="15"/>
      <c r="Z50" s="15"/>
    </row>
    <row r="51" spans="1:26" x14ac:dyDescent="0.3">
      <c r="A51" s="17"/>
      <c r="B51" s="17"/>
      <c r="C51" s="17"/>
      <c r="D51" s="17"/>
      <c r="E51" s="17"/>
      <c r="F51" s="17"/>
      <c r="G51" s="17"/>
      <c r="H51" s="17"/>
      <c r="I51" s="17"/>
      <c r="J51" s="17"/>
      <c r="K51" s="17"/>
      <c r="L51" s="15"/>
      <c r="M51" s="15"/>
      <c r="N51" s="15"/>
      <c r="O51" s="15"/>
      <c r="P51" s="15"/>
      <c r="Q51" s="15"/>
      <c r="R51" s="15"/>
      <c r="S51" s="15"/>
      <c r="T51" s="15"/>
      <c r="U51" s="15"/>
      <c r="V51" s="15"/>
      <c r="W51" s="15"/>
      <c r="X51" s="15"/>
      <c r="Y51" s="15"/>
      <c r="Z51" s="15"/>
    </row>
    <row r="52" spans="1:26" x14ac:dyDescent="0.3">
      <c r="A52" s="24">
        <v>14</v>
      </c>
      <c r="B52" s="29">
        <v>1.49</v>
      </c>
      <c r="C52" s="27" t="s">
        <v>154</v>
      </c>
      <c r="D52" s="26" t="s">
        <v>155</v>
      </c>
      <c r="E52" s="26"/>
      <c r="F52" s="24">
        <v>13991</v>
      </c>
      <c r="G52" s="24"/>
      <c r="H52" s="24"/>
      <c r="I52" s="24"/>
      <c r="J52" s="24"/>
      <c r="K52" s="24"/>
      <c r="L52" s="15"/>
      <c r="M52" s="15"/>
      <c r="N52" s="15"/>
      <c r="O52" s="15"/>
      <c r="P52" s="15"/>
      <c r="Q52" s="15"/>
      <c r="R52" s="15"/>
      <c r="S52" s="15"/>
      <c r="T52" s="15"/>
      <c r="U52" s="15"/>
      <c r="V52" s="15"/>
      <c r="W52" s="15"/>
      <c r="X52" s="15"/>
      <c r="Y52" s="15"/>
      <c r="Z52" s="15"/>
    </row>
    <row r="53" spans="1:26" x14ac:dyDescent="0.3">
      <c r="A53" s="17"/>
      <c r="B53" s="17"/>
      <c r="C53" s="17"/>
      <c r="D53" s="17"/>
      <c r="E53" s="17"/>
      <c r="F53" s="17"/>
      <c r="G53" s="17"/>
      <c r="H53" s="17"/>
      <c r="I53" s="17"/>
      <c r="J53" s="17"/>
      <c r="K53" s="17"/>
      <c r="L53" s="15"/>
      <c r="M53" s="15"/>
      <c r="N53" s="15"/>
      <c r="O53" s="15"/>
      <c r="P53" s="15"/>
      <c r="Q53" s="15"/>
      <c r="R53" s="15"/>
      <c r="S53" s="15"/>
      <c r="T53" s="15"/>
      <c r="U53" s="15"/>
      <c r="V53" s="15"/>
      <c r="W53" s="15"/>
      <c r="X53" s="15"/>
      <c r="Y53" s="15"/>
      <c r="Z53" s="15"/>
    </row>
    <row r="54" spans="1:26" x14ac:dyDescent="0.3">
      <c r="A54" s="24">
        <v>15</v>
      </c>
      <c r="B54" s="29">
        <v>1.54</v>
      </c>
      <c r="C54" s="17" t="s">
        <v>156</v>
      </c>
      <c r="D54" s="17"/>
      <c r="E54" s="17"/>
      <c r="F54" s="17"/>
      <c r="G54" s="17"/>
      <c r="H54" s="17"/>
      <c r="I54" s="17"/>
      <c r="J54" s="17"/>
      <c r="K54" s="17"/>
      <c r="L54" s="15"/>
      <c r="M54" s="15"/>
      <c r="N54" s="15"/>
      <c r="O54" s="15"/>
      <c r="P54" s="15"/>
      <c r="Q54" s="15"/>
      <c r="R54" s="15"/>
      <c r="S54" s="15"/>
      <c r="T54" s="15"/>
      <c r="U54" s="15"/>
      <c r="V54" s="15"/>
      <c r="W54" s="15"/>
      <c r="X54" s="15"/>
      <c r="Y54" s="15"/>
      <c r="Z54" s="15"/>
    </row>
    <row r="55" spans="1:26" x14ac:dyDescent="0.3">
      <c r="A55" s="25">
        <v>15.1</v>
      </c>
      <c r="B55" s="26" t="s">
        <v>157</v>
      </c>
      <c r="C55" s="27" t="s">
        <v>158</v>
      </c>
      <c r="D55" s="26" t="s">
        <v>159</v>
      </c>
      <c r="E55" s="26"/>
      <c r="F55" s="24">
        <v>12572</v>
      </c>
      <c r="G55" s="24"/>
      <c r="H55" s="24"/>
      <c r="I55" s="24"/>
      <c r="J55" s="24"/>
      <c r="K55" s="24"/>
      <c r="L55" s="15"/>
      <c r="M55" s="15"/>
      <c r="N55" s="15"/>
      <c r="O55" s="15"/>
      <c r="P55" s="15"/>
      <c r="Q55" s="15"/>
      <c r="R55" s="15"/>
      <c r="S55" s="15"/>
      <c r="T55" s="15"/>
      <c r="U55" s="15"/>
      <c r="V55" s="15"/>
      <c r="W55" s="15"/>
      <c r="X55" s="15"/>
      <c r="Y55" s="15"/>
      <c r="Z55" s="15"/>
    </row>
    <row r="56" spans="1:26" x14ac:dyDescent="0.3">
      <c r="A56" s="17"/>
      <c r="B56" s="17"/>
      <c r="C56" s="17"/>
      <c r="D56" s="17"/>
      <c r="E56" s="17"/>
      <c r="F56" s="17"/>
      <c r="G56" s="17"/>
      <c r="H56" s="17"/>
      <c r="I56" s="17"/>
      <c r="J56" s="17"/>
      <c r="K56" s="17"/>
      <c r="L56" s="15"/>
      <c r="M56" s="15"/>
      <c r="N56" s="15"/>
      <c r="O56" s="15"/>
      <c r="P56" s="15"/>
      <c r="Q56" s="15"/>
      <c r="R56" s="15"/>
      <c r="S56" s="15"/>
      <c r="T56" s="15"/>
      <c r="U56" s="15"/>
      <c r="V56" s="15"/>
      <c r="W56" s="15"/>
      <c r="X56" s="15"/>
      <c r="Y56" s="15"/>
      <c r="Z56" s="15"/>
    </row>
    <row r="57" spans="1:26" x14ac:dyDescent="0.3">
      <c r="A57" s="17"/>
      <c r="B57" s="17"/>
      <c r="C57" s="35" t="s">
        <v>160</v>
      </c>
      <c r="D57" s="17"/>
      <c r="E57" s="17"/>
      <c r="F57" s="17"/>
      <c r="G57" s="17"/>
      <c r="H57" s="17"/>
      <c r="I57" s="17"/>
      <c r="J57" s="17"/>
      <c r="K57" s="17"/>
      <c r="L57" s="15"/>
      <c r="M57" s="15"/>
      <c r="N57" s="15"/>
      <c r="O57" s="15"/>
      <c r="P57" s="15"/>
      <c r="Q57" s="15"/>
      <c r="R57" s="15"/>
      <c r="S57" s="15"/>
      <c r="T57" s="15"/>
      <c r="U57" s="15"/>
      <c r="V57" s="15"/>
      <c r="W57" s="15"/>
      <c r="X57" s="15"/>
      <c r="Y57" s="15"/>
      <c r="Z57" s="15"/>
    </row>
    <row r="58" spans="1:26" x14ac:dyDescent="0.3">
      <c r="A58" s="17"/>
      <c r="B58" s="17"/>
      <c r="C58" s="17" t="s">
        <v>161</v>
      </c>
      <c r="D58" s="17"/>
      <c r="E58" s="17"/>
      <c r="F58" s="17"/>
      <c r="G58" s="17"/>
      <c r="H58" s="17"/>
      <c r="I58" s="17"/>
      <c r="J58" s="17"/>
      <c r="K58" s="17"/>
      <c r="L58" s="15"/>
      <c r="M58" s="15"/>
      <c r="N58" s="15"/>
      <c r="O58" s="15"/>
      <c r="P58" s="15"/>
      <c r="Q58" s="15"/>
      <c r="R58" s="15"/>
      <c r="S58" s="15"/>
      <c r="T58" s="15"/>
      <c r="U58" s="15"/>
      <c r="V58" s="15"/>
      <c r="W58" s="15"/>
      <c r="X58" s="15"/>
      <c r="Y58" s="15"/>
      <c r="Z58" s="15"/>
    </row>
    <row r="59" spans="1:26" x14ac:dyDescent="0.3">
      <c r="A59" s="17"/>
      <c r="B59" s="17"/>
      <c r="C59" s="17"/>
      <c r="D59" s="17"/>
      <c r="E59" s="17"/>
      <c r="F59" s="17"/>
      <c r="G59" s="17"/>
      <c r="H59" s="17"/>
      <c r="I59" s="17"/>
      <c r="J59" s="17"/>
      <c r="K59" s="17"/>
      <c r="L59" s="15"/>
      <c r="M59" s="15"/>
      <c r="N59" s="15"/>
      <c r="O59" s="15"/>
      <c r="P59" s="15"/>
      <c r="Q59" s="15"/>
      <c r="R59" s="15"/>
      <c r="S59" s="15"/>
      <c r="T59" s="15"/>
      <c r="U59" s="15"/>
      <c r="V59" s="15"/>
      <c r="W59" s="15"/>
      <c r="X59" s="15"/>
      <c r="Y59" s="15"/>
      <c r="Z59" s="15"/>
    </row>
    <row r="60" spans="1:26" x14ac:dyDescent="0.3">
      <c r="A60" s="22"/>
      <c r="B60" s="22"/>
      <c r="C60" s="21" t="s">
        <v>162</v>
      </c>
      <c r="D60" s="22"/>
      <c r="E60" s="22"/>
      <c r="F60" s="22"/>
      <c r="G60" s="22"/>
      <c r="H60" s="22"/>
      <c r="I60" s="22"/>
      <c r="J60" s="22"/>
      <c r="K60" s="22"/>
      <c r="L60" s="15"/>
      <c r="M60" s="15"/>
      <c r="N60" s="15"/>
      <c r="O60" s="15"/>
      <c r="P60" s="15"/>
      <c r="Q60" s="15"/>
      <c r="R60" s="15"/>
      <c r="S60" s="15"/>
      <c r="T60" s="15"/>
      <c r="U60" s="15"/>
      <c r="V60" s="15"/>
      <c r="W60" s="15"/>
      <c r="X60" s="15"/>
      <c r="Y60" s="15"/>
      <c r="Z60" s="15"/>
    </row>
    <row r="61" spans="1:26" x14ac:dyDescent="0.3">
      <c r="A61" s="17"/>
      <c r="B61" s="17"/>
      <c r="C61" s="17"/>
      <c r="D61" s="17"/>
      <c r="E61" s="17"/>
      <c r="F61" s="17"/>
      <c r="G61" s="17"/>
      <c r="H61" s="17"/>
      <c r="I61" s="17"/>
      <c r="J61" s="17"/>
      <c r="K61" s="17"/>
      <c r="L61" s="15"/>
      <c r="M61" s="15"/>
      <c r="N61" s="15"/>
      <c r="O61" s="15"/>
      <c r="P61" s="15"/>
      <c r="Q61" s="15"/>
      <c r="R61" s="15"/>
      <c r="S61" s="15"/>
      <c r="T61" s="15"/>
      <c r="U61" s="15"/>
      <c r="V61" s="15"/>
      <c r="W61" s="15"/>
      <c r="X61" s="15"/>
      <c r="Y61" s="15"/>
      <c r="Z61" s="15"/>
    </row>
    <row r="62" spans="1:26" x14ac:dyDescent="0.3">
      <c r="A62" s="20" t="s">
        <v>163</v>
      </c>
      <c r="B62" s="21" t="s">
        <v>164</v>
      </c>
      <c r="C62" s="21" t="s">
        <v>165</v>
      </c>
      <c r="D62" s="22"/>
      <c r="E62" s="22"/>
      <c r="F62" s="22"/>
      <c r="G62" s="22"/>
      <c r="H62" s="22"/>
      <c r="I62" s="22"/>
      <c r="J62" s="22"/>
      <c r="K62" s="22"/>
      <c r="L62" s="15"/>
      <c r="M62" s="15"/>
      <c r="N62" s="15"/>
      <c r="O62" s="15"/>
      <c r="P62" s="15"/>
      <c r="Q62" s="15"/>
      <c r="R62" s="15"/>
      <c r="S62" s="15"/>
      <c r="T62" s="15"/>
      <c r="U62" s="15"/>
      <c r="V62" s="15"/>
      <c r="W62" s="15"/>
      <c r="X62" s="15"/>
      <c r="Y62" s="15"/>
      <c r="Z62" s="15"/>
    </row>
    <row r="63" spans="1:26" x14ac:dyDescent="0.3">
      <c r="A63" s="17"/>
      <c r="B63" s="17"/>
      <c r="C63" s="17"/>
      <c r="D63" s="17"/>
      <c r="E63" s="17"/>
      <c r="F63" s="17"/>
      <c r="G63" s="17"/>
      <c r="H63" s="17"/>
      <c r="I63" s="17"/>
      <c r="J63" s="17"/>
      <c r="K63" s="17"/>
      <c r="L63" s="15"/>
      <c r="M63" s="15"/>
      <c r="N63" s="15"/>
      <c r="O63" s="15"/>
      <c r="P63" s="15"/>
      <c r="Q63" s="15"/>
      <c r="R63" s="15"/>
      <c r="S63" s="15"/>
      <c r="T63" s="15"/>
      <c r="U63" s="15"/>
      <c r="V63" s="15"/>
      <c r="W63" s="15"/>
      <c r="X63" s="15"/>
      <c r="Y63" s="15"/>
      <c r="Z63" s="15"/>
    </row>
    <row r="64" spans="1:26" x14ac:dyDescent="0.3">
      <c r="A64" s="24">
        <v>1</v>
      </c>
      <c r="B64" s="27" t="s">
        <v>166</v>
      </c>
      <c r="C64" s="27" t="s">
        <v>167</v>
      </c>
      <c r="D64" s="17"/>
      <c r="E64" s="17"/>
      <c r="F64" s="17"/>
      <c r="G64" s="17"/>
      <c r="H64" s="17"/>
      <c r="I64" s="17"/>
      <c r="J64" s="17"/>
      <c r="K64" s="17"/>
      <c r="L64" s="15"/>
      <c r="M64" s="15"/>
      <c r="N64" s="15"/>
      <c r="O64" s="15"/>
      <c r="P64" s="15"/>
      <c r="Q64" s="15"/>
      <c r="R64" s="15"/>
      <c r="S64" s="15"/>
      <c r="T64" s="15"/>
      <c r="U64" s="15"/>
      <c r="V64" s="15"/>
      <c r="W64" s="15"/>
      <c r="X64" s="15"/>
      <c r="Y64" s="15"/>
      <c r="Z64" s="15"/>
    </row>
    <row r="65" spans="1:26" x14ac:dyDescent="0.3">
      <c r="A65" s="25">
        <v>1.1000000000000001</v>
      </c>
      <c r="B65" s="27" t="s">
        <v>168</v>
      </c>
      <c r="C65" s="27" t="s">
        <v>169</v>
      </c>
      <c r="D65" s="26" t="s">
        <v>170</v>
      </c>
      <c r="E65" s="26"/>
      <c r="F65" s="24">
        <v>20</v>
      </c>
      <c r="G65" s="24"/>
      <c r="H65" s="24"/>
      <c r="I65" s="24"/>
      <c r="J65" s="24"/>
      <c r="K65" s="24"/>
      <c r="L65" s="15"/>
      <c r="M65" s="15"/>
      <c r="N65" s="15"/>
      <c r="O65" s="15"/>
      <c r="P65" s="15"/>
      <c r="Q65" s="15"/>
      <c r="R65" s="15"/>
      <c r="S65" s="15"/>
      <c r="T65" s="15"/>
      <c r="U65" s="15"/>
      <c r="V65" s="15"/>
      <c r="W65" s="15"/>
      <c r="X65" s="15"/>
      <c r="Y65" s="15"/>
      <c r="Z65" s="15"/>
    </row>
    <row r="66" spans="1:26" x14ac:dyDescent="0.3">
      <c r="A66" s="17"/>
      <c r="B66" s="17"/>
      <c r="C66" s="17"/>
      <c r="D66" s="17"/>
      <c r="E66" s="17"/>
      <c r="F66" s="17"/>
      <c r="G66" s="17"/>
      <c r="H66" s="17"/>
      <c r="I66" s="17"/>
      <c r="J66" s="17"/>
      <c r="K66" s="17"/>
      <c r="L66" s="15"/>
      <c r="M66" s="15"/>
      <c r="N66" s="15"/>
      <c r="O66" s="15"/>
      <c r="P66" s="15"/>
      <c r="Q66" s="15"/>
      <c r="R66" s="15"/>
      <c r="S66" s="15"/>
      <c r="T66" s="15"/>
      <c r="U66" s="15"/>
      <c r="V66" s="15"/>
      <c r="W66" s="15"/>
      <c r="X66" s="15"/>
      <c r="Y66" s="15"/>
      <c r="Z66" s="15"/>
    </row>
    <row r="67" spans="1:26" x14ac:dyDescent="0.3">
      <c r="A67" s="24">
        <v>2</v>
      </c>
      <c r="B67" s="27" t="s">
        <v>171</v>
      </c>
      <c r="C67" s="27" t="s">
        <v>172</v>
      </c>
      <c r="D67" s="17"/>
      <c r="E67" s="17"/>
      <c r="F67" s="17"/>
      <c r="G67" s="17"/>
      <c r="H67" s="17"/>
      <c r="I67" s="17"/>
      <c r="J67" s="17"/>
      <c r="K67" s="17"/>
      <c r="L67" s="15"/>
      <c r="M67" s="15"/>
      <c r="N67" s="15"/>
      <c r="O67" s="15"/>
      <c r="P67" s="15"/>
      <c r="Q67" s="15"/>
      <c r="R67" s="15"/>
      <c r="S67" s="15"/>
      <c r="T67" s="15"/>
      <c r="U67" s="15"/>
      <c r="V67" s="15"/>
      <c r="W67" s="15"/>
      <c r="X67" s="15"/>
      <c r="Y67" s="15"/>
      <c r="Z67" s="15"/>
    </row>
    <row r="68" spans="1:26" x14ac:dyDescent="0.3">
      <c r="A68" s="25">
        <v>2.1</v>
      </c>
      <c r="B68" s="27" t="s">
        <v>173</v>
      </c>
      <c r="C68" s="27" t="s">
        <v>174</v>
      </c>
      <c r="D68" s="26" t="s">
        <v>175</v>
      </c>
      <c r="E68" s="26"/>
      <c r="F68" s="24">
        <v>5</v>
      </c>
      <c r="G68" s="24"/>
      <c r="H68" s="24"/>
      <c r="I68" s="24"/>
      <c r="J68" s="24"/>
      <c r="K68" s="24"/>
      <c r="L68" s="15"/>
      <c r="M68" s="15"/>
      <c r="N68" s="15"/>
      <c r="O68" s="15"/>
      <c r="P68" s="15"/>
      <c r="Q68" s="15"/>
      <c r="R68" s="15"/>
      <c r="S68" s="15"/>
      <c r="T68" s="15"/>
      <c r="U68" s="15"/>
      <c r="V68" s="15"/>
      <c r="W68" s="15"/>
      <c r="X68" s="15"/>
      <c r="Y68" s="15"/>
      <c r="Z68" s="15"/>
    </row>
    <row r="69" spans="1:26" x14ac:dyDescent="0.3">
      <c r="A69" s="25">
        <v>2.2000000000000002</v>
      </c>
      <c r="B69" s="27" t="s">
        <v>176</v>
      </c>
      <c r="C69" s="27" t="s">
        <v>177</v>
      </c>
      <c r="D69" s="26" t="s">
        <v>178</v>
      </c>
      <c r="E69" s="26"/>
      <c r="F69" s="24">
        <v>12</v>
      </c>
      <c r="G69" s="24"/>
      <c r="H69" s="24"/>
      <c r="I69" s="24"/>
      <c r="J69" s="24"/>
      <c r="K69" s="24"/>
      <c r="L69" s="15"/>
      <c r="M69" s="15"/>
      <c r="N69" s="15"/>
      <c r="O69" s="15"/>
      <c r="P69" s="15"/>
      <c r="Q69" s="15"/>
      <c r="R69" s="15"/>
      <c r="S69" s="15"/>
      <c r="T69" s="15"/>
      <c r="U69" s="15"/>
      <c r="V69" s="15"/>
      <c r="W69" s="15"/>
      <c r="X69" s="15"/>
      <c r="Y69" s="15"/>
      <c r="Z69" s="15"/>
    </row>
    <row r="70" spans="1:26" x14ac:dyDescent="0.3">
      <c r="A70" s="25">
        <v>2.2999999999999998</v>
      </c>
      <c r="B70" s="26" t="s">
        <v>179</v>
      </c>
      <c r="C70" s="27" t="s">
        <v>180</v>
      </c>
      <c r="D70" s="26" t="s">
        <v>181</v>
      </c>
      <c r="E70" s="26"/>
      <c r="F70" s="24">
        <v>96</v>
      </c>
      <c r="G70" s="24"/>
      <c r="H70" s="24"/>
      <c r="I70" s="24"/>
      <c r="J70" s="24"/>
      <c r="K70" s="24"/>
      <c r="L70" s="15"/>
      <c r="M70" s="15"/>
      <c r="N70" s="15"/>
      <c r="O70" s="15"/>
      <c r="P70" s="15"/>
      <c r="Q70" s="15"/>
      <c r="R70" s="15"/>
      <c r="S70" s="15"/>
      <c r="T70" s="15"/>
      <c r="U70" s="15"/>
      <c r="V70" s="15"/>
      <c r="W70" s="15"/>
      <c r="X70" s="15"/>
      <c r="Y70" s="15"/>
      <c r="Z70" s="15"/>
    </row>
    <row r="71" spans="1:26" x14ac:dyDescent="0.3">
      <c r="A71" s="17"/>
      <c r="B71" s="17"/>
      <c r="C71" s="17"/>
      <c r="D71" s="17"/>
      <c r="E71" s="17"/>
      <c r="F71" s="17"/>
      <c r="G71" s="17"/>
      <c r="H71" s="17"/>
      <c r="I71" s="17"/>
      <c r="J71" s="17"/>
      <c r="K71" s="17"/>
      <c r="L71" s="15"/>
      <c r="M71" s="15"/>
      <c r="N71" s="15"/>
      <c r="O71" s="15"/>
      <c r="P71" s="15"/>
      <c r="Q71" s="15"/>
      <c r="R71" s="15"/>
      <c r="S71" s="15"/>
      <c r="T71" s="15"/>
      <c r="U71" s="15"/>
      <c r="V71" s="15"/>
      <c r="W71" s="15"/>
      <c r="X71" s="15"/>
      <c r="Y71" s="15"/>
      <c r="Z71" s="15"/>
    </row>
    <row r="72" spans="1:26" x14ac:dyDescent="0.3">
      <c r="A72" s="24">
        <v>3</v>
      </c>
      <c r="B72" s="17"/>
      <c r="C72" s="27" t="s">
        <v>182</v>
      </c>
      <c r="D72" s="17"/>
      <c r="E72" s="17"/>
      <c r="F72" s="17"/>
      <c r="G72" s="17"/>
      <c r="H72" s="17"/>
      <c r="I72" s="17"/>
      <c r="J72" s="17"/>
      <c r="K72" s="17"/>
      <c r="L72" s="15"/>
      <c r="M72" s="15"/>
      <c r="N72" s="15"/>
      <c r="O72" s="15"/>
      <c r="P72" s="15"/>
      <c r="Q72" s="15"/>
      <c r="R72" s="15"/>
      <c r="S72" s="15"/>
      <c r="T72" s="15"/>
      <c r="U72" s="15"/>
      <c r="V72" s="15"/>
      <c r="W72" s="15"/>
      <c r="X72" s="15"/>
      <c r="Y72" s="15"/>
      <c r="Z72" s="15"/>
    </row>
    <row r="73" spans="1:26" x14ac:dyDescent="0.3">
      <c r="A73" s="25">
        <v>3.1</v>
      </c>
      <c r="B73" s="26" t="s">
        <v>183</v>
      </c>
      <c r="C73" s="27" t="s">
        <v>184</v>
      </c>
      <c r="D73" s="26" t="s">
        <v>185</v>
      </c>
      <c r="E73" s="26"/>
      <c r="F73" s="24">
        <v>22</v>
      </c>
      <c r="G73" s="24"/>
      <c r="H73" s="24"/>
      <c r="I73" s="24"/>
      <c r="J73" s="24"/>
      <c r="K73" s="24"/>
      <c r="L73" s="15"/>
      <c r="M73" s="15"/>
      <c r="N73" s="15"/>
      <c r="O73" s="15"/>
      <c r="P73" s="15"/>
      <c r="Q73" s="15"/>
      <c r="R73" s="15"/>
      <c r="S73" s="15"/>
      <c r="T73" s="15"/>
      <c r="U73" s="15"/>
      <c r="V73" s="15"/>
      <c r="W73" s="15"/>
      <c r="X73" s="15"/>
      <c r="Y73" s="15"/>
      <c r="Z73" s="15"/>
    </row>
    <row r="74" spans="1:26" x14ac:dyDescent="0.3">
      <c r="A74" s="17"/>
      <c r="B74" s="17"/>
      <c r="C74" s="17"/>
      <c r="D74" s="17"/>
      <c r="E74" s="17"/>
      <c r="F74" s="17"/>
      <c r="G74" s="17"/>
      <c r="H74" s="17"/>
      <c r="I74" s="17"/>
      <c r="J74" s="17"/>
      <c r="K74" s="17"/>
      <c r="L74" s="15"/>
      <c r="M74" s="15"/>
      <c r="N74" s="15"/>
      <c r="O74" s="15"/>
      <c r="P74" s="15"/>
      <c r="Q74" s="15"/>
      <c r="R74" s="15"/>
      <c r="S74" s="15"/>
      <c r="T74" s="15"/>
      <c r="U74" s="15"/>
      <c r="V74" s="15"/>
      <c r="W74" s="15"/>
      <c r="X74" s="15"/>
      <c r="Y74" s="15"/>
      <c r="Z74" s="15"/>
    </row>
    <row r="75" spans="1:26" x14ac:dyDescent="0.3">
      <c r="A75" s="24">
        <v>4</v>
      </c>
      <c r="B75" s="27" t="s">
        <v>186</v>
      </c>
      <c r="C75" s="27" t="s">
        <v>187</v>
      </c>
      <c r="D75" s="17"/>
      <c r="E75" s="17"/>
      <c r="F75" s="17"/>
      <c r="G75" s="17"/>
      <c r="H75" s="17"/>
      <c r="I75" s="17"/>
      <c r="J75" s="17"/>
      <c r="K75" s="17"/>
      <c r="L75" s="15"/>
      <c r="M75" s="15"/>
      <c r="N75" s="15"/>
      <c r="O75" s="15"/>
      <c r="P75" s="15"/>
      <c r="Q75" s="15"/>
      <c r="R75" s="15"/>
      <c r="S75" s="15"/>
      <c r="T75" s="15"/>
      <c r="U75" s="15"/>
      <c r="V75" s="15"/>
      <c r="W75" s="15"/>
      <c r="X75" s="15"/>
      <c r="Y75" s="15"/>
      <c r="Z75" s="15"/>
    </row>
    <row r="76" spans="1:26" x14ac:dyDescent="0.3">
      <c r="A76" s="17"/>
      <c r="B76" s="17"/>
      <c r="C76" s="17"/>
      <c r="D76" s="17"/>
      <c r="E76" s="17"/>
      <c r="F76" s="17"/>
      <c r="G76" s="17"/>
      <c r="H76" s="17"/>
      <c r="I76" s="17"/>
      <c r="J76" s="17"/>
      <c r="K76" s="17"/>
      <c r="L76" s="15"/>
      <c r="M76" s="15"/>
      <c r="N76" s="15"/>
      <c r="O76" s="15"/>
      <c r="P76" s="15"/>
      <c r="Q76" s="15"/>
      <c r="R76" s="15"/>
      <c r="S76" s="15"/>
      <c r="T76" s="15"/>
      <c r="U76" s="15"/>
      <c r="V76" s="15"/>
      <c r="W76" s="15"/>
      <c r="X76" s="15"/>
      <c r="Y76" s="15"/>
      <c r="Z76" s="15"/>
    </row>
    <row r="77" spans="1:26" x14ac:dyDescent="0.3">
      <c r="A77" s="25">
        <v>4.0999999999999996</v>
      </c>
      <c r="B77" s="27" t="s">
        <v>188</v>
      </c>
      <c r="C77" s="27" t="s">
        <v>189</v>
      </c>
      <c r="D77" s="26" t="s">
        <v>190</v>
      </c>
      <c r="E77" s="26"/>
      <c r="F77" s="24">
        <v>3082</v>
      </c>
      <c r="G77" s="24"/>
      <c r="H77" s="24"/>
      <c r="I77" s="24"/>
      <c r="J77" s="24"/>
      <c r="K77" s="24"/>
      <c r="L77" s="15"/>
      <c r="M77" s="15"/>
      <c r="N77" s="15"/>
      <c r="O77" s="15"/>
      <c r="P77" s="15"/>
      <c r="Q77" s="15"/>
      <c r="R77" s="15"/>
      <c r="S77" s="15"/>
      <c r="T77" s="15"/>
      <c r="U77" s="15"/>
      <c r="V77" s="15"/>
      <c r="W77" s="15"/>
      <c r="X77" s="15"/>
      <c r="Y77" s="15"/>
      <c r="Z77" s="15"/>
    </row>
    <row r="78" spans="1:26" x14ac:dyDescent="0.3">
      <c r="A78" s="25">
        <v>4.2</v>
      </c>
      <c r="B78" s="27" t="s">
        <v>191</v>
      </c>
      <c r="C78" s="27" t="s">
        <v>192</v>
      </c>
      <c r="D78" s="26" t="s">
        <v>193</v>
      </c>
      <c r="E78" s="26"/>
      <c r="F78" s="24">
        <v>120</v>
      </c>
      <c r="G78" s="24"/>
      <c r="H78" s="24"/>
      <c r="I78" s="24"/>
      <c r="J78" s="24"/>
      <c r="K78" s="24"/>
      <c r="L78" s="15"/>
      <c r="M78" s="15"/>
      <c r="N78" s="15"/>
      <c r="O78" s="15"/>
      <c r="P78" s="15"/>
      <c r="Q78" s="15"/>
      <c r="R78" s="15"/>
      <c r="S78" s="15"/>
      <c r="T78" s="15"/>
      <c r="U78" s="15"/>
      <c r="V78" s="15"/>
      <c r="W78" s="15"/>
      <c r="X78" s="15"/>
      <c r="Y78" s="15"/>
      <c r="Z78" s="15"/>
    </row>
    <row r="79" spans="1:26" x14ac:dyDescent="0.3">
      <c r="A79" s="17"/>
      <c r="B79" s="17"/>
      <c r="C79" s="17"/>
      <c r="D79" s="17"/>
      <c r="E79" s="17"/>
      <c r="F79" s="17"/>
      <c r="G79" s="17"/>
      <c r="H79" s="17"/>
      <c r="I79" s="17"/>
      <c r="J79" s="17"/>
      <c r="K79" s="17"/>
      <c r="L79" s="15"/>
      <c r="M79" s="15"/>
      <c r="N79" s="15"/>
      <c r="O79" s="15"/>
      <c r="P79" s="15"/>
      <c r="Q79" s="15"/>
      <c r="R79" s="15"/>
      <c r="S79" s="15"/>
      <c r="T79" s="15"/>
      <c r="U79" s="15"/>
      <c r="V79" s="15"/>
      <c r="W79" s="15"/>
      <c r="X79" s="15"/>
      <c r="Y79" s="15"/>
      <c r="Z79" s="15"/>
    </row>
    <row r="80" spans="1:26" x14ac:dyDescent="0.3">
      <c r="A80" s="17"/>
      <c r="B80" s="17"/>
      <c r="C80" s="17"/>
      <c r="D80" s="17"/>
      <c r="E80" s="17"/>
      <c r="F80" s="17"/>
      <c r="G80" s="17"/>
      <c r="H80" s="17"/>
      <c r="I80" s="17"/>
      <c r="J80" s="17"/>
      <c r="K80" s="17"/>
      <c r="L80" s="15"/>
      <c r="M80" s="15"/>
      <c r="N80" s="15"/>
      <c r="O80" s="15"/>
      <c r="P80" s="15"/>
      <c r="Q80" s="15"/>
      <c r="R80" s="15"/>
      <c r="S80" s="15"/>
      <c r="T80" s="15"/>
      <c r="U80" s="15"/>
      <c r="V80" s="15"/>
      <c r="W80" s="15"/>
      <c r="X80" s="15"/>
      <c r="Y80" s="15"/>
      <c r="Z80" s="15"/>
    </row>
    <row r="81" spans="1:26" x14ac:dyDescent="0.3">
      <c r="A81" s="24">
        <v>6</v>
      </c>
      <c r="B81" s="27" t="s">
        <v>194</v>
      </c>
      <c r="C81" s="27" t="s">
        <v>195</v>
      </c>
      <c r="D81" s="17"/>
      <c r="E81" s="17"/>
      <c r="F81" s="17"/>
      <c r="G81" s="17"/>
      <c r="H81" s="17"/>
      <c r="I81" s="17"/>
      <c r="J81" s="17"/>
      <c r="K81" s="17"/>
      <c r="L81" s="15"/>
      <c r="M81" s="15"/>
      <c r="N81" s="15"/>
      <c r="O81" s="15"/>
      <c r="P81" s="15"/>
      <c r="Q81" s="15"/>
      <c r="R81" s="15"/>
      <c r="S81" s="15"/>
      <c r="T81" s="15"/>
      <c r="U81" s="15"/>
      <c r="V81" s="15"/>
      <c r="W81" s="15"/>
      <c r="X81" s="15"/>
      <c r="Y81" s="15"/>
      <c r="Z81" s="15"/>
    </row>
    <row r="82" spans="1:26" x14ac:dyDescent="0.3">
      <c r="A82" s="25">
        <v>6.1</v>
      </c>
      <c r="B82" s="27" t="s">
        <v>196</v>
      </c>
      <c r="C82" s="27" t="s">
        <v>197</v>
      </c>
      <c r="D82" s="26" t="s">
        <v>198</v>
      </c>
      <c r="E82" s="26"/>
      <c r="F82" s="24">
        <v>20</v>
      </c>
      <c r="G82" s="24"/>
      <c r="H82" s="24"/>
      <c r="I82" s="24"/>
      <c r="J82" s="24"/>
      <c r="K82" s="24"/>
      <c r="L82" s="15"/>
      <c r="M82" s="15"/>
      <c r="N82" s="15"/>
      <c r="O82" s="15"/>
      <c r="P82" s="15"/>
      <c r="Q82" s="15"/>
      <c r="R82" s="15"/>
      <c r="S82" s="15"/>
      <c r="T82" s="15"/>
      <c r="U82" s="15"/>
      <c r="V82" s="15"/>
      <c r="W82" s="15"/>
      <c r="X82" s="15"/>
      <c r="Y82" s="15"/>
      <c r="Z82" s="15"/>
    </row>
    <row r="83" spans="1:26" x14ac:dyDescent="0.3">
      <c r="A83" s="17"/>
      <c r="B83" s="17"/>
      <c r="C83" s="17"/>
      <c r="D83" s="17"/>
      <c r="E83" s="17"/>
      <c r="F83" s="17"/>
      <c r="G83" s="17"/>
      <c r="H83" s="17"/>
      <c r="I83" s="17"/>
      <c r="J83" s="17"/>
      <c r="K83" s="17"/>
      <c r="L83" s="15"/>
      <c r="M83" s="15"/>
      <c r="N83" s="15"/>
      <c r="O83" s="15"/>
      <c r="P83" s="15"/>
      <c r="Q83" s="15"/>
      <c r="R83" s="15"/>
      <c r="S83" s="15"/>
      <c r="T83" s="15"/>
      <c r="U83" s="15"/>
      <c r="V83" s="15"/>
      <c r="W83" s="15"/>
      <c r="X83" s="15"/>
      <c r="Y83" s="15"/>
      <c r="Z83" s="15"/>
    </row>
    <row r="84" spans="1:26" x14ac:dyDescent="0.3">
      <c r="A84" s="24">
        <v>7</v>
      </c>
      <c r="B84" s="27" t="s">
        <v>199</v>
      </c>
      <c r="C84" s="27" t="s">
        <v>200</v>
      </c>
      <c r="D84" s="17"/>
      <c r="E84" s="17"/>
      <c r="F84" s="17"/>
      <c r="G84" s="17"/>
      <c r="H84" s="17"/>
      <c r="I84" s="17"/>
      <c r="J84" s="17"/>
      <c r="K84" s="17"/>
      <c r="L84" s="15"/>
      <c r="M84" s="15"/>
      <c r="N84" s="15"/>
      <c r="O84" s="15"/>
      <c r="P84" s="15"/>
      <c r="Q84" s="15"/>
      <c r="R84" s="15"/>
      <c r="S84" s="15"/>
      <c r="T84" s="15"/>
      <c r="U84" s="15"/>
      <c r="V84" s="15"/>
      <c r="W84" s="15"/>
      <c r="X84" s="15"/>
      <c r="Y84" s="15"/>
      <c r="Z84" s="15"/>
    </row>
    <row r="85" spans="1:26" x14ac:dyDescent="0.3">
      <c r="A85" s="25">
        <v>7.1</v>
      </c>
      <c r="B85" s="27" t="s">
        <v>201</v>
      </c>
      <c r="C85" s="27" t="s">
        <v>202</v>
      </c>
      <c r="D85" s="26" t="s">
        <v>203</v>
      </c>
      <c r="E85" s="26"/>
      <c r="F85" s="24">
        <v>21</v>
      </c>
      <c r="G85" s="24"/>
      <c r="H85" s="24"/>
      <c r="I85" s="24"/>
      <c r="J85" s="24"/>
      <c r="K85" s="24"/>
      <c r="L85" s="15"/>
      <c r="M85" s="15"/>
      <c r="N85" s="15"/>
      <c r="O85" s="15"/>
      <c r="P85" s="15"/>
      <c r="Q85" s="15"/>
      <c r="R85" s="15"/>
      <c r="S85" s="15"/>
      <c r="T85" s="15"/>
      <c r="U85" s="15"/>
      <c r="V85" s="15"/>
      <c r="W85" s="15"/>
      <c r="X85" s="15"/>
      <c r="Y85" s="15"/>
      <c r="Z85" s="15"/>
    </row>
    <row r="86" spans="1:26" x14ac:dyDescent="0.3">
      <c r="A86" s="25">
        <v>7.2</v>
      </c>
      <c r="B86" s="27" t="s">
        <v>204</v>
      </c>
      <c r="C86" s="27" t="s">
        <v>205</v>
      </c>
      <c r="D86" s="26" t="s">
        <v>206</v>
      </c>
      <c r="E86" s="26"/>
      <c r="F86" s="24">
        <v>109</v>
      </c>
      <c r="G86" s="24"/>
      <c r="H86" s="24"/>
      <c r="I86" s="24"/>
      <c r="J86" s="24"/>
      <c r="K86" s="24"/>
      <c r="L86" s="15"/>
      <c r="M86" s="15"/>
      <c r="N86" s="15"/>
      <c r="O86" s="15"/>
      <c r="P86" s="15"/>
      <c r="Q86" s="15"/>
      <c r="R86" s="15"/>
      <c r="S86" s="15"/>
      <c r="T86" s="15"/>
      <c r="U86" s="15"/>
      <c r="V86" s="15"/>
      <c r="W86" s="15"/>
      <c r="X86" s="15"/>
      <c r="Y86" s="15"/>
      <c r="Z86" s="15"/>
    </row>
    <row r="87" spans="1:26" x14ac:dyDescent="0.3">
      <c r="A87" s="17"/>
      <c r="B87" s="17"/>
      <c r="C87" s="17"/>
      <c r="D87" s="17"/>
      <c r="E87" s="17"/>
      <c r="F87" s="17"/>
      <c r="G87" s="17"/>
      <c r="H87" s="17"/>
      <c r="I87" s="17"/>
      <c r="J87" s="17"/>
      <c r="K87" s="17"/>
      <c r="L87" s="15"/>
      <c r="M87" s="15"/>
      <c r="N87" s="15"/>
      <c r="O87" s="15"/>
      <c r="P87" s="15"/>
      <c r="Q87" s="15"/>
      <c r="R87" s="15"/>
      <c r="S87" s="15"/>
      <c r="T87" s="15"/>
      <c r="U87" s="15"/>
      <c r="V87" s="15"/>
      <c r="W87" s="15"/>
      <c r="X87" s="15"/>
      <c r="Y87" s="15"/>
      <c r="Z87" s="15"/>
    </row>
    <row r="88" spans="1:26" x14ac:dyDescent="0.3">
      <c r="A88" s="24">
        <v>8</v>
      </c>
      <c r="B88" s="27" t="s">
        <v>207</v>
      </c>
      <c r="C88" s="27" t="s">
        <v>208</v>
      </c>
      <c r="D88" s="17"/>
      <c r="E88" s="17"/>
      <c r="F88" s="17"/>
      <c r="G88" s="17"/>
      <c r="H88" s="17"/>
      <c r="I88" s="17"/>
      <c r="J88" s="17"/>
      <c r="K88" s="17"/>
      <c r="L88" s="15"/>
      <c r="M88" s="15"/>
      <c r="N88" s="15"/>
      <c r="O88" s="15"/>
      <c r="P88" s="15"/>
      <c r="Q88" s="15"/>
      <c r="R88" s="15"/>
      <c r="S88" s="15"/>
      <c r="T88" s="15"/>
      <c r="U88" s="15"/>
      <c r="V88" s="15"/>
      <c r="W88" s="15"/>
      <c r="X88" s="15"/>
      <c r="Y88" s="15"/>
      <c r="Z88" s="15"/>
    </row>
    <row r="89" spans="1:26" x14ac:dyDescent="0.3">
      <c r="A89" s="25">
        <v>8.1</v>
      </c>
      <c r="B89" s="27" t="s">
        <v>209</v>
      </c>
      <c r="C89" s="27" t="s">
        <v>210</v>
      </c>
      <c r="D89" s="26" t="s">
        <v>211</v>
      </c>
      <c r="E89" s="26"/>
      <c r="F89" s="24">
        <v>29</v>
      </c>
      <c r="G89" s="24"/>
      <c r="H89" s="24"/>
      <c r="I89" s="24"/>
      <c r="J89" s="24"/>
      <c r="K89" s="24"/>
      <c r="L89" s="15"/>
      <c r="M89" s="15"/>
      <c r="N89" s="15"/>
      <c r="O89" s="15"/>
      <c r="P89" s="15"/>
      <c r="Q89" s="15"/>
      <c r="R89" s="15"/>
      <c r="S89" s="15"/>
      <c r="T89" s="15"/>
      <c r="U89" s="15"/>
      <c r="V89" s="15"/>
      <c r="W89" s="15"/>
      <c r="X89" s="15"/>
      <c r="Y89" s="15"/>
      <c r="Z89" s="15"/>
    </row>
    <row r="90" spans="1:26" x14ac:dyDescent="0.3">
      <c r="A90" s="25">
        <v>8.1999999999999993</v>
      </c>
      <c r="B90" s="27" t="s">
        <v>212</v>
      </c>
      <c r="C90" s="27" t="s">
        <v>213</v>
      </c>
      <c r="D90" s="26" t="s">
        <v>214</v>
      </c>
      <c r="E90" s="26"/>
      <c r="F90" s="24">
        <v>327</v>
      </c>
      <c r="G90" s="24"/>
      <c r="H90" s="24"/>
      <c r="I90" s="24"/>
      <c r="J90" s="24"/>
      <c r="K90" s="24"/>
      <c r="L90" s="15"/>
      <c r="M90" s="15"/>
      <c r="N90" s="15"/>
      <c r="O90" s="15"/>
      <c r="P90" s="15"/>
      <c r="Q90" s="15"/>
      <c r="R90" s="15"/>
      <c r="S90" s="15"/>
      <c r="T90" s="15"/>
      <c r="U90" s="15"/>
      <c r="V90" s="15"/>
      <c r="W90" s="15"/>
      <c r="X90" s="15"/>
      <c r="Y90" s="15"/>
      <c r="Z90" s="15"/>
    </row>
    <row r="91" spans="1:26" x14ac:dyDescent="0.3">
      <c r="A91" s="17"/>
      <c r="B91" s="17"/>
      <c r="C91" s="17"/>
      <c r="D91" s="17"/>
      <c r="E91" s="17"/>
      <c r="F91" s="17"/>
      <c r="G91" s="17"/>
      <c r="H91" s="17"/>
      <c r="I91" s="17"/>
      <c r="J91" s="17"/>
      <c r="K91" s="17"/>
      <c r="L91" s="15"/>
      <c r="M91" s="15"/>
      <c r="N91" s="15"/>
      <c r="O91" s="15"/>
      <c r="P91" s="15"/>
      <c r="Q91" s="15"/>
      <c r="R91" s="15"/>
      <c r="S91" s="15"/>
      <c r="T91" s="15"/>
      <c r="U91" s="15"/>
      <c r="V91" s="15"/>
      <c r="W91" s="15"/>
      <c r="X91" s="15"/>
      <c r="Y91" s="15"/>
      <c r="Z91" s="15"/>
    </row>
    <row r="92" spans="1:26" x14ac:dyDescent="0.3">
      <c r="A92" s="24">
        <v>9</v>
      </c>
      <c r="B92" s="27" t="s">
        <v>215</v>
      </c>
      <c r="C92" s="27" t="s">
        <v>216</v>
      </c>
      <c r="D92" s="26" t="s">
        <v>217</v>
      </c>
      <c r="E92" s="26"/>
      <c r="F92" s="24">
        <v>67</v>
      </c>
      <c r="G92" s="24"/>
      <c r="H92" s="24"/>
      <c r="I92" s="24"/>
      <c r="J92" s="24"/>
      <c r="K92" s="24"/>
      <c r="L92" s="15"/>
      <c r="M92" s="15"/>
      <c r="N92" s="15"/>
      <c r="O92" s="15"/>
      <c r="P92" s="15"/>
      <c r="Q92" s="15"/>
      <c r="R92" s="15"/>
      <c r="S92" s="15"/>
      <c r="T92" s="15"/>
      <c r="U92" s="15"/>
      <c r="V92" s="15"/>
      <c r="W92" s="15"/>
      <c r="X92" s="15"/>
      <c r="Y92" s="15"/>
      <c r="Z92" s="15"/>
    </row>
    <row r="93" spans="1:26" x14ac:dyDescent="0.3">
      <c r="A93" s="17"/>
      <c r="B93" s="17"/>
      <c r="C93" s="17"/>
      <c r="D93" s="17"/>
      <c r="E93" s="17"/>
      <c r="F93" s="17"/>
      <c r="G93" s="17"/>
      <c r="H93" s="17"/>
      <c r="I93" s="17"/>
      <c r="J93" s="17"/>
      <c r="K93" s="17"/>
      <c r="L93" s="15"/>
      <c r="M93" s="15"/>
      <c r="N93" s="15"/>
      <c r="O93" s="15"/>
      <c r="P93" s="15"/>
      <c r="Q93" s="15"/>
      <c r="R93" s="15"/>
      <c r="S93" s="15"/>
      <c r="T93" s="15"/>
      <c r="U93" s="15"/>
      <c r="V93" s="15"/>
      <c r="W93" s="15"/>
      <c r="X93" s="15"/>
      <c r="Y93" s="15"/>
      <c r="Z93" s="15"/>
    </row>
    <row r="94" spans="1:26" x14ac:dyDescent="0.3">
      <c r="A94" s="24">
        <v>10</v>
      </c>
      <c r="B94" s="27" t="s">
        <v>218</v>
      </c>
      <c r="C94" s="27" t="s">
        <v>219</v>
      </c>
      <c r="D94" s="26" t="s">
        <v>220</v>
      </c>
      <c r="E94" s="26"/>
      <c r="F94" s="24">
        <v>84</v>
      </c>
      <c r="G94" s="24"/>
      <c r="H94" s="24"/>
      <c r="I94" s="24"/>
      <c r="J94" s="24"/>
      <c r="K94" s="24"/>
      <c r="L94" s="15"/>
      <c r="M94" s="15"/>
      <c r="N94" s="15"/>
      <c r="O94" s="15"/>
      <c r="P94" s="15"/>
      <c r="Q94" s="15"/>
      <c r="R94" s="15"/>
      <c r="S94" s="15"/>
      <c r="T94" s="15"/>
      <c r="U94" s="15"/>
      <c r="V94" s="15"/>
      <c r="W94" s="15"/>
      <c r="X94" s="15"/>
      <c r="Y94" s="15"/>
      <c r="Z94" s="15"/>
    </row>
    <row r="95" spans="1:26" x14ac:dyDescent="0.3">
      <c r="A95" s="17"/>
      <c r="B95" s="17"/>
      <c r="C95" s="17"/>
      <c r="D95" s="17"/>
      <c r="E95" s="17"/>
      <c r="F95" s="17"/>
      <c r="G95" s="17"/>
      <c r="H95" s="17"/>
      <c r="I95" s="17"/>
      <c r="J95" s="17"/>
      <c r="K95" s="17"/>
      <c r="L95" s="15"/>
      <c r="M95" s="15"/>
      <c r="N95" s="15"/>
      <c r="O95" s="15"/>
      <c r="P95" s="15"/>
      <c r="Q95" s="15"/>
      <c r="R95" s="15"/>
      <c r="S95" s="15"/>
      <c r="T95" s="15"/>
      <c r="U95" s="15"/>
      <c r="V95" s="15"/>
      <c r="W95" s="15"/>
      <c r="X95" s="15"/>
      <c r="Y95" s="15"/>
      <c r="Z95" s="15"/>
    </row>
    <row r="96" spans="1:26" x14ac:dyDescent="0.3">
      <c r="A96" s="24">
        <v>11</v>
      </c>
      <c r="B96" s="27" t="s">
        <v>221</v>
      </c>
      <c r="C96" s="27" t="s">
        <v>222</v>
      </c>
      <c r="D96" s="17"/>
      <c r="E96" s="17"/>
      <c r="F96" s="17"/>
      <c r="G96" s="17"/>
      <c r="H96" s="17"/>
      <c r="I96" s="17"/>
      <c r="J96" s="17"/>
      <c r="K96" s="17"/>
      <c r="L96" s="15"/>
      <c r="M96" s="15"/>
      <c r="N96" s="15"/>
      <c r="O96" s="15"/>
      <c r="P96" s="15"/>
      <c r="Q96" s="15"/>
      <c r="R96" s="15"/>
      <c r="S96" s="15"/>
      <c r="T96" s="15"/>
      <c r="U96" s="15"/>
      <c r="V96" s="15"/>
      <c r="W96" s="15"/>
      <c r="X96" s="15"/>
      <c r="Y96" s="15"/>
      <c r="Z96" s="15"/>
    </row>
    <row r="97" spans="1:26" x14ac:dyDescent="0.3">
      <c r="A97" s="25">
        <v>11.1</v>
      </c>
      <c r="B97" s="27" t="s">
        <v>223</v>
      </c>
      <c r="C97" s="27" t="s">
        <v>224</v>
      </c>
      <c r="D97" s="26" t="s">
        <v>225</v>
      </c>
      <c r="E97" s="26"/>
      <c r="F97" s="24">
        <v>20</v>
      </c>
      <c r="G97" s="24"/>
      <c r="H97" s="24"/>
      <c r="I97" s="24"/>
      <c r="J97" s="24"/>
      <c r="K97" s="24"/>
      <c r="L97" s="15"/>
      <c r="M97" s="15"/>
      <c r="N97" s="15"/>
      <c r="O97" s="15"/>
      <c r="P97" s="15"/>
      <c r="Q97" s="15"/>
      <c r="R97" s="15"/>
      <c r="S97" s="15"/>
      <c r="T97" s="15"/>
      <c r="U97" s="15"/>
      <c r="V97" s="15"/>
      <c r="W97" s="15"/>
      <c r="X97" s="15"/>
      <c r="Y97" s="15"/>
      <c r="Z97" s="15"/>
    </row>
    <row r="98" spans="1:26" x14ac:dyDescent="0.3">
      <c r="A98" s="17"/>
      <c r="B98" s="17"/>
      <c r="C98" s="17"/>
      <c r="D98" s="17"/>
      <c r="E98" s="17"/>
      <c r="F98" s="17"/>
      <c r="G98" s="17"/>
      <c r="H98" s="17"/>
      <c r="I98" s="17"/>
      <c r="J98" s="17"/>
      <c r="K98" s="17"/>
      <c r="L98" s="15"/>
      <c r="M98" s="15"/>
      <c r="N98" s="15"/>
      <c r="O98" s="15"/>
      <c r="P98" s="15"/>
      <c r="Q98" s="15"/>
      <c r="R98" s="15"/>
      <c r="S98" s="15"/>
      <c r="T98" s="15"/>
      <c r="U98" s="15"/>
      <c r="V98" s="15"/>
      <c r="W98" s="15"/>
      <c r="X98" s="15"/>
      <c r="Y98" s="15"/>
      <c r="Z98" s="15"/>
    </row>
    <row r="99" spans="1:26" x14ac:dyDescent="0.3">
      <c r="A99" s="24">
        <v>12</v>
      </c>
      <c r="B99" s="27" t="s">
        <v>226</v>
      </c>
      <c r="C99" s="17" t="s">
        <v>227</v>
      </c>
      <c r="D99" s="17"/>
      <c r="E99" s="17"/>
      <c r="F99" s="17"/>
      <c r="G99" s="17"/>
      <c r="H99" s="17"/>
      <c r="I99" s="17"/>
      <c r="J99" s="17"/>
      <c r="K99" s="17"/>
      <c r="L99" s="15"/>
      <c r="M99" s="15"/>
      <c r="N99" s="15"/>
      <c r="O99" s="15"/>
      <c r="P99" s="15"/>
      <c r="Q99" s="15"/>
      <c r="R99" s="15"/>
      <c r="S99" s="15"/>
      <c r="T99" s="15"/>
      <c r="U99" s="15"/>
      <c r="V99" s="15"/>
      <c r="W99" s="15"/>
      <c r="X99" s="15"/>
      <c r="Y99" s="15"/>
      <c r="Z99" s="15"/>
    </row>
    <row r="100" spans="1:26" x14ac:dyDescent="0.3">
      <c r="A100" s="25">
        <v>12.1</v>
      </c>
      <c r="B100" s="27" t="s">
        <v>228</v>
      </c>
      <c r="C100" s="27" t="s">
        <v>229</v>
      </c>
      <c r="D100" s="26" t="s">
        <v>230</v>
      </c>
      <c r="E100" s="26"/>
      <c r="F100" s="24">
        <v>5</v>
      </c>
      <c r="G100" s="24"/>
      <c r="H100" s="24"/>
      <c r="I100" s="24"/>
      <c r="J100" s="24"/>
      <c r="K100" s="24"/>
      <c r="L100" s="15"/>
      <c r="M100" s="15"/>
      <c r="N100" s="15"/>
      <c r="O100" s="15"/>
      <c r="P100" s="15"/>
      <c r="Q100" s="15"/>
      <c r="R100" s="15"/>
      <c r="S100" s="15"/>
      <c r="T100" s="15"/>
      <c r="U100" s="15"/>
      <c r="V100" s="15"/>
      <c r="W100" s="15"/>
      <c r="X100" s="15"/>
      <c r="Y100" s="15"/>
      <c r="Z100" s="15"/>
    </row>
    <row r="101" spans="1:26" x14ac:dyDescent="0.3">
      <c r="A101" s="25">
        <v>12.2</v>
      </c>
      <c r="B101" s="27" t="s">
        <v>231</v>
      </c>
      <c r="C101" s="27" t="s">
        <v>232</v>
      </c>
      <c r="D101" s="26" t="s">
        <v>233</v>
      </c>
      <c r="E101" s="26"/>
      <c r="F101" s="24">
        <v>12</v>
      </c>
      <c r="G101" s="24"/>
      <c r="H101" s="24"/>
      <c r="I101" s="24"/>
      <c r="J101" s="24"/>
      <c r="K101" s="24"/>
      <c r="L101" s="15"/>
      <c r="M101" s="15"/>
      <c r="N101" s="15"/>
      <c r="O101" s="15"/>
      <c r="P101" s="15"/>
      <c r="Q101" s="15"/>
      <c r="R101" s="15"/>
      <c r="S101" s="15"/>
      <c r="T101" s="15"/>
      <c r="U101" s="15"/>
      <c r="V101" s="15"/>
      <c r="W101" s="15"/>
      <c r="X101" s="15"/>
      <c r="Y101" s="15"/>
      <c r="Z101" s="15"/>
    </row>
    <row r="102" spans="1:26" x14ac:dyDescent="0.3">
      <c r="A102" s="25">
        <v>12.3</v>
      </c>
      <c r="B102" s="26" t="s">
        <v>234</v>
      </c>
      <c r="C102" s="27" t="s">
        <v>235</v>
      </c>
      <c r="D102" s="26" t="s">
        <v>236</v>
      </c>
      <c r="E102" s="26"/>
      <c r="F102" s="24">
        <v>96</v>
      </c>
      <c r="G102" s="24"/>
      <c r="H102" s="24"/>
      <c r="I102" s="24"/>
      <c r="J102" s="24"/>
      <c r="K102" s="24"/>
      <c r="L102" s="15"/>
      <c r="M102" s="15"/>
      <c r="N102" s="15"/>
      <c r="O102" s="15"/>
      <c r="P102" s="15"/>
      <c r="Q102" s="15"/>
      <c r="R102" s="15"/>
      <c r="S102" s="15"/>
      <c r="T102" s="15"/>
      <c r="U102" s="15"/>
      <c r="V102" s="15"/>
      <c r="W102" s="15"/>
      <c r="X102" s="15"/>
      <c r="Y102" s="15"/>
      <c r="Z102" s="15"/>
    </row>
    <row r="103" spans="1:26" x14ac:dyDescent="0.3">
      <c r="A103" s="17"/>
      <c r="B103" s="17"/>
      <c r="C103" s="17"/>
      <c r="D103" s="17"/>
      <c r="E103" s="17"/>
      <c r="F103" s="17"/>
      <c r="G103" s="17"/>
      <c r="H103" s="17"/>
      <c r="I103" s="17"/>
      <c r="J103" s="17"/>
      <c r="K103" s="17"/>
      <c r="L103" s="15"/>
      <c r="M103" s="15"/>
      <c r="N103" s="15"/>
      <c r="O103" s="15"/>
      <c r="P103" s="15"/>
      <c r="Q103" s="15"/>
      <c r="R103" s="15"/>
      <c r="S103" s="15"/>
      <c r="T103" s="15"/>
      <c r="U103" s="15"/>
      <c r="V103" s="15"/>
      <c r="W103" s="15"/>
      <c r="X103" s="15"/>
      <c r="Y103" s="15"/>
      <c r="Z103" s="15"/>
    </row>
    <row r="104" spans="1:26" x14ac:dyDescent="0.3">
      <c r="A104" s="24">
        <v>13</v>
      </c>
      <c r="B104" s="27" t="s">
        <v>237</v>
      </c>
      <c r="C104" s="27" t="s">
        <v>238</v>
      </c>
      <c r="D104" s="26" t="s">
        <v>239</v>
      </c>
      <c r="E104" s="26"/>
      <c r="F104" s="24">
        <v>22</v>
      </c>
      <c r="G104" s="24"/>
      <c r="H104" s="24"/>
      <c r="I104" s="24"/>
      <c r="J104" s="24"/>
      <c r="K104" s="24"/>
      <c r="L104" s="15"/>
      <c r="M104" s="15"/>
      <c r="N104" s="15"/>
      <c r="O104" s="15"/>
      <c r="P104" s="15"/>
      <c r="Q104" s="15"/>
      <c r="R104" s="15"/>
      <c r="S104" s="15"/>
      <c r="T104" s="15"/>
      <c r="U104" s="15"/>
      <c r="V104" s="15"/>
      <c r="W104" s="15"/>
      <c r="X104" s="15"/>
      <c r="Y104" s="15"/>
      <c r="Z104" s="15"/>
    </row>
    <row r="105" spans="1:26" x14ac:dyDescent="0.3">
      <c r="A105" s="17"/>
      <c r="B105" s="17"/>
      <c r="C105" s="17"/>
      <c r="D105" s="17"/>
      <c r="E105" s="17"/>
      <c r="F105" s="17"/>
      <c r="G105" s="17"/>
      <c r="H105" s="17"/>
      <c r="I105" s="17"/>
      <c r="J105" s="17"/>
      <c r="K105" s="17"/>
      <c r="L105" s="15"/>
      <c r="M105" s="15"/>
      <c r="N105" s="15"/>
      <c r="O105" s="15"/>
      <c r="P105" s="15"/>
      <c r="Q105" s="15"/>
      <c r="R105" s="15"/>
      <c r="S105" s="15"/>
      <c r="T105" s="15"/>
      <c r="U105" s="15"/>
      <c r="V105" s="15"/>
      <c r="W105" s="15"/>
      <c r="X105" s="15"/>
      <c r="Y105" s="15"/>
      <c r="Z105" s="15"/>
    </row>
    <row r="106" spans="1:26" x14ac:dyDescent="0.3">
      <c r="A106" s="22"/>
      <c r="B106" s="22"/>
      <c r="C106" s="21" t="s">
        <v>240</v>
      </c>
      <c r="D106" s="22"/>
      <c r="E106" s="22"/>
      <c r="F106" s="22"/>
      <c r="G106" s="22"/>
      <c r="H106" s="22"/>
      <c r="I106" s="22"/>
      <c r="J106" s="22"/>
      <c r="K106" s="22"/>
      <c r="L106" s="15"/>
      <c r="M106" s="15"/>
      <c r="N106" s="15"/>
      <c r="O106" s="15"/>
      <c r="P106" s="15"/>
      <c r="Q106" s="15"/>
      <c r="R106" s="15"/>
      <c r="S106" s="15"/>
      <c r="T106" s="15"/>
      <c r="U106" s="15"/>
      <c r="V106" s="15"/>
      <c r="W106" s="15"/>
      <c r="X106" s="15"/>
      <c r="Y106" s="15"/>
      <c r="Z106" s="15"/>
    </row>
    <row r="107" spans="1:26" x14ac:dyDescent="0.3">
      <c r="A107" s="17"/>
      <c r="B107" s="17"/>
      <c r="C107" s="17"/>
      <c r="D107" s="17"/>
      <c r="E107" s="17"/>
      <c r="F107" s="17"/>
      <c r="G107" s="17"/>
      <c r="H107" s="17"/>
      <c r="I107" s="17"/>
      <c r="J107" s="17"/>
      <c r="K107" s="17"/>
      <c r="L107" s="15"/>
      <c r="M107" s="15"/>
      <c r="N107" s="15"/>
      <c r="O107" s="15"/>
      <c r="P107" s="15"/>
      <c r="Q107" s="15"/>
      <c r="R107" s="15"/>
      <c r="S107" s="15"/>
      <c r="T107" s="15"/>
      <c r="U107" s="15"/>
      <c r="V107" s="15"/>
      <c r="W107" s="15"/>
      <c r="X107" s="15"/>
      <c r="Y107" s="15"/>
      <c r="Z107" s="15"/>
    </row>
    <row r="108" spans="1:26" x14ac:dyDescent="0.3">
      <c r="A108" s="20" t="s">
        <v>241</v>
      </c>
      <c r="B108" s="21" t="s">
        <v>242</v>
      </c>
      <c r="C108" s="21" t="s">
        <v>243</v>
      </c>
      <c r="D108" s="22"/>
      <c r="E108" s="22"/>
      <c r="F108" s="22"/>
      <c r="G108" s="22"/>
      <c r="H108" s="22"/>
      <c r="I108" s="22"/>
      <c r="J108" s="22"/>
      <c r="K108" s="22"/>
      <c r="L108" s="15"/>
      <c r="M108" s="15"/>
      <c r="N108" s="15"/>
      <c r="O108" s="15"/>
      <c r="P108" s="15"/>
      <c r="Q108" s="15"/>
      <c r="R108" s="15"/>
      <c r="S108" s="15"/>
      <c r="T108" s="15"/>
      <c r="U108" s="15"/>
      <c r="V108" s="15"/>
      <c r="W108" s="15"/>
      <c r="X108" s="15"/>
      <c r="Y108" s="15"/>
      <c r="Z108" s="15"/>
    </row>
    <row r="109" spans="1:26" x14ac:dyDescent="0.3">
      <c r="A109" s="17"/>
      <c r="B109" s="17"/>
      <c r="C109" s="17"/>
      <c r="D109" s="17"/>
      <c r="E109" s="17"/>
      <c r="F109" s="17"/>
      <c r="G109" s="17"/>
      <c r="H109" s="17"/>
      <c r="I109" s="17"/>
      <c r="J109" s="17"/>
      <c r="K109" s="17"/>
      <c r="L109" s="15"/>
      <c r="M109" s="15"/>
      <c r="N109" s="15"/>
      <c r="O109" s="15"/>
      <c r="P109" s="15"/>
      <c r="Q109" s="15"/>
      <c r="R109" s="15"/>
      <c r="S109" s="15"/>
      <c r="T109" s="15"/>
      <c r="U109" s="15"/>
      <c r="V109" s="15"/>
      <c r="W109" s="15"/>
      <c r="X109" s="15"/>
      <c r="Y109" s="15"/>
      <c r="Z109" s="15"/>
    </row>
    <row r="110" spans="1:26" x14ac:dyDescent="0.3">
      <c r="A110" s="24">
        <v>1</v>
      </c>
      <c r="B110" s="26" t="s">
        <v>244</v>
      </c>
      <c r="C110" s="35" t="s">
        <v>245</v>
      </c>
      <c r="D110" s="17"/>
      <c r="E110" s="17"/>
      <c r="F110" s="17"/>
      <c r="G110" s="17"/>
      <c r="H110" s="17"/>
      <c r="I110" s="17"/>
      <c r="J110" s="17"/>
      <c r="K110" s="17"/>
      <c r="L110" s="15"/>
      <c r="M110" s="15"/>
      <c r="N110" s="15"/>
      <c r="O110" s="15"/>
      <c r="P110" s="15"/>
      <c r="Q110" s="15"/>
      <c r="R110" s="15"/>
      <c r="S110" s="15"/>
      <c r="T110" s="15"/>
      <c r="U110" s="15"/>
      <c r="V110" s="15"/>
      <c r="W110" s="15"/>
      <c r="X110" s="15"/>
      <c r="Y110" s="15"/>
      <c r="Z110" s="15"/>
    </row>
    <row r="111" spans="1:26" x14ac:dyDescent="0.3">
      <c r="A111" s="17"/>
      <c r="B111" s="17"/>
      <c r="C111" s="17" t="s">
        <v>246</v>
      </c>
      <c r="D111" s="17"/>
      <c r="E111" s="17"/>
      <c r="F111" s="17"/>
      <c r="G111" s="17"/>
      <c r="H111" s="17"/>
      <c r="I111" s="17"/>
      <c r="J111" s="17"/>
      <c r="K111" s="17"/>
      <c r="L111" s="15"/>
      <c r="M111" s="15"/>
      <c r="N111" s="15"/>
      <c r="O111" s="15"/>
      <c r="P111" s="15"/>
      <c r="Q111" s="15"/>
      <c r="R111" s="15"/>
      <c r="S111" s="15"/>
      <c r="T111" s="15"/>
      <c r="U111" s="15"/>
      <c r="V111" s="15"/>
      <c r="W111" s="15"/>
      <c r="X111" s="15"/>
      <c r="Y111" s="15"/>
      <c r="Z111" s="15"/>
    </row>
    <row r="112" spans="1:26" x14ac:dyDescent="0.3">
      <c r="A112" s="17"/>
      <c r="B112" s="17"/>
      <c r="C112" s="27" t="s">
        <v>247</v>
      </c>
      <c r="D112" s="17"/>
      <c r="E112" s="17"/>
      <c r="F112" s="17"/>
      <c r="G112" s="17"/>
      <c r="H112" s="17"/>
      <c r="I112" s="17"/>
      <c r="J112" s="17"/>
      <c r="K112" s="17"/>
      <c r="L112" s="15"/>
      <c r="M112" s="15"/>
      <c r="N112" s="15"/>
      <c r="O112" s="15"/>
      <c r="P112" s="15"/>
      <c r="Q112" s="15"/>
      <c r="R112" s="15"/>
      <c r="S112" s="15"/>
      <c r="T112" s="15"/>
      <c r="U112" s="15"/>
      <c r="V112" s="15"/>
      <c r="W112" s="15"/>
      <c r="X112" s="15"/>
      <c r="Y112" s="15"/>
      <c r="Z112" s="15"/>
    </row>
    <row r="113" spans="1:26" x14ac:dyDescent="0.3">
      <c r="A113" s="17"/>
      <c r="B113" s="17"/>
      <c r="C113" s="27" t="s">
        <v>248</v>
      </c>
      <c r="D113" s="17"/>
      <c r="E113" s="17"/>
      <c r="F113" s="17"/>
      <c r="G113" s="17"/>
      <c r="H113" s="17"/>
      <c r="I113" s="17"/>
      <c r="J113" s="17"/>
      <c r="K113" s="17"/>
      <c r="L113" s="15"/>
      <c r="M113" s="15"/>
      <c r="N113" s="15"/>
      <c r="O113" s="15"/>
      <c r="P113" s="15"/>
      <c r="Q113" s="15"/>
      <c r="R113" s="15"/>
      <c r="S113" s="15"/>
      <c r="T113" s="15"/>
      <c r="U113" s="15"/>
      <c r="V113" s="15"/>
      <c r="W113" s="15"/>
      <c r="X113" s="15"/>
      <c r="Y113" s="15"/>
      <c r="Z113" s="15"/>
    </row>
    <row r="114" spans="1:26" x14ac:dyDescent="0.3">
      <c r="A114" s="17"/>
      <c r="B114" s="17"/>
      <c r="C114" s="35" t="s">
        <v>249</v>
      </c>
      <c r="D114" s="17"/>
      <c r="E114" s="17"/>
      <c r="F114" s="17"/>
      <c r="G114" s="17"/>
      <c r="H114" s="17"/>
      <c r="I114" s="17"/>
      <c r="J114" s="17"/>
      <c r="K114" s="17"/>
      <c r="L114" s="15"/>
      <c r="M114" s="15"/>
      <c r="N114" s="15"/>
      <c r="O114" s="15"/>
      <c r="P114" s="15"/>
      <c r="Q114" s="15"/>
      <c r="R114" s="15"/>
      <c r="S114" s="15"/>
      <c r="T114" s="15"/>
      <c r="U114" s="15"/>
      <c r="V114" s="15"/>
      <c r="W114" s="15"/>
      <c r="X114" s="15"/>
      <c r="Y114" s="15"/>
      <c r="Z114" s="15"/>
    </row>
    <row r="115" spans="1:26" x14ac:dyDescent="0.3">
      <c r="A115" s="17"/>
      <c r="B115" s="17"/>
      <c r="C115" s="27" t="s">
        <v>250</v>
      </c>
      <c r="D115" s="17"/>
      <c r="E115" s="17"/>
      <c r="F115" s="17"/>
      <c r="G115" s="17"/>
      <c r="H115" s="17"/>
      <c r="I115" s="17"/>
      <c r="J115" s="17"/>
      <c r="K115" s="17"/>
      <c r="L115" s="15"/>
      <c r="M115" s="15"/>
      <c r="N115" s="15"/>
      <c r="O115" s="15"/>
      <c r="P115" s="15"/>
      <c r="Q115" s="15"/>
      <c r="R115" s="15"/>
      <c r="S115" s="15"/>
      <c r="T115" s="15"/>
      <c r="U115" s="15"/>
      <c r="V115" s="15"/>
      <c r="W115" s="15"/>
      <c r="X115" s="15"/>
      <c r="Y115" s="15"/>
      <c r="Z115" s="15"/>
    </row>
    <row r="116" spans="1:26" x14ac:dyDescent="0.3">
      <c r="A116" s="17"/>
      <c r="B116" s="17"/>
      <c r="C116" s="17" t="s">
        <v>251</v>
      </c>
      <c r="D116" s="17"/>
      <c r="E116" s="17"/>
      <c r="F116" s="17"/>
      <c r="G116" s="17"/>
      <c r="H116" s="17"/>
      <c r="I116" s="17"/>
      <c r="J116" s="17"/>
      <c r="K116" s="17"/>
      <c r="L116" s="15"/>
      <c r="M116" s="15"/>
      <c r="N116" s="15"/>
      <c r="O116" s="15"/>
      <c r="P116" s="15"/>
      <c r="Q116" s="15"/>
      <c r="R116" s="15"/>
      <c r="S116" s="15"/>
      <c r="T116" s="15"/>
      <c r="U116" s="15"/>
      <c r="V116" s="15"/>
      <c r="W116" s="15"/>
      <c r="X116" s="15"/>
      <c r="Y116" s="15"/>
      <c r="Z116" s="15"/>
    </row>
    <row r="117" spans="1:26" x14ac:dyDescent="0.3">
      <c r="A117" s="17"/>
      <c r="B117" s="17"/>
      <c r="C117" s="27" t="s">
        <v>252</v>
      </c>
      <c r="D117" s="17"/>
      <c r="E117" s="17"/>
      <c r="F117" s="17"/>
      <c r="G117" s="17"/>
      <c r="H117" s="17"/>
      <c r="I117" s="17"/>
      <c r="J117" s="17"/>
      <c r="K117" s="17"/>
      <c r="L117" s="15"/>
      <c r="M117" s="15"/>
      <c r="N117" s="15"/>
      <c r="O117" s="15"/>
      <c r="P117" s="15"/>
      <c r="Q117" s="15"/>
      <c r="R117" s="15"/>
      <c r="S117" s="15"/>
      <c r="T117" s="15"/>
      <c r="U117" s="15"/>
      <c r="V117" s="15"/>
      <c r="W117" s="15"/>
      <c r="X117" s="15"/>
      <c r="Y117" s="15"/>
      <c r="Z117" s="15"/>
    </row>
    <row r="118" spans="1:26" x14ac:dyDescent="0.3">
      <c r="A118" s="17"/>
      <c r="B118" s="17"/>
      <c r="C118" s="27" t="s">
        <v>253</v>
      </c>
      <c r="D118" s="17"/>
      <c r="E118" s="17"/>
      <c r="F118" s="17"/>
      <c r="G118" s="17"/>
      <c r="H118" s="17"/>
      <c r="I118" s="17"/>
      <c r="J118" s="17"/>
      <c r="K118" s="17"/>
      <c r="L118" s="15"/>
      <c r="M118" s="15"/>
      <c r="N118" s="15"/>
      <c r="O118" s="15"/>
      <c r="P118" s="15"/>
      <c r="Q118" s="15"/>
      <c r="R118" s="15"/>
      <c r="S118" s="15"/>
      <c r="T118" s="15"/>
      <c r="U118" s="15"/>
      <c r="V118" s="15"/>
      <c r="W118" s="15"/>
      <c r="X118" s="15"/>
      <c r="Y118" s="15"/>
      <c r="Z118" s="15"/>
    </row>
    <row r="119" spans="1:26" x14ac:dyDescent="0.3">
      <c r="A119" s="17"/>
      <c r="B119" s="17"/>
      <c r="C119" s="35" t="s">
        <v>254</v>
      </c>
      <c r="D119" s="17"/>
      <c r="E119" s="17"/>
      <c r="F119" s="17"/>
      <c r="G119" s="17"/>
      <c r="H119" s="17"/>
      <c r="I119" s="17"/>
      <c r="J119" s="17"/>
      <c r="K119" s="17"/>
      <c r="L119" s="15"/>
      <c r="M119" s="15"/>
      <c r="N119" s="15"/>
      <c r="O119" s="15"/>
      <c r="P119" s="15"/>
      <c r="Q119" s="15"/>
      <c r="R119" s="15"/>
      <c r="S119" s="15"/>
      <c r="T119" s="15"/>
      <c r="U119" s="15"/>
      <c r="V119" s="15"/>
      <c r="W119" s="15"/>
      <c r="X119" s="15"/>
      <c r="Y119" s="15"/>
      <c r="Z119" s="15"/>
    </row>
    <row r="120" spans="1:26" x14ac:dyDescent="0.3">
      <c r="A120" s="17"/>
      <c r="B120" s="17"/>
      <c r="C120" s="17"/>
      <c r="D120" s="17"/>
      <c r="E120" s="17"/>
      <c r="F120" s="17"/>
      <c r="G120" s="17"/>
      <c r="H120" s="17"/>
      <c r="I120" s="17"/>
      <c r="J120" s="17"/>
      <c r="K120" s="17"/>
      <c r="L120" s="15"/>
      <c r="M120" s="15"/>
      <c r="N120" s="15"/>
      <c r="O120" s="15"/>
      <c r="P120" s="15"/>
      <c r="Q120" s="15"/>
      <c r="R120" s="15"/>
      <c r="S120" s="15"/>
      <c r="T120" s="15"/>
      <c r="U120" s="15"/>
      <c r="V120" s="15"/>
      <c r="W120" s="15"/>
      <c r="X120" s="15"/>
      <c r="Y120" s="15"/>
      <c r="Z120" s="15"/>
    </row>
    <row r="121" spans="1:26" x14ac:dyDescent="0.3">
      <c r="A121" s="36">
        <v>1.1000000000000001</v>
      </c>
      <c r="B121" s="26" t="s">
        <v>255</v>
      </c>
      <c r="C121" s="35" t="s">
        <v>256</v>
      </c>
      <c r="D121" s="17"/>
      <c r="E121" s="17"/>
      <c r="F121" s="17"/>
      <c r="G121" s="17"/>
      <c r="H121" s="17"/>
      <c r="I121" s="17"/>
      <c r="J121" s="17"/>
      <c r="K121" s="17"/>
      <c r="L121" s="15"/>
      <c r="M121" s="15"/>
      <c r="N121" s="15"/>
      <c r="O121" s="15"/>
      <c r="P121" s="15"/>
      <c r="Q121" s="15"/>
      <c r="R121" s="15"/>
      <c r="S121" s="15"/>
      <c r="T121" s="15"/>
      <c r="U121" s="15"/>
      <c r="V121" s="15"/>
      <c r="W121" s="15"/>
      <c r="X121" s="15"/>
      <c r="Y121" s="15"/>
      <c r="Z121" s="15"/>
    </row>
    <row r="122" spans="1:26" x14ac:dyDescent="0.3">
      <c r="A122" s="26" t="s">
        <v>257</v>
      </c>
      <c r="B122" s="26" t="s">
        <v>258</v>
      </c>
      <c r="C122" s="17" t="s">
        <v>259</v>
      </c>
      <c r="D122" s="26" t="s">
        <v>260</v>
      </c>
      <c r="E122" s="26"/>
      <c r="F122" s="24">
        <v>200</v>
      </c>
      <c r="G122" s="24"/>
      <c r="H122" s="24"/>
      <c r="I122" s="24"/>
      <c r="J122" s="24"/>
      <c r="K122" s="24"/>
      <c r="L122" s="15"/>
      <c r="M122" s="15"/>
      <c r="N122" s="15"/>
      <c r="O122" s="15"/>
      <c r="P122" s="15"/>
      <c r="Q122" s="15"/>
      <c r="R122" s="15"/>
      <c r="S122" s="15"/>
      <c r="T122" s="15"/>
      <c r="U122" s="15"/>
      <c r="V122" s="15"/>
      <c r="W122" s="15"/>
      <c r="X122" s="15"/>
      <c r="Y122" s="15"/>
      <c r="Z122" s="15"/>
    </row>
    <row r="123" spans="1:26" x14ac:dyDescent="0.3">
      <c r="A123" s="26" t="s">
        <v>261</v>
      </c>
      <c r="B123" s="26" t="s">
        <v>262</v>
      </c>
      <c r="C123" s="27" t="s">
        <v>263</v>
      </c>
      <c r="D123" s="26" t="s">
        <v>264</v>
      </c>
      <c r="E123" s="26"/>
      <c r="F123" s="24">
        <v>2</v>
      </c>
      <c r="G123" s="24"/>
      <c r="H123" s="24"/>
      <c r="I123" s="24"/>
      <c r="J123" s="24"/>
      <c r="K123" s="24"/>
      <c r="L123" s="15"/>
      <c r="M123" s="15"/>
      <c r="N123" s="15"/>
      <c r="O123" s="15"/>
      <c r="P123" s="15"/>
      <c r="Q123" s="15"/>
      <c r="R123" s="15"/>
      <c r="S123" s="15"/>
      <c r="T123" s="15"/>
      <c r="U123" s="15"/>
      <c r="V123" s="15"/>
      <c r="W123" s="15"/>
      <c r="X123" s="15"/>
      <c r="Y123" s="15"/>
      <c r="Z123" s="15"/>
    </row>
    <row r="124" spans="1:26" x14ac:dyDescent="0.3">
      <c r="A124" s="26" t="s">
        <v>265</v>
      </c>
      <c r="B124" s="26" t="s">
        <v>266</v>
      </c>
      <c r="C124" s="27" t="s">
        <v>267</v>
      </c>
      <c r="D124" s="26" t="s">
        <v>268</v>
      </c>
      <c r="E124" s="26"/>
      <c r="F124" s="24">
        <v>20</v>
      </c>
      <c r="G124" s="24"/>
      <c r="H124" s="24"/>
      <c r="I124" s="24"/>
      <c r="J124" s="24"/>
      <c r="K124" s="24"/>
      <c r="L124" s="15"/>
      <c r="M124" s="15"/>
      <c r="N124" s="15"/>
      <c r="O124" s="15"/>
      <c r="P124" s="15"/>
      <c r="Q124" s="15"/>
      <c r="R124" s="15"/>
      <c r="S124" s="15"/>
      <c r="T124" s="15"/>
      <c r="U124" s="15"/>
      <c r="V124" s="15"/>
      <c r="W124" s="15"/>
      <c r="X124" s="15"/>
      <c r="Y124" s="15"/>
      <c r="Z124" s="15"/>
    </row>
    <row r="125" spans="1:26" x14ac:dyDescent="0.3">
      <c r="A125" s="26" t="s">
        <v>269</v>
      </c>
      <c r="B125" s="26" t="s">
        <v>270</v>
      </c>
      <c r="C125" s="27" t="s">
        <v>271</v>
      </c>
      <c r="D125" s="26" t="s">
        <v>272</v>
      </c>
      <c r="E125" s="26"/>
      <c r="F125" s="24">
        <v>2</v>
      </c>
      <c r="G125" s="24"/>
      <c r="H125" s="24"/>
      <c r="I125" s="24"/>
      <c r="J125" s="24"/>
      <c r="K125" s="24"/>
      <c r="L125" s="15"/>
      <c r="M125" s="15"/>
      <c r="N125" s="15"/>
      <c r="O125" s="15"/>
      <c r="P125" s="15"/>
      <c r="Q125" s="15"/>
      <c r="R125" s="15"/>
      <c r="S125" s="15"/>
      <c r="T125" s="15"/>
      <c r="U125" s="15"/>
      <c r="V125" s="15"/>
      <c r="W125" s="15"/>
      <c r="X125" s="15"/>
      <c r="Y125" s="15"/>
      <c r="Z125" s="15"/>
    </row>
    <row r="126" spans="1:26" x14ac:dyDescent="0.3">
      <c r="A126" s="26" t="s">
        <v>273</v>
      </c>
      <c r="B126" s="26" t="s">
        <v>274</v>
      </c>
      <c r="C126" s="27" t="s">
        <v>275</v>
      </c>
      <c r="D126" s="26" t="s">
        <v>276</v>
      </c>
      <c r="E126" s="26"/>
      <c r="F126" s="24">
        <v>4</v>
      </c>
      <c r="G126" s="24"/>
      <c r="H126" s="24"/>
      <c r="I126" s="24"/>
      <c r="J126" s="24"/>
      <c r="K126" s="24"/>
      <c r="L126" s="15"/>
      <c r="M126" s="15"/>
      <c r="N126" s="15"/>
      <c r="O126" s="15"/>
      <c r="P126" s="15"/>
      <c r="Q126" s="15"/>
      <c r="R126" s="15"/>
      <c r="S126" s="15"/>
      <c r="T126" s="15"/>
      <c r="U126" s="15"/>
      <c r="V126" s="15"/>
      <c r="W126" s="15"/>
      <c r="X126" s="15"/>
      <c r="Y126" s="15"/>
      <c r="Z126" s="15"/>
    </row>
    <row r="127" spans="1:26" x14ac:dyDescent="0.3">
      <c r="A127" s="26" t="s">
        <v>277</v>
      </c>
      <c r="B127" s="26" t="s">
        <v>278</v>
      </c>
      <c r="C127" s="27" t="s">
        <v>279</v>
      </c>
      <c r="D127" s="26" t="s">
        <v>280</v>
      </c>
      <c r="E127" s="26"/>
      <c r="F127" s="24">
        <v>120</v>
      </c>
      <c r="G127" s="24"/>
      <c r="H127" s="24"/>
      <c r="I127" s="24"/>
      <c r="J127" s="24"/>
      <c r="K127" s="24"/>
      <c r="L127" s="15"/>
      <c r="M127" s="15"/>
      <c r="N127" s="15"/>
      <c r="O127" s="15"/>
      <c r="P127" s="15"/>
      <c r="Q127" s="15"/>
      <c r="R127" s="15"/>
      <c r="S127" s="15"/>
      <c r="T127" s="15"/>
      <c r="U127" s="15"/>
      <c r="V127" s="15"/>
      <c r="W127" s="15"/>
      <c r="X127" s="15"/>
      <c r="Y127" s="15"/>
      <c r="Z127" s="15"/>
    </row>
    <row r="128" spans="1:26" x14ac:dyDescent="0.3">
      <c r="A128" s="26" t="s">
        <v>281</v>
      </c>
      <c r="B128" s="26" t="s">
        <v>282</v>
      </c>
      <c r="C128" s="27" t="s">
        <v>283</v>
      </c>
      <c r="D128" s="26" t="s">
        <v>284</v>
      </c>
      <c r="E128" s="26"/>
      <c r="F128" s="24">
        <v>5</v>
      </c>
      <c r="G128" s="24"/>
      <c r="H128" s="24"/>
      <c r="I128" s="24"/>
      <c r="J128" s="24"/>
      <c r="K128" s="24"/>
      <c r="L128" s="15"/>
      <c r="M128" s="15"/>
      <c r="N128" s="15"/>
      <c r="O128" s="15"/>
      <c r="P128" s="15"/>
      <c r="Q128" s="15"/>
      <c r="R128" s="15"/>
      <c r="S128" s="15"/>
      <c r="T128" s="15"/>
      <c r="U128" s="15"/>
      <c r="V128" s="15"/>
      <c r="W128" s="15"/>
      <c r="X128" s="15"/>
      <c r="Y128" s="15"/>
      <c r="Z128" s="15"/>
    </row>
    <row r="129" spans="1:26" x14ac:dyDescent="0.3">
      <c r="A129" s="26" t="s">
        <v>285</v>
      </c>
      <c r="B129" s="26" t="s">
        <v>286</v>
      </c>
      <c r="C129" s="27" t="s">
        <v>287</v>
      </c>
      <c r="D129" s="26" t="s">
        <v>288</v>
      </c>
      <c r="E129" s="26"/>
      <c r="F129" s="24">
        <v>10</v>
      </c>
      <c r="G129" s="24"/>
      <c r="H129" s="24"/>
      <c r="I129" s="24"/>
      <c r="J129" s="24"/>
      <c r="K129" s="24"/>
      <c r="L129" s="15"/>
      <c r="M129" s="15"/>
      <c r="N129" s="15"/>
      <c r="O129" s="15"/>
      <c r="P129" s="15"/>
      <c r="Q129" s="15"/>
      <c r="R129" s="15"/>
      <c r="S129" s="15"/>
      <c r="T129" s="15"/>
      <c r="U129" s="15"/>
      <c r="V129" s="15"/>
      <c r="W129" s="15"/>
      <c r="X129" s="15"/>
      <c r="Y129" s="15"/>
      <c r="Z129" s="15"/>
    </row>
    <row r="130" spans="1:26" x14ac:dyDescent="0.3">
      <c r="A130" s="17"/>
      <c r="B130" s="17"/>
      <c r="C130" s="17"/>
      <c r="D130" s="17"/>
      <c r="E130" s="17"/>
      <c r="F130" s="17"/>
      <c r="G130" s="17"/>
      <c r="H130" s="17"/>
      <c r="I130" s="17"/>
      <c r="J130" s="17"/>
      <c r="K130" s="17"/>
      <c r="L130" s="15"/>
      <c r="M130" s="15"/>
      <c r="N130" s="15"/>
      <c r="O130" s="15"/>
      <c r="P130" s="15"/>
      <c r="Q130" s="15"/>
      <c r="R130" s="15"/>
      <c r="S130" s="15"/>
      <c r="T130" s="15"/>
      <c r="U130" s="15"/>
      <c r="V130" s="15"/>
      <c r="W130" s="15"/>
      <c r="X130" s="15"/>
      <c r="Y130" s="15"/>
      <c r="Z130" s="15"/>
    </row>
    <row r="131" spans="1:26" x14ac:dyDescent="0.3">
      <c r="A131" s="36">
        <v>1.2</v>
      </c>
      <c r="B131" s="26" t="s">
        <v>289</v>
      </c>
      <c r="C131" s="35" t="s">
        <v>290</v>
      </c>
      <c r="D131" s="17"/>
      <c r="E131" s="17"/>
      <c r="F131" s="17"/>
      <c r="G131" s="17"/>
      <c r="H131" s="17"/>
      <c r="I131" s="17"/>
      <c r="J131" s="17"/>
      <c r="K131" s="17"/>
      <c r="L131" s="15"/>
      <c r="M131" s="15"/>
      <c r="N131" s="15"/>
      <c r="O131" s="15"/>
      <c r="P131" s="15"/>
      <c r="Q131" s="15"/>
      <c r="R131" s="15"/>
      <c r="S131" s="15"/>
      <c r="T131" s="15"/>
      <c r="U131" s="15"/>
      <c r="V131" s="15"/>
      <c r="W131" s="15"/>
      <c r="X131" s="15"/>
      <c r="Y131" s="15"/>
      <c r="Z131" s="15"/>
    </row>
    <row r="132" spans="1:26" x14ac:dyDescent="0.3">
      <c r="A132" s="26" t="s">
        <v>291</v>
      </c>
      <c r="B132" s="26" t="s">
        <v>292</v>
      </c>
      <c r="C132" s="17" t="s">
        <v>293</v>
      </c>
      <c r="D132" s="26" t="s">
        <v>294</v>
      </c>
      <c r="E132" s="26"/>
      <c r="F132" s="24">
        <v>200</v>
      </c>
      <c r="G132" s="24"/>
      <c r="H132" s="24"/>
      <c r="I132" s="24"/>
      <c r="J132" s="24"/>
      <c r="K132" s="24"/>
      <c r="L132" s="15"/>
      <c r="M132" s="15"/>
      <c r="N132" s="15"/>
      <c r="O132" s="15"/>
      <c r="P132" s="15"/>
      <c r="Q132" s="15"/>
      <c r="R132" s="15"/>
      <c r="S132" s="15"/>
      <c r="T132" s="15"/>
      <c r="U132" s="15"/>
      <c r="V132" s="15"/>
      <c r="W132" s="15"/>
      <c r="X132" s="15"/>
      <c r="Y132" s="15"/>
      <c r="Z132" s="15"/>
    </row>
    <row r="133" spans="1:26" x14ac:dyDescent="0.3">
      <c r="A133" s="26" t="s">
        <v>295</v>
      </c>
      <c r="B133" s="26" t="s">
        <v>296</v>
      </c>
      <c r="C133" s="27" t="s">
        <v>297</v>
      </c>
      <c r="D133" s="26" t="s">
        <v>298</v>
      </c>
      <c r="E133" s="26"/>
      <c r="F133" s="24">
        <v>2</v>
      </c>
      <c r="G133" s="24"/>
      <c r="H133" s="24"/>
      <c r="I133" s="24"/>
      <c r="J133" s="24"/>
      <c r="K133" s="24"/>
      <c r="L133" s="15"/>
      <c r="M133" s="15"/>
      <c r="N133" s="15"/>
      <c r="O133" s="15"/>
      <c r="P133" s="15"/>
      <c r="Q133" s="15"/>
      <c r="R133" s="15"/>
      <c r="S133" s="15"/>
      <c r="T133" s="15"/>
      <c r="U133" s="15"/>
      <c r="V133" s="15"/>
      <c r="W133" s="15"/>
      <c r="X133" s="15"/>
      <c r="Y133" s="15"/>
      <c r="Z133" s="15"/>
    </row>
    <row r="134" spans="1:26" x14ac:dyDescent="0.3">
      <c r="A134" s="26" t="s">
        <v>299</v>
      </c>
      <c r="B134" s="26" t="s">
        <v>300</v>
      </c>
      <c r="C134" s="27" t="s">
        <v>301</v>
      </c>
      <c r="D134" s="26" t="s">
        <v>302</v>
      </c>
      <c r="E134" s="26"/>
      <c r="F134" s="24">
        <v>20</v>
      </c>
      <c r="G134" s="24"/>
      <c r="H134" s="24"/>
      <c r="I134" s="24"/>
      <c r="J134" s="24"/>
      <c r="K134" s="24"/>
      <c r="L134" s="15"/>
      <c r="M134" s="15"/>
      <c r="N134" s="15"/>
      <c r="O134" s="15"/>
      <c r="P134" s="15"/>
      <c r="Q134" s="15"/>
      <c r="R134" s="15"/>
      <c r="S134" s="15"/>
      <c r="T134" s="15"/>
      <c r="U134" s="15"/>
      <c r="V134" s="15"/>
      <c r="W134" s="15"/>
      <c r="X134" s="15"/>
      <c r="Y134" s="15"/>
      <c r="Z134" s="15"/>
    </row>
    <row r="135" spans="1:26" x14ac:dyDescent="0.3">
      <c r="A135" s="26" t="s">
        <v>303</v>
      </c>
      <c r="B135" s="26" t="s">
        <v>304</v>
      </c>
      <c r="C135" s="27" t="s">
        <v>305</v>
      </c>
      <c r="D135" s="26" t="s">
        <v>306</v>
      </c>
      <c r="E135" s="26"/>
      <c r="F135" s="24">
        <v>2</v>
      </c>
      <c r="G135" s="24"/>
      <c r="H135" s="24"/>
      <c r="I135" s="24"/>
      <c r="J135" s="24"/>
      <c r="K135" s="24"/>
      <c r="L135" s="15"/>
      <c r="M135" s="15"/>
      <c r="N135" s="15"/>
      <c r="O135" s="15"/>
      <c r="P135" s="15"/>
      <c r="Q135" s="15"/>
      <c r="R135" s="15"/>
      <c r="S135" s="15"/>
      <c r="T135" s="15"/>
      <c r="U135" s="15"/>
      <c r="V135" s="15"/>
      <c r="W135" s="15"/>
      <c r="X135" s="15"/>
      <c r="Y135" s="15"/>
      <c r="Z135" s="15"/>
    </row>
    <row r="136" spans="1:26" x14ac:dyDescent="0.3">
      <c r="A136" s="26" t="s">
        <v>307</v>
      </c>
      <c r="B136" s="26" t="s">
        <v>308</v>
      </c>
      <c r="C136" s="27" t="s">
        <v>309</v>
      </c>
      <c r="D136" s="26" t="s">
        <v>310</v>
      </c>
      <c r="E136" s="26"/>
      <c r="F136" s="24">
        <v>4</v>
      </c>
      <c r="G136" s="24"/>
      <c r="H136" s="24"/>
      <c r="I136" s="24"/>
      <c r="J136" s="24"/>
      <c r="K136" s="24"/>
      <c r="L136" s="15"/>
      <c r="M136" s="15"/>
      <c r="N136" s="15"/>
      <c r="O136" s="15"/>
      <c r="P136" s="15"/>
      <c r="Q136" s="15"/>
      <c r="R136" s="15"/>
      <c r="S136" s="15"/>
      <c r="T136" s="15"/>
      <c r="U136" s="15"/>
      <c r="V136" s="15"/>
      <c r="W136" s="15"/>
      <c r="X136" s="15"/>
      <c r="Y136" s="15"/>
      <c r="Z136" s="15"/>
    </row>
    <row r="137" spans="1:26" x14ac:dyDescent="0.3">
      <c r="A137" s="26" t="s">
        <v>311</v>
      </c>
      <c r="B137" s="26" t="s">
        <v>312</v>
      </c>
      <c r="C137" s="27" t="s">
        <v>313</v>
      </c>
      <c r="D137" s="26" t="s">
        <v>314</v>
      </c>
      <c r="E137" s="26"/>
      <c r="F137" s="24">
        <v>120</v>
      </c>
      <c r="G137" s="24"/>
      <c r="H137" s="24"/>
      <c r="I137" s="24"/>
      <c r="J137" s="24"/>
      <c r="K137" s="24"/>
      <c r="L137" s="15"/>
      <c r="M137" s="15"/>
      <c r="N137" s="15"/>
      <c r="O137" s="15"/>
      <c r="P137" s="15"/>
      <c r="Q137" s="15"/>
      <c r="R137" s="15"/>
      <c r="S137" s="15"/>
      <c r="T137" s="15"/>
      <c r="U137" s="15"/>
      <c r="V137" s="15"/>
      <c r="W137" s="15"/>
      <c r="X137" s="15"/>
      <c r="Y137" s="15"/>
      <c r="Z137" s="15"/>
    </row>
    <row r="138" spans="1:26" x14ac:dyDescent="0.3">
      <c r="A138" s="26" t="s">
        <v>315</v>
      </c>
      <c r="B138" s="26" t="s">
        <v>316</v>
      </c>
      <c r="C138" s="27" t="s">
        <v>317</v>
      </c>
      <c r="D138" s="26" t="s">
        <v>318</v>
      </c>
      <c r="E138" s="26"/>
      <c r="F138" s="24">
        <v>5</v>
      </c>
      <c r="G138" s="24"/>
      <c r="H138" s="24"/>
      <c r="I138" s="24"/>
      <c r="J138" s="24"/>
      <c r="K138" s="24"/>
      <c r="L138" s="15"/>
      <c r="M138" s="15"/>
      <c r="N138" s="15"/>
      <c r="O138" s="15"/>
      <c r="P138" s="15"/>
      <c r="Q138" s="15"/>
      <c r="R138" s="15"/>
      <c r="S138" s="15"/>
      <c r="T138" s="15"/>
      <c r="U138" s="15"/>
      <c r="V138" s="15"/>
      <c r="W138" s="15"/>
      <c r="X138" s="15"/>
      <c r="Y138" s="15"/>
      <c r="Z138" s="15"/>
    </row>
    <row r="139" spans="1:26" x14ac:dyDescent="0.3">
      <c r="A139" s="26" t="s">
        <v>319</v>
      </c>
      <c r="B139" s="26" t="s">
        <v>320</v>
      </c>
      <c r="C139" s="27" t="s">
        <v>321</v>
      </c>
      <c r="D139" s="26" t="s">
        <v>322</v>
      </c>
      <c r="E139" s="26"/>
      <c r="F139" s="24">
        <v>10</v>
      </c>
      <c r="G139" s="24"/>
      <c r="H139" s="24"/>
      <c r="I139" s="24"/>
      <c r="J139" s="24"/>
      <c r="K139" s="24"/>
      <c r="L139" s="15"/>
      <c r="M139" s="15"/>
      <c r="N139" s="15"/>
      <c r="O139" s="15"/>
      <c r="P139" s="15"/>
      <c r="Q139" s="15"/>
      <c r="R139" s="15"/>
      <c r="S139" s="15"/>
      <c r="T139" s="15"/>
      <c r="U139" s="15"/>
      <c r="V139" s="15"/>
      <c r="W139" s="15"/>
      <c r="X139" s="15"/>
      <c r="Y139" s="15"/>
      <c r="Z139" s="15"/>
    </row>
    <row r="140" spans="1:26" x14ac:dyDescent="0.3">
      <c r="A140" s="17"/>
      <c r="B140" s="17"/>
      <c r="C140" s="17"/>
      <c r="D140" s="17"/>
      <c r="E140" s="17"/>
      <c r="F140" s="17"/>
      <c r="G140" s="17"/>
      <c r="H140" s="17"/>
      <c r="I140" s="17"/>
      <c r="J140" s="17"/>
      <c r="K140" s="17"/>
      <c r="L140" s="15"/>
      <c r="M140" s="15"/>
      <c r="N140" s="15"/>
      <c r="O140" s="15"/>
      <c r="P140" s="15"/>
      <c r="Q140" s="15"/>
      <c r="R140" s="15"/>
      <c r="S140" s="15"/>
      <c r="T140" s="15"/>
      <c r="U140" s="15"/>
      <c r="V140" s="15"/>
      <c r="W140" s="15"/>
      <c r="X140" s="15"/>
      <c r="Y140" s="15"/>
      <c r="Z140" s="15"/>
    </row>
    <row r="141" spans="1:26" x14ac:dyDescent="0.3">
      <c r="A141" s="36">
        <v>1.3</v>
      </c>
      <c r="B141" s="17"/>
      <c r="C141" s="35" t="s">
        <v>323</v>
      </c>
      <c r="D141" s="17"/>
      <c r="E141" s="17"/>
      <c r="F141" s="17"/>
      <c r="G141" s="17"/>
      <c r="H141" s="17"/>
      <c r="I141" s="17"/>
      <c r="J141" s="17"/>
      <c r="K141" s="17"/>
      <c r="L141" s="15"/>
      <c r="M141" s="15"/>
      <c r="N141" s="15"/>
      <c r="O141" s="15"/>
      <c r="P141" s="15"/>
      <c r="Q141" s="15"/>
      <c r="R141" s="15"/>
      <c r="S141" s="15"/>
      <c r="T141" s="15"/>
      <c r="U141" s="15"/>
      <c r="V141" s="15"/>
      <c r="W141" s="15"/>
      <c r="X141" s="15"/>
      <c r="Y141" s="15"/>
      <c r="Z141" s="15"/>
    </row>
    <row r="142" spans="1:26" x14ac:dyDescent="0.3">
      <c r="A142" s="17"/>
      <c r="B142" s="17"/>
      <c r="C142" s="17" t="s">
        <v>324</v>
      </c>
      <c r="D142" s="17"/>
      <c r="E142" s="17"/>
      <c r="F142" s="17"/>
      <c r="G142" s="17"/>
      <c r="H142" s="17"/>
      <c r="I142" s="17"/>
      <c r="J142" s="17"/>
      <c r="K142" s="17"/>
      <c r="L142" s="15"/>
      <c r="M142" s="15"/>
      <c r="N142" s="15"/>
      <c r="O142" s="15"/>
      <c r="P142" s="15"/>
      <c r="Q142" s="15"/>
      <c r="R142" s="15"/>
      <c r="S142" s="15"/>
      <c r="T142" s="15"/>
      <c r="U142" s="15"/>
      <c r="V142" s="15"/>
      <c r="W142" s="15"/>
      <c r="X142" s="15"/>
      <c r="Y142" s="15"/>
      <c r="Z142" s="15"/>
    </row>
    <row r="143" spans="1:26" x14ac:dyDescent="0.3">
      <c r="A143" s="26" t="s">
        <v>325</v>
      </c>
      <c r="B143" s="26" t="s">
        <v>326</v>
      </c>
      <c r="C143" s="27" t="s">
        <v>327</v>
      </c>
      <c r="D143" s="26" t="s">
        <v>328</v>
      </c>
      <c r="E143" s="26"/>
      <c r="F143" s="24">
        <v>24</v>
      </c>
      <c r="G143" s="24"/>
      <c r="H143" s="24"/>
      <c r="I143" s="24"/>
      <c r="J143" s="24"/>
      <c r="K143" s="24"/>
      <c r="L143" s="15"/>
      <c r="M143" s="15"/>
      <c r="N143" s="15"/>
      <c r="O143" s="15"/>
      <c r="P143" s="15"/>
      <c r="Q143" s="15"/>
      <c r="R143" s="15"/>
      <c r="S143" s="15"/>
      <c r="T143" s="15"/>
      <c r="U143" s="15"/>
      <c r="V143" s="15"/>
      <c r="W143" s="15"/>
      <c r="X143" s="15"/>
      <c r="Y143" s="15"/>
      <c r="Z143" s="15"/>
    </row>
    <row r="144" spans="1:26" x14ac:dyDescent="0.3">
      <c r="A144" s="26" t="s">
        <v>329</v>
      </c>
      <c r="B144" s="26" t="s">
        <v>330</v>
      </c>
      <c r="C144" s="27" t="s">
        <v>331</v>
      </c>
      <c r="D144" s="26" t="s">
        <v>332</v>
      </c>
      <c r="E144" s="26"/>
      <c r="F144" s="24">
        <v>16</v>
      </c>
      <c r="G144" s="24"/>
      <c r="H144" s="24"/>
      <c r="I144" s="24"/>
      <c r="J144" s="24"/>
      <c r="K144" s="24"/>
      <c r="L144" s="15"/>
      <c r="M144" s="15"/>
      <c r="N144" s="15"/>
      <c r="O144" s="15"/>
      <c r="P144" s="15"/>
      <c r="Q144" s="15"/>
      <c r="R144" s="15"/>
      <c r="S144" s="15"/>
      <c r="T144" s="15"/>
      <c r="U144" s="15"/>
      <c r="V144" s="15"/>
      <c r="W144" s="15"/>
      <c r="X144" s="15"/>
      <c r="Y144" s="15"/>
      <c r="Z144" s="15"/>
    </row>
    <row r="145" spans="1:26" x14ac:dyDescent="0.3">
      <c r="A145" s="26" t="s">
        <v>333</v>
      </c>
      <c r="B145" s="26" t="s">
        <v>334</v>
      </c>
      <c r="C145" s="27" t="s">
        <v>335</v>
      </c>
      <c r="D145" s="26" t="s">
        <v>336</v>
      </c>
      <c r="E145" s="26"/>
      <c r="F145" s="24">
        <v>2</v>
      </c>
      <c r="G145" s="24"/>
      <c r="H145" s="24"/>
      <c r="I145" s="24"/>
      <c r="J145" s="24"/>
      <c r="K145" s="24"/>
      <c r="L145" s="15"/>
      <c r="M145" s="15"/>
      <c r="N145" s="15"/>
      <c r="O145" s="15"/>
      <c r="P145" s="15"/>
      <c r="Q145" s="15"/>
      <c r="R145" s="15"/>
      <c r="S145" s="15"/>
      <c r="T145" s="15"/>
      <c r="U145" s="15"/>
      <c r="V145" s="15"/>
      <c r="W145" s="15"/>
      <c r="X145" s="15"/>
      <c r="Y145" s="15"/>
      <c r="Z145" s="15"/>
    </row>
    <row r="146" spans="1:26" x14ac:dyDescent="0.3">
      <c r="A146" s="26" t="s">
        <v>337</v>
      </c>
      <c r="B146" s="26" t="s">
        <v>338</v>
      </c>
      <c r="C146" s="27" t="s">
        <v>339</v>
      </c>
      <c r="D146" s="26" t="s">
        <v>340</v>
      </c>
      <c r="E146" s="26"/>
      <c r="F146" s="24">
        <v>2</v>
      </c>
      <c r="G146" s="24"/>
      <c r="H146" s="24"/>
      <c r="I146" s="24"/>
      <c r="J146" s="24"/>
      <c r="K146" s="24"/>
      <c r="L146" s="15"/>
      <c r="M146" s="15"/>
      <c r="N146" s="15"/>
      <c r="O146" s="15"/>
      <c r="P146" s="15"/>
      <c r="Q146" s="15"/>
      <c r="R146" s="15"/>
      <c r="S146" s="15"/>
      <c r="T146" s="15"/>
      <c r="U146" s="15"/>
      <c r="V146" s="15"/>
      <c r="W146" s="15"/>
      <c r="X146" s="15"/>
      <c r="Y146" s="15"/>
      <c r="Z146" s="15"/>
    </row>
    <row r="147" spans="1:26" x14ac:dyDescent="0.3">
      <c r="A147" s="17"/>
      <c r="B147" s="17"/>
      <c r="C147" s="17"/>
      <c r="D147" s="17"/>
      <c r="E147" s="17"/>
      <c r="F147" s="17"/>
      <c r="G147" s="17"/>
      <c r="H147" s="17"/>
      <c r="I147" s="17"/>
      <c r="J147" s="17"/>
      <c r="K147" s="17"/>
      <c r="L147" s="15"/>
      <c r="M147" s="15"/>
      <c r="N147" s="15"/>
      <c r="O147" s="15"/>
      <c r="P147" s="15"/>
      <c r="Q147" s="15"/>
      <c r="R147" s="15"/>
      <c r="S147" s="15"/>
      <c r="T147" s="15"/>
      <c r="U147" s="15"/>
      <c r="V147" s="15"/>
      <c r="W147" s="15"/>
      <c r="X147" s="15"/>
      <c r="Y147" s="15"/>
      <c r="Z147" s="15"/>
    </row>
    <row r="148" spans="1:26" x14ac:dyDescent="0.3">
      <c r="A148" s="17"/>
      <c r="B148" s="17"/>
      <c r="C148" s="27" t="s">
        <v>341</v>
      </c>
      <c r="D148" s="17"/>
      <c r="E148" s="17"/>
      <c r="F148" s="17"/>
      <c r="G148" s="17"/>
      <c r="H148" s="17"/>
      <c r="I148" s="17"/>
      <c r="J148" s="17"/>
      <c r="K148" s="17"/>
      <c r="L148" s="15"/>
      <c r="M148" s="15"/>
      <c r="N148" s="15"/>
      <c r="O148" s="15"/>
      <c r="P148" s="15"/>
      <c r="Q148" s="15"/>
      <c r="R148" s="15"/>
      <c r="S148" s="15"/>
      <c r="T148" s="15"/>
      <c r="U148" s="15"/>
      <c r="V148" s="15"/>
      <c r="W148" s="15"/>
      <c r="X148" s="15"/>
      <c r="Y148" s="15"/>
      <c r="Z148" s="15"/>
    </row>
    <row r="149" spans="1:26" x14ac:dyDescent="0.3">
      <c r="A149" s="17"/>
      <c r="B149" s="17"/>
      <c r="C149" s="17" t="s">
        <v>342</v>
      </c>
      <c r="D149" s="17"/>
      <c r="E149" s="17"/>
      <c r="F149" s="17"/>
      <c r="G149" s="17"/>
      <c r="H149" s="17"/>
      <c r="I149" s="17"/>
      <c r="J149" s="17"/>
      <c r="K149" s="17"/>
      <c r="L149" s="15"/>
      <c r="M149" s="15"/>
      <c r="N149" s="15"/>
      <c r="O149" s="15"/>
      <c r="P149" s="15"/>
      <c r="Q149" s="15"/>
      <c r="R149" s="15"/>
      <c r="S149" s="15"/>
      <c r="T149" s="15"/>
      <c r="U149" s="15"/>
      <c r="V149" s="15"/>
      <c r="W149" s="15"/>
      <c r="X149" s="15"/>
      <c r="Y149" s="15"/>
      <c r="Z149" s="15"/>
    </row>
    <row r="150" spans="1:26" x14ac:dyDescent="0.3">
      <c r="A150" s="17"/>
      <c r="B150" s="17"/>
      <c r="C150" s="17" t="s">
        <v>343</v>
      </c>
      <c r="D150" s="17"/>
      <c r="E150" s="17"/>
      <c r="F150" s="17"/>
      <c r="G150" s="17"/>
      <c r="H150" s="17"/>
      <c r="I150" s="17"/>
      <c r="J150" s="17"/>
      <c r="K150" s="17"/>
      <c r="L150" s="15"/>
      <c r="M150" s="15"/>
      <c r="N150" s="15"/>
      <c r="O150" s="15"/>
      <c r="P150" s="15"/>
      <c r="Q150" s="15"/>
      <c r="R150" s="15"/>
      <c r="S150" s="15"/>
      <c r="T150" s="15"/>
      <c r="U150" s="15"/>
      <c r="V150" s="15"/>
      <c r="W150" s="15"/>
      <c r="X150" s="15"/>
      <c r="Y150" s="15"/>
      <c r="Z150" s="15"/>
    </row>
    <row r="151" spans="1:26" x14ac:dyDescent="0.3">
      <c r="A151" s="17"/>
      <c r="B151" s="17"/>
      <c r="C151" s="17"/>
      <c r="D151" s="17"/>
      <c r="E151" s="17"/>
      <c r="F151" s="17"/>
      <c r="G151" s="17"/>
      <c r="H151" s="17"/>
      <c r="I151" s="17"/>
      <c r="J151" s="17"/>
      <c r="K151" s="17"/>
      <c r="L151" s="15"/>
      <c r="M151" s="15"/>
      <c r="N151" s="15"/>
      <c r="O151" s="15"/>
      <c r="P151" s="15"/>
      <c r="Q151" s="15"/>
      <c r="R151" s="15"/>
      <c r="S151" s="15"/>
      <c r="T151" s="15"/>
      <c r="U151" s="15"/>
      <c r="V151" s="15"/>
      <c r="W151" s="15"/>
      <c r="X151" s="15"/>
      <c r="Y151" s="15"/>
      <c r="Z151" s="15"/>
    </row>
    <row r="152" spans="1:26" x14ac:dyDescent="0.3">
      <c r="A152" s="24">
        <v>2</v>
      </c>
      <c r="B152" s="17"/>
      <c r="C152" s="35" t="s">
        <v>344</v>
      </c>
      <c r="D152" s="17"/>
      <c r="E152" s="17"/>
      <c r="F152" s="17"/>
      <c r="G152" s="17"/>
      <c r="H152" s="17"/>
      <c r="I152" s="17"/>
      <c r="J152" s="17"/>
      <c r="K152" s="17"/>
      <c r="L152" s="15"/>
      <c r="M152" s="15"/>
      <c r="N152" s="15"/>
      <c r="O152" s="15"/>
      <c r="P152" s="15"/>
      <c r="Q152" s="15"/>
      <c r="R152" s="15"/>
      <c r="S152" s="15"/>
      <c r="T152" s="15"/>
      <c r="U152" s="15"/>
      <c r="V152" s="15"/>
      <c r="W152" s="15"/>
      <c r="X152" s="15"/>
      <c r="Y152" s="15"/>
      <c r="Z152" s="15"/>
    </row>
    <row r="153" spans="1:26" x14ac:dyDescent="0.3">
      <c r="A153" s="17"/>
      <c r="B153" s="17"/>
      <c r="C153" s="17"/>
      <c r="D153" s="17"/>
      <c r="E153" s="17"/>
      <c r="F153" s="17"/>
      <c r="G153" s="17"/>
      <c r="H153" s="17"/>
      <c r="I153" s="17"/>
      <c r="J153" s="17"/>
      <c r="K153" s="17"/>
      <c r="L153" s="15"/>
      <c r="M153" s="15"/>
      <c r="N153" s="15"/>
      <c r="O153" s="15"/>
      <c r="P153" s="15"/>
      <c r="Q153" s="15"/>
      <c r="R153" s="15"/>
      <c r="S153" s="15"/>
      <c r="T153" s="15"/>
      <c r="U153" s="15"/>
      <c r="V153" s="15"/>
      <c r="W153" s="15"/>
      <c r="X153" s="15"/>
      <c r="Y153" s="15"/>
      <c r="Z153" s="15"/>
    </row>
    <row r="154" spans="1:26" x14ac:dyDescent="0.3">
      <c r="A154" s="17"/>
      <c r="B154" s="17"/>
      <c r="C154" s="27" t="s">
        <v>345</v>
      </c>
      <c r="D154" s="17"/>
      <c r="E154" s="17"/>
      <c r="F154" s="17"/>
      <c r="G154" s="17"/>
      <c r="H154" s="17"/>
      <c r="I154" s="17"/>
      <c r="J154" s="17"/>
      <c r="K154" s="17"/>
      <c r="L154" s="15"/>
      <c r="M154" s="15"/>
      <c r="N154" s="15"/>
      <c r="O154" s="15"/>
      <c r="P154" s="15"/>
      <c r="Q154" s="15"/>
      <c r="R154" s="15"/>
      <c r="S154" s="15"/>
      <c r="T154" s="15"/>
      <c r="U154" s="15"/>
      <c r="V154" s="15"/>
      <c r="W154" s="15"/>
      <c r="X154" s="15"/>
      <c r="Y154" s="15"/>
      <c r="Z154" s="15"/>
    </row>
    <row r="155" spans="1:26" x14ac:dyDescent="0.3">
      <c r="A155" s="17"/>
      <c r="B155" s="17"/>
      <c r="C155" s="17"/>
      <c r="D155" s="17"/>
      <c r="E155" s="17"/>
      <c r="F155" s="17"/>
      <c r="G155" s="17"/>
      <c r="H155" s="17"/>
      <c r="I155" s="17"/>
      <c r="J155" s="17"/>
      <c r="K155" s="17"/>
      <c r="L155" s="15"/>
      <c r="M155" s="15"/>
      <c r="N155" s="15"/>
      <c r="O155" s="15"/>
      <c r="P155" s="15"/>
      <c r="Q155" s="15"/>
      <c r="R155" s="15"/>
      <c r="S155" s="15"/>
      <c r="T155" s="15"/>
      <c r="U155" s="15"/>
      <c r="V155" s="15"/>
      <c r="W155" s="15"/>
      <c r="X155" s="15"/>
      <c r="Y155" s="15"/>
      <c r="Z155" s="15"/>
    </row>
    <row r="156" spans="1:26" x14ac:dyDescent="0.3">
      <c r="A156" s="25">
        <v>2.1</v>
      </c>
      <c r="B156" s="26" t="s">
        <v>346</v>
      </c>
      <c r="C156" s="17" t="s">
        <v>347</v>
      </c>
      <c r="D156" s="26" t="s">
        <v>348</v>
      </c>
      <c r="E156" s="26"/>
      <c r="F156" s="24">
        <v>48</v>
      </c>
      <c r="G156" s="24"/>
      <c r="H156" s="24"/>
      <c r="I156" s="24"/>
      <c r="J156" s="24"/>
      <c r="K156" s="24"/>
      <c r="L156" s="15"/>
      <c r="M156" s="15"/>
      <c r="N156" s="15"/>
      <c r="O156" s="15"/>
      <c r="P156" s="15"/>
      <c r="Q156" s="15"/>
      <c r="R156" s="15"/>
      <c r="S156" s="15"/>
      <c r="T156" s="15"/>
      <c r="U156" s="15"/>
      <c r="V156" s="15"/>
      <c r="W156" s="15"/>
      <c r="X156" s="15"/>
      <c r="Y156" s="15"/>
      <c r="Z156" s="15"/>
    </row>
    <row r="157" spans="1:26" x14ac:dyDescent="0.3">
      <c r="A157" s="25">
        <v>2.2000000000000002</v>
      </c>
      <c r="B157" s="26" t="s">
        <v>349</v>
      </c>
      <c r="C157" s="27" t="s">
        <v>350</v>
      </c>
      <c r="D157" s="26" t="s">
        <v>351</v>
      </c>
      <c r="E157" s="26"/>
      <c r="F157" s="24">
        <v>32</v>
      </c>
      <c r="G157" s="24"/>
      <c r="H157" s="24"/>
      <c r="I157" s="24"/>
      <c r="J157" s="24"/>
      <c r="K157" s="24"/>
      <c r="L157" s="15"/>
      <c r="M157" s="15"/>
      <c r="N157" s="15"/>
      <c r="O157" s="15"/>
      <c r="P157" s="15"/>
      <c r="Q157" s="15"/>
      <c r="R157" s="15"/>
      <c r="S157" s="15"/>
      <c r="T157" s="15"/>
      <c r="U157" s="15"/>
      <c r="V157" s="15"/>
      <c r="W157" s="15"/>
      <c r="X157" s="15"/>
      <c r="Y157" s="15"/>
      <c r="Z157" s="15"/>
    </row>
    <row r="158" spans="1:26" x14ac:dyDescent="0.3">
      <c r="A158" s="25">
        <v>2.2999999999999998</v>
      </c>
      <c r="B158" s="26" t="s">
        <v>352</v>
      </c>
      <c r="C158" s="27" t="s">
        <v>353</v>
      </c>
      <c r="D158" s="26" t="s">
        <v>354</v>
      </c>
      <c r="E158" s="26"/>
      <c r="F158" s="24">
        <v>16</v>
      </c>
      <c r="G158" s="24"/>
      <c r="H158" s="24"/>
      <c r="I158" s="24"/>
      <c r="J158" s="24"/>
      <c r="K158" s="24"/>
      <c r="L158" s="15"/>
      <c r="M158" s="15"/>
      <c r="N158" s="15"/>
      <c r="O158" s="15"/>
      <c r="P158" s="15"/>
      <c r="Q158" s="15"/>
      <c r="R158" s="15"/>
      <c r="S158" s="15"/>
      <c r="T158" s="15"/>
      <c r="U158" s="15"/>
      <c r="V158" s="15"/>
      <c r="W158" s="15"/>
      <c r="X158" s="15"/>
      <c r="Y158" s="15"/>
      <c r="Z158" s="15"/>
    </row>
    <row r="159" spans="1:26" x14ac:dyDescent="0.3">
      <c r="A159" s="25">
        <v>2.4</v>
      </c>
      <c r="B159" s="26" t="s">
        <v>355</v>
      </c>
      <c r="C159" s="27" t="s">
        <v>356</v>
      </c>
      <c r="D159" s="26" t="s">
        <v>357</v>
      </c>
      <c r="E159" s="26"/>
      <c r="F159" s="24">
        <v>16</v>
      </c>
      <c r="G159" s="24"/>
      <c r="H159" s="24"/>
      <c r="I159" s="24"/>
      <c r="J159" s="24"/>
      <c r="K159" s="24"/>
      <c r="L159" s="15"/>
      <c r="M159" s="15"/>
      <c r="N159" s="15"/>
      <c r="O159" s="15"/>
      <c r="P159" s="15"/>
      <c r="Q159" s="15"/>
      <c r="R159" s="15"/>
      <c r="S159" s="15"/>
      <c r="T159" s="15"/>
      <c r="U159" s="15"/>
      <c r="V159" s="15"/>
      <c r="W159" s="15"/>
      <c r="X159" s="15"/>
      <c r="Y159" s="15"/>
      <c r="Z159" s="15"/>
    </row>
    <row r="160" spans="1:26" x14ac:dyDescent="0.3">
      <c r="A160" s="25">
        <v>2.5</v>
      </c>
      <c r="B160" s="26" t="s">
        <v>358</v>
      </c>
      <c r="C160" s="27" t="s">
        <v>359</v>
      </c>
      <c r="D160" s="26" t="s">
        <v>360</v>
      </c>
      <c r="E160" s="26"/>
      <c r="F160" s="24">
        <v>48</v>
      </c>
      <c r="G160" s="24"/>
      <c r="H160" s="24"/>
      <c r="I160" s="24"/>
      <c r="J160" s="24"/>
      <c r="K160" s="24"/>
      <c r="L160" s="15"/>
      <c r="M160" s="15"/>
      <c r="N160" s="15"/>
      <c r="O160" s="15"/>
      <c r="P160" s="15"/>
      <c r="Q160" s="15"/>
      <c r="R160" s="15"/>
      <c r="S160" s="15"/>
      <c r="T160" s="15"/>
      <c r="U160" s="15"/>
      <c r="V160" s="15"/>
      <c r="W160" s="15"/>
      <c r="X160" s="15"/>
      <c r="Y160" s="15"/>
      <c r="Z160" s="15"/>
    </row>
    <row r="161" spans="1:26" x14ac:dyDescent="0.3">
      <c r="A161" s="17"/>
      <c r="B161" s="17"/>
      <c r="C161" s="17"/>
      <c r="D161" s="17"/>
      <c r="E161" s="17"/>
      <c r="F161" s="17"/>
      <c r="G161" s="17"/>
      <c r="H161" s="17"/>
      <c r="I161" s="17"/>
      <c r="J161" s="17"/>
      <c r="K161" s="17"/>
      <c r="L161" s="15"/>
      <c r="M161" s="15"/>
      <c r="N161" s="15"/>
      <c r="O161" s="15"/>
      <c r="P161" s="15"/>
      <c r="Q161" s="15"/>
      <c r="R161" s="15"/>
      <c r="S161" s="15"/>
      <c r="T161" s="15"/>
      <c r="U161" s="15"/>
      <c r="V161" s="15"/>
      <c r="W161" s="15"/>
      <c r="X161" s="15"/>
      <c r="Y161" s="15"/>
      <c r="Z161" s="15"/>
    </row>
    <row r="162" spans="1:26" x14ac:dyDescent="0.3">
      <c r="A162" s="17"/>
      <c r="B162" s="17"/>
      <c r="C162" s="27" t="s">
        <v>361</v>
      </c>
      <c r="D162" s="17"/>
      <c r="E162" s="17"/>
      <c r="F162" s="17"/>
      <c r="G162" s="17"/>
      <c r="H162" s="17"/>
      <c r="I162" s="17"/>
      <c r="J162" s="17"/>
      <c r="K162" s="17"/>
      <c r="L162" s="15"/>
      <c r="M162" s="15"/>
      <c r="N162" s="15"/>
      <c r="O162" s="15"/>
      <c r="P162" s="15"/>
      <c r="Q162" s="15"/>
      <c r="R162" s="15"/>
      <c r="S162" s="15"/>
      <c r="T162" s="15"/>
      <c r="U162" s="15"/>
      <c r="V162" s="15"/>
      <c r="W162" s="15"/>
      <c r="X162" s="15"/>
      <c r="Y162" s="15"/>
      <c r="Z162" s="15"/>
    </row>
    <row r="163" spans="1:26" x14ac:dyDescent="0.3">
      <c r="A163" s="17"/>
      <c r="B163" s="17"/>
      <c r="C163" s="17"/>
      <c r="D163" s="17"/>
      <c r="E163" s="17"/>
      <c r="F163" s="17"/>
      <c r="G163" s="17"/>
      <c r="H163" s="17"/>
      <c r="I163" s="17"/>
      <c r="J163" s="17"/>
      <c r="K163" s="17"/>
      <c r="L163" s="15"/>
      <c r="M163" s="15"/>
      <c r="N163" s="15"/>
      <c r="O163" s="15"/>
      <c r="P163" s="15"/>
      <c r="Q163" s="15"/>
      <c r="R163" s="15"/>
      <c r="S163" s="15"/>
      <c r="T163" s="15"/>
      <c r="U163" s="15"/>
      <c r="V163" s="15"/>
      <c r="W163" s="15"/>
      <c r="X163" s="15"/>
      <c r="Y163" s="15"/>
      <c r="Z163" s="15"/>
    </row>
    <row r="164" spans="1:26" x14ac:dyDescent="0.3">
      <c r="A164" s="25">
        <v>2.6</v>
      </c>
      <c r="B164" s="26" t="s">
        <v>362</v>
      </c>
      <c r="C164" s="17" t="s">
        <v>363</v>
      </c>
      <c r="D164" s="26" t="s">
        <v>364</v>
      </c>
      <c r="E164" s="26"/>
      <c r="F164" s="24">
        <v>42</v>
      </c>
      <c r="G164" s="24"/>
      <c r="H164" s="24"/>
      <c r="I164" s="24"/>
      <c r="J164" s="24"/>
      <c r="K164" s="24"/>
      <c r="L164" s="15"/>
      <c r="M164" s="15"/>
      <c r="N164" s="15"/>
      <c r="O164" s="15"/>
      <c r="P164" s="15"/>
      <c r="Q164" s="15"/>
      <c r="R164" s="15"/>
      <c r="S164" s="15"/>
      <c r="T164" s="15"/>
      <c r="U164" s="15"/>
      <c r="V164" s="15"/>
      <c r="W164" s="15"/>
      <c r="X164" s="15"/>
      <c r="Y164" s="15"/>
      <c r="Z164" s="15"/>
    </row>
    <row r="165" spans="1:26" x14ac:dyDescent="0.3">
      <c r="A165" s="25">
        <v>2.7</v>
      </c>
      <c r="B165" s="26" t="s">
        <v>365</v>
      </c>
      <c r="C165" s="27" t="s">
        <v>366</v>
      </c>
      <c r="D165" s="26" t="s">
        <v>367</v>
      </c>
      <c r="E165" s="26"/>
      <c r="F165" s="24">
        <v>28</v>
      </c>
      <c r="G165" s="24"/>
      <c r="H165" s="24"/>
      <c r="I165" s="24"/>
      <c r="J165" s="24"/>
      <c r="K165" s="24"/>
      <c r="L165" s="15"/>
      <c r="M165" s="15"/>
      <c r="N165" s="15"/>
      <c r="O165" s="15"/>
      <c r="P165" s="15"/>
      <c r="Q165" s="15"/>
      <c r="R165" s="15"/>
      <c r="S165" s="15"/>
      <c r="T165" s="15"/>
      <c r="U165" s="15"/>
      <c r="V165" s="15"/>
      <c r="W165" s="15"/>
      <c r="X165" s="15"/>
      <c r="Y165" s="15"/>
      <c r="Z165" s="15"/>
    </row>
    <row r="166" spans="1:26" x14ac:dyDescent="0.3">
      <c r="A166" s="25">
        <v>2.8</v>
      </c>
      <c r="B166" s="26" t="s">
        <v>368</v>
      </c>
      <c r="C166" s="27" t="s">
        <v>369</v>
      </c>
      <c r="D166" s="26" t="s">
        <v>370</v>
      </c>
      <c r="E166" s="26"/>
      <c r="F166" s="24">
        <v>4</v>
      </c>
      <c r="G166" s="24"/>
      <c r="H166" s="24"/>
      <c r="I166" s="24"/>
      <c r="J166" s="24"/>
      <c r="K166" s="24"/>
      <c r="L166" s="15"/>
      <c r="M166" s="15"/>
      <c r="N166" s="15"/>
      <c r="O166" s="15"/>
      <c r="P166" s="15"/>
      <c r="Q166" s="15"/>
      <c r="R166" s="15"/>
      <c r="S166" s="15"/>
      <c r="T166" s="15"/>
      <c r="U166" s="15"/>
      <c r="V166" s="15"/>
      <c r="W166" s="15"/>
      <c r="X166" s="15"/>
      <c r="Y166" s="15"/>
      <c r="Z166" s="15"/>
    </row>
    <row r="167" spans="1:26" x14ac:dyDescent="0.3">
      <c r="A167" s="25">
        <v>2.9</v>
      </c>
      <c r="B167" s="26" t="s">
        <v>371</v>
      </c>
      <c r="C167" s="27" t="s">
        <v>372</v>
      </c>
      <c r="D167" s="26" t="s">
        <v>373</v>
      </c>
      <c r="E167" s="26"/>
      <c r="F167" s="24">
        <v>4</v>
      </c>
      <c r="G167" s="24"/>
      <c r="H167" s="24"/>
      <c r="I167" s="24"/>
      <c r="J167" s="24"/>
      <c r="K167" s="24"/>
      <c r="L167" s="15"/>
      <c r="M167" s="15"/>
      <c r="N167" s="15"/>
      <c r="O167" s="15"/>
      <c r="P167" s="15"/>
      <c r="Q167" s="15"/>
      <c r="R167" s="15"/>
      <c r="S167" s="15"/>
      <c r="T167" s="15"/>
      <c r="U167" s="15"/>
      <c r="V167" s="15"/>
      <c r="W167" s="15"/>
      <c r="X167" s="15"/>
      <c r="Y167" s="15"/>
      <c r="Z167" s="15"/>
    </row>
    <row r="168" spans="1:26" x14ac:dyDescent="0.3">
      <c r="A168" s="29">
        <v>2.1</v>
      </c>
      <c r="B168" s="26" t="s">
        <v>374</v>
      </c>
      <c r="C168" s="27" t="s">
        <v>375</v>
      </c>
      <c r="D168" s="26" t="s">
        <v>376</v>
      </c>
      <c r="E168" s="26"/>
      <c r="F168" s="24">
        <v>32</v>
      </c>
      <c r="G168" s="24"/>
      <c r="H168" s="24"/>
      <c r="I168" s="24"/>
      <c r="J168" s="24"/>
      <c r="K168" s="24"/>
      <c r="L168" s="15"/>
      <c r="M168" s="15"/>
      <c r="N168" s="15"/>
      <c r="O168" s="15"/>
      <c r="P168" s="15"/>
      <c r="Q168" s="15"/>
      <c r="R168" s="15"/>
      <c r="S168" s="15"/>
      <c r="T168" s="15"/>
      <c r="U168" s="15"/>
      <c r="V168" s="15"/>
      <c r="W168" s="15"/>
      <c r="X168" s="15"/>
      <c r="Y168" s="15"/>
      <c r="Z168" s="15"/>
    </row>
    <row r="169" spans="1:26" x14ac:dyDescent="0.3">
      <c r="A169" s="17"/>
      <c r="B169" s="17"/>
      <c r="C169" s="27" t="s">
        <v>377</v>
      </c>
      <c r="D169" s="17"/>
      <c r="E169" s="17"/>
      <c r="F169" s="17"/>
      <c r="G169" s="17"/>
      <c r="H169" s="17"/>
      <c r="I169" s="17"/>
      <c r="J169" s="17"/>
      <c r="K169" s="17"/>
      <c r="L169" s="15"/>
      <c r="M169" s="15"/>
      <c r="N169" s="15"/>
      <c r="O169" s="15"/>
      <c r="P169" s="15"/>
      <c r="Q169" s="15"/>
      <c r="R169" s="15"/>
      <c r="S169" s="15"/>
      <c r="T169" s="15"/>
      <c r="U169" s="15"/>
      <c r="V169" s="15"/>
      <c r="W169" s="15"/>
      <c r="X169" s="15"/>
      <c r="Y169" s="15"/>
      <c r="Z169" s="15"/>
    </row>
    <row r="170" spans="1:26" x14ac:dyDescent="0.3">
      <c r="A170" s="17"/>
      <c r="B170" s="17"/>
      <c r="C170" s="17"/>
      <c r="D170" s="17"/>
      <c r="E170" s="17"/>
      <c r="F170" s="17"/>
      <c r="G170" s="17"/>
      <c r="H170" s="17"/>
      <c r="I170" s="17"/>
      <c r="J170" s="17"/>
      <c r="K170" s="17"/>
      <c r="L170" s="15"/>
      <c r="M170" s="15"/>
      <c r="N170" s="15"/>
      <c r="O170" s="15"/>
      <c r="P170" s="15"/>
      <c r="Q170" s="15"/>
      <c r="R170" s="15"/>
      <c r="S170" s="15"/>
      <c r="T170" s="15"/>
      <c r="U170" s="15"/>
      <c r="V170" s="15"/>
      <c r="W170" s="15"/>
      <c r="X170" s="15"/>
      <c r="Y170" s="15"/>
      <c r="Z170" s="15"/>
    </row>
    <row r="171" spans="1:26" x14ac:dyDescent="0.3">
      <c r="A171" s="22"/>
      <c r="B171" s="22"/>
      <c r="C171" s="21" t="s">
        <v>378</v>
      </c>
      <c r="D171" s="22"/>
      <c r="E171" s="22"/>
      <c r="F171" s="22"/>
      <c r="G171" s="22"/>
      <c r="H171" s="22"/>
      <c r="I171" s="22"/>
      <c r="J171" s="22"/>
      <c r="K171" s="22"/>
      <c r="L171" s="15"/>
      <c r="M171" s="15"/>
      <c r="N171" s="15"/>
      <c r="O171" s="15"/>
      <c r="P171" s="15"/>
      <c r="Q171" s="15"/>
      <c r="R171" s="15"/>
      <c r="S171" s="15"/>
      <c r="T171" s="15"/>
      <c r="U171" s="15"/>
      <c r="V171" s="15"/>
      <c r="W171" s="15"/>
      <c r="X171" s="15"/>
      <c r="Y171" s="15"/>
      <c r="Z171" s="15"/>
    </row>
    <row r="172" spans="1:26" x14ac:dyDescent="0.3">
      <c r="A172" s="17"/>
      <c r="B172" s="17"/>
      <c r="C172" s="17"/>
      <c r="D172" s="17"/>
      <c r="E172" s="17"/>
      <c r="F172" s="17"/>
      <c r="G172" s="17"/>
      <c r="H172" s="17"/>
      <c r="I172" s="17"/>
      <c r="J172" s="17"/>
      <c r="K172" s="17"/>
      <c r="L172" s="15"/>
      <c r="M172" s="15"/>
      <c r="N172" s="15"/>
      <c r="O172" s="15"/>
      <c r="P172" s="15"/>
      <c r="Q172" s="15"/>
      <c r="R172" s="15"/>
      <c r="S172" s="15"/>
      <c r="T172" s="15"/>
      <c r="U172" s="15"/>
      <c r="V172" s="15"/>
      <c r="W172" s="15"/>
      <c r="X172" s="15"/>
      <c r="Y172" s="15"/>
      <c r="Z172" s="15"/>
    </row>
    <row r="173" spans="1:26" x14ac:dyDescent="0.3">
      <c r="A173" s="20" t="s">
        <v>379</v>
      </c>
      <c r="B173" s="22"/>
      <c r="C173" s="21" t="s">
        <v>380</v>
      </c>
      <c r="D173" s="22"/>
      <c r="E173" s="22"/>
      <c r="F173" s="22"/>
      <c r="G173" s="22"/>
      <c r="H173" s="22"/>
      <c r="I173" s="22"/>
      <c r="J173" s="22"/>
      <c r="K173" s="22"/>
      <c r="L173" s="15"/>
      <c r="M173" s="15"/>
      <c r="N173" s="15"/>
      <c r="O173" s="15"/>
      <c r="P173" s="15"/>
      <c r="Q173" s="15"/>
      <c r="R173" s="15"/>
      <c r="S173" s="15"/>
      <c r="T173" s="15"/>
      <c r="U173" s="15"/>
      <c r="V173" s="15"/>
      <c r="W173" s="15"/>
      <c r="X173" s="15"/>
      <c r="Y173" s="15"/>
      <c r="Z173" s="15"/>
    </row>
    <row r="174" spans="1:26" x14ac:dyDescent="0.3">
      <c r="A174" s="17"/>
      <c r="B174" s="17"/>
      <c r="C174" s="17"/>
      <c r="D174" s="17"/>
      <c r="E174" s="17"/>
      <c r="F174" s="17"/>
      <c r="G174" s="17"/>
      <c r="H174" s="17"/>
      <c r="I174" s="17"/>
      <c r="J174" s="17"/>
      <c r="K174" s="17"/>
      <c r="L174" s="15"/>
      <c r="M174" s="15"/>
      <c r="N174" s="15"/>
      <c r="O174" s="15"/>
      <c r="P174" s="15"/>
      <c r="Q174" s="15"/>
      <c r="R174" s="15"/>
      <c r="S174" s="15"/>
      <c r="T174" s="15"/>
      <c r="U174" s="15"/>
      <c r="V174" s="15"/>
      <c r="W174" s="15"/>
      <c r="X174" s="15"/>
      <c r="Y174" s="15"/>
      <c r="Z174" s="15"/>
    </row>
    <row r="175" spans="1:26" x14ac:dyDescent="0.3">
      <c r="A175" s="17"/>
      <c r="B175" s="17"/>
      <c r="C175" s="27" t="s">
        <v>381</v>
      </c>
      <c r="D175" s="17"/>
      <c r="E175" s="17"/>
      <c r="F175" s="17"/>
      <c r="G175" s="17"/>
      <c r="H175" s="17"/>
      <c r="I175" s="17"/>
      <c r="J175" s="17"/>
      <c r="K175" s="17"/>
      <c r="L175" s="15"/>
      <c r="M175" s="15"/>
      <c r="N175" s="15"/>
      <c r="O175" s="15"/>
      <c r="P175" s="15"/>
      <c r="Q175" s="15"/>
      <c r="R175" s="15"/>
      <c r="S175" s="15"/>
      <c r="T175" s="15"/>
      <c r="U175" s="15"/>
      <c r="V175" s="15"/>
      <c r="W175" s="15"/>
      <c r="X175" s="15"/>
      <c r="Y175" s="15"/>
      <c r="Z175" s="15"/>
    </row>
    <row r="176" spans="1:26" x14ac:dyDescent="0.3">
      <c r="A176" s="17"/>
      <c r="B176" s="17"/>
      <c r="C176" s="17"/>
      <c r="D176" s="17"/>
      <c r="E176" s="17"/>
      <c r="F176" s="17"/>
      <c r="G176" s="17"/>
      <c r="H176" s="17"/>
      <c r="I176" s="17"/>
      <c r="J176" s="17"/>
      <c r="K176" s="17"/>
      <c r="L176" s="15"/>
      <c r="M176" s="15"/>
      <c r="N176" s="15"/>
      <c r="O176" s="15"/>
      <c r="P176" s="15"/>
      <c r="Q176" s="15"/>
      <c r="R176" s="15"/>
      <c r="S176" s="15"/>
      <c r="T176" s="15"/>
      <c r="U176" s="15"/>
      <c r="V176" s="15"/>
      <c r="W176" s="15"/>
      <c r="X176" s="15"/>
      <c r="Y176" s="15"/>
      <c r="Z176" s="15"/>
    </row>
    <row r="177" spans="1:26" x14ac:dyDescent="0.3">
      <c r="A177" s="24">
        <v>1</v>
      </c>
      <c r="B177" s="26" t="s">
        <v>382</v>
      </c>
      <c r="C177" s="27" t="s">
        <v>383</v>
      </c>
      <c r="D177" s="26" t="s">
        <v>384</v>
      </c>
      <c r="E177" s="26"/>
      <c r="F177" s="24">
        <v>2500</v>
      </c>
      <c r="G177" s="24"/>
      <c r="H177" s="24"/>
      <c r="I177" s="24"/>
      <c r="J177" s="24"/>
      <c r="K177" s="24"/>
      <c r="L177" s="15"/>
      <c r="M177" s="15"/>
      <c r="N177" s="15"/>
      <c r="O177" s="15"/>
      <c r="P177" s="15"/>
      <c r="Q177" s="15"/>
      <c r="R177" s="15"/>
      <c r="S177" s="15"/>
      <c r="T177" s="15"/>
      <c r="U177" s="15"/>
      <c r="V177" s="15"/>
      <c r="W177" s="15"/>
      <c r="X177" s="15"/>
      <c r="Y177" s="15"/>
      <c r="Z177" s="15"/>
    </row>
    <row r="178" spans="1:26" x14ac:dyDescent="0.3">
      <c r="A178" s="24">
        <v>2</v>
      </c>
      <c r="B178" s="26" t="s">
        <v>385</v>
      </c>
      <c r="C178" s="27" t="s">
        <v>386</v>
      </c>
      <c r="D178" s="26" t="s">
        <v>387</v>
      </c>
      <c r="E178" s="26"/>
      <c r="F178" s="24">
        <v>1650</v>
      </c>
      <c r="G178" s="24"/>
      <c r="H178" s="24"/>
      <c r="I178" s="24"/>
      <c r="J178" s="24"/>
      <c r="K178" s="24"/>
      <c r="L178" s="15"/>
      <c r="M178" s="15"/>
      <c r="N178" s="15"/>
      <c r="O178" s="15"/>
      <c r="P178" s="15"/>
      <c r="Q178" s="15"/>
      <c r="R178" s="15"/>
      <c r="S178" s="15"/>
      <c r="T178" s="15"/>
      <c r="U178" s="15"/>
      <c r="V178" s="15"/>
      <c r="W178" s="15"/>
      <c r="X178" s="15"/>
      <c r="Y178" s="15"/>
      <c r="Z178" s="15"/>
    </row>
    <row r="179" spans="1:26" x14ac:dyDescent="0.3">
      <c r="A179" s="24">
        <v>3</v>
      </c>
      <c r="B179" s="26" t="s">
        <v>388</v>
      </c>
      <c r="C179" s="27" t="s">
        <v>389</v>
      </c>
      <c r="D179" s="26" t="s">
        <v>390</v>
      </c>
      <c r="E179" s="26"/>
      <c r="F179" s="24">
        <v>100</v>
      </c>
      <c r="G179" s="24"/>
      <c r="H179" s="24"/>
      <c r="I179" s="24"/>
      <c r="J179" s="24"/>
      <c r="K179" s="24"/>
      <c r="L179" s="15"/>
      <c r="M179" s="15"/>
      <c r="N179" s="15"/>
      <c r="O179" s="15"/>
      <c r="P179" s="15"/>
      <c r="Q179" s="15"/>
      <c r="R179" s="15"/>
      <c r="S179" s="15"/>
      <c r="T179" s="15"/>
      <c r="U179" s="15"/>
      <c r="V179" s="15"/>
      <c r="W179" s="15"/>
      <c r="X179" s="15"/>
      <c r="Y179" s="15"/>
      <c r="Z179" s="15"/>
    </row>
    <row r="180" spans="1:26" x14ac:dyDescent="0.3">
      <c r="A180" s="24">
        <v>4</v>
      </c>
      <c r="B180" s="26" t="s">
        <v>391</v>
      </c>
      <c r="C180" s="27" t="s">
        <v>392</v>
      </c>
      <c r="D180" s="26" t="s">
        <v>393</v>
      </c>
      <c r="E180" s="26"/>
      <c r="F180" s="24">
        <v>100</v>
      </c>
      <c r="G180" s="24"/>
      <c r="H180" s="24"/>
      <c r="I180" s="24"/>
      <c r="J180" s="24"/>
      <c r="K180" s="24"/>
      <c r="L180" s="15"/>
      <c r="M180" s="15"/>
      <c r="N180" s="15"/>
      <c r="O180" s="15"/>
      <c r="P180" s="15"/>
      <c r="Q180" s="15"/>
      <c r="R180" s="15"/>
      <c r="S180" s="15"/>
      <c r="T180" s="15"/>
      <c r="U180" s="15"/>
      <c r="V180" s="15"/>
      <c r="W180" s="15"/>
      <c r="X180" s="15"/>
      <c r="Y180" s="15"/>
      <c r="Z180" s="15"/>
    </row>
    <row r="181" spans="1:26" x14ac:dyDescent="0.3">
      <c r="A181" s="24">
        <v>5</v>
      </c>
      <c r="B181" s="26" t="s">
        <v>394</v>
      </c>
      <c r="C181" s="27" t="s">
        <v>395</v>
      </c>
      <c r="D181" s="26" t="s">
        <v>396</v>
      </c>
      <c r="E181" s="26"/>
      <c r="F181" s="24">
        <v>200</v>
      </c>
      <c r="G181" s="24"/>
      <c r="H181" s="24"/>
      <c r="I181" s="24"/>
      <c r="J181" s="24"/>
      <c r="K181" s="24"/>
      <c r="L181" s="15"/>
      <c r="M181" s="15"/>
      <c r="N181" s="15"/>
      <c r="O181" s="15"/>
      <c r="P181" s="15"/>
      <c r="Q181" s="15"/>
      <c r="R181" s="15"/>
      <c r="S181" s="15"/>
      <c r="T181" s="15"/>
      <c r="U181" s="15"/>
      <c r="V181" s="15"/>
      <c r="W181" s="15"/>
      <c r="X181" s="15"/>
      <c r="Y181" s="15"/>
      <c r="Z181" s="15"/>
    </row>
    <row r="182" spans="1:26" x14ac:dyDescent="0.3">
      <c r="A182" s="24">
        <v>6</v>
      </c>
      <c r="B182" s="26" t="s">
        <v>397</v>
      </c>
      <c r="C182" s="27" t="s">
        <v>398</v>
      </c>
      <c r="D182" s="26" t="s">
        <v>399</v>
      </c>
      <c r="E182" s="26"/>
      <c r="F182" s="24">
        <v>1320</v>
      </c>
      <c r="G182" s="24"/>
      <c r="H182" s="24"/>
      <c r="I182" s="24"/>
      <c r="J182" s="24"/>
      <c r="K182" s="24"/>
      <c r="L182" s="15"/>
      <c r="M182" s="15"/>
      <c r="N182" s="15"/>
      <c r="O182" s="15"/>
      <c r="P182" s="15"/>
      <c r="Q182" s="15"/>
      <c r="R182" s="15"/>
      <c r="S182" s="15"/>
      <c r="T182" s="15"/>
      <c r="U182" s="15"/>
      <c r="V182" s="15"/>
      <c r="W182" s="15"/>
      <c r="X182" s="15"/>
      <c r="Y182" s="15"/>
      <c r="Z182" s="15"/>
    </row>
    <row r="183" spans="1:26" x14ac:dyDescent="0.3">
      <c r="A183" s="24">
        <v>7</v>
      </c>
      <c r="B183" s="26" t="s">
        <v>400</v>
      </c>
      <c r="C183" s="27" t="s">
        <v>401</v>
      </c>
      <c r="D183" s="26" t="s">
        <v>402</v>
      </c>
      <c r="E183" s="26"/>
      <c r="F183" s="24">
        <v>1</v>
      </c>
      <c r="G183" s="24"/>
      <c r="H183" s="24"/>
      <c r="I183" s="24"/>
      <c r="J183" s="24"/>
      <c r="K183" s="24"/>
      <c r="L183" s="15"/>
      <c r="M183" s="15"/>
      <c r="N183" s="15"/>
      <c r="O183" s="15"/>
      <c r="P183" s="15"/>
      <c r="Q183" s="15"/>
      <c r="R183" s="15"/>
      <c r="S183" s="15"/>
      <c r="T183" s="15"/>
      <c r="U183" s="15"/>
      <c r="V183" s="15"/>
      <c r="W183" s="15"/>
      <c r="X183" s="15"/>
      <c r="Y183" s="15"/>
      <c r="Z183" s="15"/>
    </row>
    <row r="184" spans="1:26" x14ac:dyDescent="0.3">
      <c r="A184" s="17"/>
      <c r="B184" s="17"/>
      <c r="C184" s="17"/>
      <c r="D184" s="17"/>
      <c r="E184" s="17"/>
      <c r="F184" s="17"/>
      <c r="G184" s="17"/>
      <c r="H184" s="17"/>
      <c r="I184" s="17"/>
      <c r="J184" s="17"/>
      <c r="K184" s="17"/>
      <c r="L184" s="15"/>
      <c r="M184" s="15"/>
      <c r="N184" s="15"/>
      <c r="O184" s="15"/>
      <c r="P184" s="15"/>
      <c r="Q184" s="15"/>
      <c r="R184" s="15"/>
      <c r="S184" s="15"/>
      <c r="T184" s="15"/>
      <c r="U184" s="15"/>
      <c r="V184" s="15"/>
      <c r="W184" s="15"/>
      <c r="X184" s="15"/>
      <c r="Y184" s="15"/>
      <c r="Z184" s="15"/>
    </row>
    <row r="185" spans="1:26" x14ac:dyDescent="0.3">
      <c r="A185" s="17"/>
      <c r="B185" s="17"/>
      <c r="C185" s="27" t="s">
        <v>403</v>
      </c>
      <c r="D185" s="17"/>
      <c r="E185" s="17"/>
      <c r="F185" s="17"/>
      <c r="G185" s="17"/>
      <c r="H185" s="17"/>
      <c r="I185" s="17"/>
      <c r="J185" s="17"/>
      <c r="K185" s="17"/>
      <c r="L185" s="15"/>
      <c r="M185" s="15"/>
      <c r="N185" s="15"/>
      <c r="O185" s="15"/>
      <c r="P185" s="15"/>
      <c r="Q185" s="15"/>
      <c r="R185" s="15"/>
      <c r="S185" s="15"/>
      <c r="T185" s="15"/>
      <c r="U185" s="15"/>
      <c r="V185" s="15"/>
      <c r="W185" s="15"/>
      <c r="X185" s="15"/>
      <c r="Y185" s="15"/>
      <c r="Z185" s="15"/>
    </row>
    <row r="186" spans="1:26" x14ac:dyDescent="0.3">
      <c r="A186" s="17"/>
      <c r="B186" s="17"/>
      <c r="C186" s="17" t="s">
        <v>404</v>
      </c>
      <c r="D186" s="17"/>
      <c r="E186" s="17"/>
      <c r="F186" s="17"/>
      <c r="G186" s="17"/>
      <c r="H186" s="17"/>
      <c r="I186" s="17"/>
      <c r="J186" s="17"/>
      <c r="K186" s="17"/>
      <c r="L186" s="15"/>
      <c r="M186" s="15"/>
      <c r="N186" s="15"/>
      <c r="O186" s="15"/>
      <c r="P186" s="15"/>
      <c r="Q186" s="15"/>
      <c r="R186" s="15"/>
      <c r="S186" s="15"/>
      <c r="T186" s="15"/>
      <c r="U186" s="15"/>
      <c r="V186" s="15"/>
      <c r="W186" s="15"/>
      <c r="X186" s="15"/>
      <c r="Y186" s="15"/>
      <c r="Z186" s="15"/>
    </row>
    <row r="187" spans="1:26" x14ac:dyDescent="0.3">
      <c r="A187" s="17"/>
      <c r="B187" s="17"/>
      <c r="C187" s="17"/>
      <c r="D187" s="17"/>
      <c r="E187" s="17"/>
      <c r="F187" s="17"/>
      <c r="G187" s="17"/>
      <c r="H187" s="17"/>
      <c r="I187" s="17"/>
      <c r="J187" s="17"/>
      <c r="K187" s="17"/>
      <c r="L187" s="15"/>
      <c r="M187" s="15"/>
      <c r="N187" s="15"/>
      <c r="O187" s="15"/>
      <c r="P187" s="15"/>
      <c r="Q187" s="15"/>
      <c r="R187" s="15"/>
      <c r="S187" s="15"/>
      <c r="T187" s="15"/>
      <c r="U187" s="15"/>
      <c r="V187" s="15"/>
      <c r="W187" s="15"/>
      <c r="X187" s="15"/>
      <c r="Y187" s="15"/>
      <c r="Z187" s="15"/>
    </row>
    <row r="188" spans="1:26" x14ac:dyDescent="0.3">
      <c r="A188" s="22"/>
      <c r="B188" s="22"/>
      <c r="C188" s="21" t="s">
        <v>405</v>
      </c>
      <c r="D188" s="22"/>
      <c r="E188" s="22"/>
      <c r="F188" s="22"/>
      <c r="G188" s="22"/>
      <c r="H188" s="22"/>
      <c r="I188" s="22"/>
      <c r="J188" s="22"/>
      <c r="K188" s="22"/>
      <c r="L188" s="15"/>
      <c r="M188" s="15"/>
      <c r="N188" s="15"/>
      <c r="O188" s="15"/>
      <c r="P188" s="15"/>
      <c r="Q188" s="15"/>
      <c r="R188" s="15"/>
      <c r="S188" s="15"/>
      <c r="T188" s="15"/>
      <c r="U188" s="15"/>
      <c r="V188" s="15"/>
      <c r="W188" s="15"/>
      <c r="X188" s="15"/>
      <c r="Y188" s="15"/>
      <c r="Z188" s="15"/>
    </row>
    <row r="189" spans="1:26" x14ac:dyDescent="0.3">
      <c r="A189" s="17"/>
      <c r="B189" s="17"/>
      <c r="C189" s="17"/>
      <c r="D189" s="17"/>
      <c r="E189" s="17"/>
      <c r="F189" s="17"/>
      <c r="G189" s="17"/>
      <c r="H189" s="17"/>
      <c r="I189" s="17"/>
      <c r="J189" s="17"/>
      <c r="K189" s="17"/>
      <c r="L189" s="15"/>
      <c r="M189" s="15"/>
      <c r="N189" s="15"/>
      <c r="O189" s="15"/>
      <c r="P189" s="15"/>
      <c r="Q189" s="15"/>
      <c r="R189" s="15"/>
      <c r="S189" s="15"/>
      <c r="T189" s="15"/>
      <c r="U189" s="15"/>
      <c r="V189" s="15"/>
      <c r="W189" s="15"/>
      <c r="X189" s="15"/>
      <c r="Y189" s="15"/>
      <c r="Z189" s="15"/>
    </row>
    <row r="190" spans="1:26" x14ac:dyDescent="0.3">
      <c r="A190" s="20" t="s">
        <v>406</v>
      </c>
      <c r="B190" s="21" t="s">
        <v>407</v>
      </c>
      <c r="C190" s="21" t="s">
        <v>408</v>
      </c>
      <c r="D190" s="22"/>
      <c r="E190" s="22"/>
      <c r="F190" s="22"/>
      <c r="G190" s="22"/>
      <c r="H190" s="22"/>
      <c r="I190" s="22"/>
      <c r="J190" s="22"/>
      <c r="K190" s="22"/>
      <c r="L190" s="15"/>
      <c r="M190" s="15"/>
      <c r="N190" s="15"/>
      <c r="O190" s="15"/>
      <c r="P190" s="15"/>
      <c r="Q190" s="15"/>
      <c r="R190" s="15"/>
      <c r="S190" s="15"/>
      <c r="T190" s="15"/>
      <c r="U190" s="15"/>
      <c r="V190" s="15"/>
      <c r="W190" s="15"/>
      <c r="X190" s="15"/>
      <c r="Y190" s="15"/>
      <c r="Z190" s="15"/>
    </row>
    <row r="191" spans="1:26" x14ac:dyDescent="0.3">
      <c r="A191" s="17"/>
      <c r="B191" s="17"/>
      <c r="C191" s="17"/>
      <c r="D191" s="17"/>
      <c r="E191" s="17"/>
      <c r="F191" s="17"/>
      <c r="G191" s="17"/>
      <c r="H191" s="17"/>
      <c r="I191" s="17"/>
      <c r="J191" s="17"/>
      <c r="K191" s="17"/>
      <c r="L191" s="15"/>
      <c r="M191" s="15"/>
      <c r="N191" s="15"/>
      <c r="O191" s="15"/>
      <c r="P191" s="15"/>
      <c r="Q191" s="15"/>
      <c r="R191" s="15"/>
      <c r="S191" s="15"/>
      <c r="T191" s="15"/>
      <c r="U191" s="15"/>
      <c r="V191" s="15"/>
      <c r="W191" s="15"/>
      <c r="X191" s="15"/>
      <c r="Y191" s="15"/>
      <c r="Z191" s="15"/>
    </row>
    <row r="192" spans="1:26" x14ac:dyDescent="0.3">
      <c r="A192" s="24">
        <v>1</v>
      </c>
      <c r="B192" s="17"/>
      <c r="C192" s="35" t="s">
        <v>409</v>
      </c>
      <c r="D192" s="17"/>
      <c r="E192" s="17"/>
      <c r="F192" s="17"/>
      <c r="G192" s="17"/>
      <c r="H192" s="17"/>
      <c r="I192" s="17"/>
      <c r="J192" s="17"/>
      <c r="K192" s="17"/>
      <c r="L192" s="15"/>
      <c r="M192" s="15"/>
      <c r="N192" s="15"/>
      <c r="O192" s="15"/>
      <c r="P192" s="15"/>
      <c r="Q192" s="15"/>
      <c r="R192" s="15"/>
      <c r="S192" s="15"/>
      <c r="T192" s="15"/>
      <c r="U192" s="15"/>
      <c r="V192" s="15"/>
      <c r="W192" s="15"/>
      <c r="X192" s="15"/>
      <c r="Y192" s="15"/>
      <c r="Z192" s="15"/>
    </row>
    <row r="193" spans="1:26" x14ac:dyDescent="0.3">
      <c r="A193" s="17"/>
      <c r="B193" s="17"/>
      <c r="C193" s="17"/>
      <c r="D193" s="17"/>
      <c r="E193" s="17"/>
      <c r="F193" s="17"/>
      <c r="G193" s="17"/>
      <c r="H193" s="17"/>
      <c r="I193" s="17"/>
      <c r="J193" s="17"/>
      <c r="K193" s="17"/>
      <c r="L193" s="15"/>
      <c r="M193" s="15"/>
      <c r="N193" s="15"/>
      <c r="O193" s="15"/>
      <c r="P193" s="15"/>
      <c r="Q193" s="15"/>
      <c r="R193" s="15"/>
      <c r="S193" s="15"/>
      <c r="T193" s="15"/>
      <c r="U193" s="15"/>
      <c r="V193" s="15"/>
      <c r="W193" s="15"/>
      <c r="X193" s="15"/>
      <c r="Y193" s="15"/>
      <c r="Z193" s="15"/>
    </row>
    <row r="194" spans="1:26" x14ac:dyDescent="0.3">
      <c r="A194" s="25">
        <v>1.1000000000000001</v>
      </c>
      <c r="B194" s="27" t="s">
        <v>410</v>
      </c>
      <c r="C194" s="27" t="s">
        <v>411</v>
      </c>
      <c r="D194" s="17"/>
      <c r="E194" s="17"/>
      <c r="F194" s="17"/>
      <c r="G194" s="17"/>
      <c r="H194" s="17"/>
      <c r="I194" s="17"/>
      <c r="J194" s="17"/>
      <c r="K194" s="17"/>
      <c r="L194" s="15"/>
      <c r="M194" s="15"/>
      <c r="N194" s="15"/>
      <c r="O194" s="15"/>
      <c r="P194" s="15"/>
      <c r="Q194" s="15"/>
      <c r="R194" s="15"/>
      <c r="S194" s="15"/>
      <c r="T194" s="15"/>
      <c r="U194" s="15"/>
      <c r="V194" s="15"/>
      <c r="W194" s="15"/>
      <c r="X194" s="15"/>
      <c r="Y194" s="15"/>
      <c r="Z194" s="15"/>
    </row>
    <row r="195" spans="1:26" x14ac:dyDescent="0.3">
      <c r="A195" s="17"/>
      <c r="B195" s="17"/>
      <c r="C195" s="17"/>
      <c r="D195" s="17"/>
      <c r="E195" s="17"/>
      <c r="F195" s="17"/>
      <c r="G195" s="17"/>
      <c r="H195" s="17"/>
      <c r="I195" s="17"/>
      <c r="J195" s="17"/>
      <c r="K195" s="17"/>
      <c r="L195" s="15"/>
      <c r="M195" s="15"/>
      <c r="N195" s="15"/>
      <c r="O195" s="15"/>
      <c r="P195" s="15"/>
      <c r="Q195" s="15"/>
      <c r="R195" s="15"/>
      <c r="S195" s="15"/>
      <c r="T195" s="15"/>
      <c r="U195" s="15"/>
      <c r="V195" s="15"/>
      <c r="W195" s="15"/>
      <c r="X195" s="15"/>
      <c r="Y195" s="15"/>
      <c r="Z195" s="15"/>
    </row>
    <row r="196" spans="1:26" x14ac:dyDescent="0.3">
      <c r="A196" s="26" t="s">
        <v>412</v>
      </c>
      <c r="B196" s="27" t="s">
        <v>413</v>
      </c>
      <c r="C196" s="27" t="s">
        <v>414</v>
      </c>
      <c r="D196" s="26" t="s">
        <v>415</v>
      </c>
      <c r="E196" s="26"/>
      <c r="F196" s="24">
        <v>1695</v>
      </c>
      <c r="G196" s="24"/>
      <c r="H196" s="24"/>
      <c r="I196" s="24"/>
      <c r="J196" s="24"/>
      <c r="K196" s="24"/>
      <c r="L196" s="15"/>
      <c r="M196" s="15"/>
      <c r="N196" s="15"/>
      <c r="O196" s="15"/>
      <c r="P196" s="15"/>
      <c r="Q196" s="15"/>
      <c r="R196" s="15"/>
      <c r="S196" s="15"/>
      <c r="T196" s="15"/>
      <c r="U196" s="15"/>
      <c r="V196" s="15"/>
      <c r="W196" s="15"/>
      <c r="X196" s="15"/>
      <c r="Y196" s="15"/>
      <c r="Z196" s="15"/>
    </row>
    <row r="197" spans="1:26" x14ac:dyDescent="0.3">
      <c r="A197" s="26" t="s">
        <v>416</v>
      </c>
      <c r="B197" s="27" t="s">
        <v>417</v>
      </c>
      <c r="C197" s="27" t="s">
        <v>418</v>
      </c>
      <c r="D197" s="26" t="s">
        <v>419</v>
      </c>
      <c r="E197" s="26"/>
      <c r="F197" s="24">
        <v>617</v>
      </c>
      <c r="G197" s="24"/>
      <c r="H197" s="24"/>
      <c r="I197" s="24"/>
      <c r="J197" s="24"/>
      <c r="K197" s="24"/>
      <c r="L197" s="15"/>
      <c r="M197" s="15"/>
      <c r="N197" s="15"/>
      <c r="O197" s="15"/>
      <c r="P197" s="15"/>
      <c r="Q197" s="15"/>
      <c r="R197" s="15"/>
      <c r="S197" s="15"/>
      <c r="T197" s="15"/>
      <c r="U197" s="15"/>
      <c r="V197" s="15"/>
      <c r="W197" s="15"/>
      <c r="X197" s="15"/>
      <c r="Y197" s="15"/>
      <c r="Z197" s="15"/>
    </row>
    <row r="198" spans="1:26" x14ac:dyDescent="0.3">
      <c r="A198" s="26" t="s">
        <v>420</v>
      </c>
      <c r="B198" s="27" t="s">
        <v>421</v>
      </c>
      <c r="C198" s="27" t="s">
        <v>422</v>
      </c>
      <c r="D198" s="26" t="s">
        <v>423</v>
      </c>
      <c r="E198" s="26"/>
      <c r="F198" s="24">
        <v>68</v>
      </c>
      <c r="G198" s="24"/>
      <c r="H198" s="24"/>
      <c r="I198" s="24"/>
      <c r="J198" s="24"/>
      <c r="K198" s="24"/>
      <c r="L198" s="15"/>
      <c r="M198" s="15"/>
      <c r="N198" s="15"/>
      <c r="O198" s="15"/>
      <c r="P198" s="15"/>
      <c r="Q198" s="15"/>
      <c r="R198" s="15"/>
      <c r="S198" s="15"/>
      <c r="T198" s="15"/>
      <c r="U198" s="15"/>
      <c r="V198" s="15"/>
      <c r="W198" s="15"/>
      <c r="X198" s="15"/>
      <c r="Y198" s="15"/>
      <c r="Z198" s="15"/>
    </row>
    <row r="199" spans="1:26" x14ac:dyDescent="0.3">
      <c r="A199" s="26" t="s">
        <v>424</v>
      </c>
      <c r="B199" s="27" t="s">
        <v>425</v>
      </c>
      <c r="C199" s="27" t="s">
        <v>426</v>
      </c>
      <c r="D199" s="26" t="s">
        <v>427</v>
      </c>
      <c r="E199" s="26"/>
      <c r="F199" s="24">
        <v>314</v>
      </c>
      <c r="G199" s="24"/>
      <c r="H199" s="24"/>
      <c r="I199" s="24"/>
      <c r="J199" s="24"/>
      <c r="K199" s="24"/>
      <c r="L199" s="15"/>
      <c r="M199" s="15"/>
      <c r="N199" s="15"/>
      <c r="O199" s="15"/>
      <c r="P199" s="15"/>
      <c r="Q199" s="15"/>
      <c r="R199" s="15"/>
      <c r="S199" s="15"/>
      <c r="T199" s="15"/>
      <c r="U199" s="15"/>
      <c r="V199" s="15"/>
      <c r="W199" s="15"/>
      <c r="X199" s="15"/>
      <c r="Y199" s="15"/>
      <c r="Z199" s="15"/>
    </row>
    <row r="200" spans="1:26" x14ac:dyDescent="0.3">
      <c r="A200" s="17"/>
      <c r="B200" s="17"/>
      <c r="C200" s="17"/>
      <c r="D200" s="17"/>
      <c r="E200" s="17"/>
      <c r="F200" s="17"/>
      <c r="G200" s="17"/>
      <c r="H200" s="17"/>
      <c r="I200" s="17"/>
      <c r="J200" s="17"/>
      <c r="K200" s="17"/>
      <c r="L200" s="15"/>
      <c r="M200" s="15"/>
      <c r="N200" s="15"/>
      <c r="O200" s="15"/>
      <c r="P200" s="15"/>
      <c r="Q200" s="15"/>
      <c r="R200" s="15"/>
      <c r="S200" s="15"/>
      <c r="T200" s="15"/>
      <c r="U200" s="15"/>
      <c r="V200" s="15"/>
      <c r="W200" s="15"/>
      <c r="X200" s="15"/>
      <c r="Y200" s="15"/>
      <c r="Z200" s="15"/>
    </row>
    <row r="201" spans="1:26" x14ac:dyDescent="0.3">
      <c r="A201" s="25">
        <v>1.2</v>
      </c>
      <c r="B201" s="27" t="s">
        <v>428</v>
      </c>
      <c r="C201" s="17" t="s">
        <v>429</v>
      </c>
      <c r="D201" s="17"/>
      <c r="E201" s="17"/>
      <c r="F201" s="17"/>
      <c r="G201" s="17"/>
      <c r="H201" s="17"/>
      <c r="I201" s="17"/>
      <c r="J201" s="17"/>
      <c r="K201" s="17"/>
      <c r="L201" s="15"/>
      <c r="M201" s="15"/>
      <c r="N201" s="15"/>
      <c r="O201" s="15"/>
      <c r="P201" s="15"/>
      <c r="Q201" s="15"/>
      <c r="R201" s="15"/>
      <c r="S201" s="15"/>
      <c r="T201" s="15"/>
      <c r="U201" s="15"/>
      <c r="V201" s="15"/>
      <c r="W201" s="15"/>
      <c r="X201" s="15"/>
      <c r="Y201" s="15"/>
      <c r="Z201" s="15"/>
    </row>
    <row r="202" spans="1:26" x14ac:dyDescent="0.3">
      <c r="A202" s="17"/>
      <c r="B202" s="17"/>
      <c r="C202" s="17"/>
      <c r="D202" s="17"/>
      <c r="E202" s="17"/>
      <c r="F202" s="17"/>
      <c r="G202" s="17"/>
      <c r="H202" s="17"/>
      <c r="I202" s="17"/>
      <c r="J202" s="17"/>
      <c r="K202" s="17"/>
      <c r="L202" s="15"/>
      <c r="M202" s="15"/>
      <c r="N202" s="15"/>
      <c r="O202" s="15"/>
      <c r="P202" s="15"/>
      <c r="Q202" s="15"/>
      <c r="R202" s="15"/>
      <c r="S202" s="15"/>
      <c r="T202" s="15"/>
      <c r="U202" s="15"/>
      <c r="V202" s="15"/>
      <c r="W202" s="15"/>
      <c r="X202" s="15"/>
      <c r="Y202" s="15"/>
      <c r="Z202" s="15"/>
    </row>
    <row r="203" spans="1:26" x14ac:dyDescent="0.3">
      <c r="A203" s="26" t="s">
        <v>430</v>
      </c>
      <c r="B203" s="27" t="s">
        <v>431</v>
      </c>
      <c r="C203" s="27" t="s">
        <v>432</v>
      </c>
      <c r="D203" s="26" t="s">
        <v>433</v>
      </c>
      <c r="E203" s="26"/>
      <c r="F203" s="24">
        <v>80</v>
      </c>
      <c r="G203" s="24"/>
      <c r="H203" s="24"/>
      <c r="I203" s="24"/>
      <c r="J203" s="24"/>
      <c r="K203" s="24"/>
      <c r="L203" s="15"/>
      <c r="M203" s="15"/>
      <c r="N203" s="15"/>
      <c r="O203" s="15"/>
      <c r="P203" s="15"/>
      <c r="Q203" s="15"/>
      <c r="R203" s="15"/>
      <c r="S203" s="15"/>
      <c r="T203" s="15"/>
      <c r="U203" s="15"/>
      <c r="V203" s="15"/>
      <c r="W203" s="15"/>
      <c r="X203" s="15"/>
      <c r="Y203" s="15"/>
      <c r="Z203" s="15"/>
    </row>
    <row r="204" spans="1:26" x14ac:dyDescent="0.3">
      <c r="A204" s="26" t="s">
        <v>434</v>
      </c>
      <c r="B204" s="27" t="s">
        <v>435</v>
      </c>
      <c r="C204" s="27" t="s">
        <v>436</v>
      </c>
      <c r="D204" s="26" t="s">
        <v>437</v>
      </c>
      <c r="E204" s="26"/>
      <c r="F204" s="24">
        <v>32</v>
      </c>
      <c r="G204" s="24"/>
      <c r="H204" s="24"/>
      <c r="I204" s="24"/>
      <c r="J204" s="24"/>
      <c r="K204" s="24"/>
      <c r="L204" s="15"/>
      <c r="M204" s="15"/>
      <c r="N204" s="15"/>
      <c r="O204" s="15"/>
      <c r="P204" s="15"/>
      <c r="Q204" s="15"/>
      <c r="R204" s="15"/>
      <c r="S204" s="15"/>
      <c r="T204" s="15"/>
      <c r="U204" s="15"/>
      <c r="V204" s="15"/>
      <c r="W204" s="15"/>
      <c r="X204" s="15"/>
      <c r="Y204" s="15"/>
      <c r="Z204" s="15"/>
    </row>
    <row r="205" spans="1:26" x14ac:dyDescent="0.3">
      <c r="A205" s="26" t="s">
        <v>438</v>
      </c>
      <c r="B205" s="27" t="s">
        <v>439</v>
      </c>
      <c r="C205" s="27" t="s">
        <v>440</v>
      </c>
      <c r="D205" s="26" t="s">
        <v>441</v>
      </c>
      <c r="E205" s="26"/>
      <c r="F205" s="24">
        <v>8</v>
      </c>
      <c r="G205" s="24"/>
      <c r="H205" s="24"/>
      <c r="I205" s="24"/>
      <c r="J205" s="24"/>
      <c r="K205" s="24"/>
      <c r="L205" s="15"/>
      <c r="M205" s="15"/>
      <c r="N205" s="15"/>
      <c r="O205" s="15"/>
      <c r="P205" s="15"/>
      <c r="Q205" s="15"/>
      <c r="R205" s="15"/>
      <c r="S205" s="15"/>
      <c r="T205" s="15"/>
      <c r="U205" s="15"/>
      <c r="V205" s="15"/>
      <c r="W205" s="15"/>
      <c r="X205" s="15"/>
      <c r="Y205" s="15"/>
      <c r="Z205" s="15"/>
    </row>
    <row r="206" spans="1:26" x14ac:dyDescent="0.3">
      <c r="A206" s="26" t="s">
        <v>442</v>
      </c>
      <c r="B206" s="27" t="s">
        <v>443</v>
      </c>
      <c r="C206" s="27" t="s">
        <v>444</v>
      </c>
      <c r="D206" s="26" t="s">
        <v>445</v>
      </c>
      <c r="E206" s="26"/>
      <c r="F206" s="24">
        <v>3</v>
      </c>
      <c r="G206" s="24"/>
      <c r="H206" s="24"/>
      <c r="I206" s="24"/>
      <c r="J206" s="24"/>
      <c r="K206" s="24"/>
      <c r="L206" s="15"/>
      <c r="M206" s="15"/>
      <c r="N206" s="15"/>
      <c r="O206" s="15"/>
      <c r="P206" s="15"/>
      <c r="Q206" s="15"/>
      <c r="R206" s="15"/>
      <c r="S206" s="15"/>
      <c r="T206" s="15"/>
      <c r="U206" s="15"/>
      <c r="V206" s="15"/>
      <c r="W206" s="15"/>
      <c r="X206" s="15"/>
      <c r="Y206" s="15"/>
      <c r="Z206" s="15"/>
    </row>
    <row r="207" spans="1:26" x14ac:dyDescent="0.3">
      <c r="A207" s="17"/>
      <c r="B207" s="17"/>
      <c r="C207" s="17"/>
      <c r="D207" s="17"/>
      <c r="E207" s="17"/>
      <c r="F207" s="17"/>
      <c r="G207" s="17"/>
      <c r="H207" s="17"/>
      <c r="I207" s="17"/>
      <c r="J207" s="17"/>
      <c r="K207" s="17"/>
      <c r="L207" s="15"/>
      <c r="M207" s="15"/>
      <c r="N207" s="15"/>
      <c r="O207" s="15"/>
      <c r="P207" s="15"/>
      <c r="Q207" s="15"/>
      <c r="R207" s="15"/>
      <c r="S207" s="15"/>
      <c r="T207" s="15"/>
      <c r="U207" s="15"/>
      <c r="V207" s="15"/>
      <c r="W207" s="15"/>
      <c r="X207" s="15"/>
      <c r="Y207" s="15"/>
      <c r="Z207" s="15"/>
    </row>
    <row r="208" spans="1:26" x14ac:dyDescent="0.3">
      <c r="A208" s="25">
        <v>1.2</v>
      </c>
      <c r="B208" s="27" t="s">
        <v>446</v>
      </c>
      <c r="C208" s="17" t="s">
        <v>447</v>
      </c>
      <c r="D208" s="17"/>
      <c r="E208" s="17"/>
      <c r="F208" s="17"/>
      <c r="G208" s="17"/>
      <c r="H208" s="17"/>
      <c r="I208" s="17"/>
      <c r="J208" s="17"/>
      <c r="K208" s="17"/>
      <c r="L208" s="15"/>
      <c r="M208" s="15"/>
      <c r="N208" s="15"/>
      <c r="O208" s="15"/>
      <c r="P208" s="15"/>
      <c r="Q208" s="15"/>
      <c r="R208" s="15"/>
      <c r="S208" s="15"/>
      <c r="T208" s="15"/>
      <c r="U208" s="15"/>
      <c r="V208" s="15"/>
      <c r="W208" s="15"/>
      <c r="X208" s="15"/>
      <c r="Y208" s="15"/>
      <c r="Z208" s="15"/>
    </row>
    <row r="209" spans="1:26" x14ac:dyDescent="0.3">
      <c r="A209" s="17"/>
      <c r="B209" s="17"/>
      <c r="C209" s="17"/>
      <c r="D209" s="17"/>
      <c r="E209" s="17"/>
      <c r="F209" s="17"/>
      <c r="G209" s="17"/>
      <c r="H209" s="17"/>
      <c r="I209" s="17"/>
      <c r="J209" s="17"/>
      <c r="K209" s="17"/>
      <c r="L209" s="15"/>
      <c r="M209" s="15"/>
      <c r="N209" s="15"/>
      <c r="O209" s="15"/>
      <c r="P209" s="15"/>
      <c r="Q209" s="15"/>
      <c r="R209" s="15"/>
      <c r="S209" s="15"/>
      <c r="T209" s="15"/>
      <c r="U209" s="15"/>
      <c r="V209" s="15"/>
      <c r="W209" s="15"/>
      <c r="X209" s="15"/>
      <c r="Y209" s="15"/>
      <c r="Z209" s="15"/>
    </row>
    <row r="210" spans="1:26" x14ac:dyDescent="0.3">
      <c r="A210" s="26" t="s">
        <v>448</v>
      </c>
      <c r="B210" s="27" t="s">
        <v>449</v>
      </c>
      <c r="C210" s="27" t="s">
        <v>450</v>
      </c>
      <c r="D210" s="26" t="s">
        <v>451</v>
      </c>
      <c r="E210" s="26"/>
      <c r="F210" s="25">
        <v>47.3</v>
      </c>
      <c r="G210" s="25"/>
      <c r="H210" s="25"/>
      <c r="I210" s="25"/>
      <c r="J210" s="25"/>
      <c r="K210" s="25"/>
      <c r="L210" s="15"/>
      <c r="M210" s="15"/>
      <c r="N210" s="15"/>
      <c r="O210" s="15"/>
      <c r="P210" s="15"/>
      <c r="Q210" s="15"/>
      <c r="R210" s="15"/>
      <c r="S210" s="15"/>
      <c r="T210" s="15"/>
      <c r="U210" s="15"/>
      <c r="V210" s="15"/>
      <c r="W210" s="15"/>
      <c r="X210" s="15"/>
      <c r="Y210" s="15"/>
      <c r="Z210" s="15"/>
    </row>
    <row r="211" spans="1:26" x14ac:dyDescent="0.3">
      <c r="A211" s="26" t="s">
        <v>452</v>
      </c>
      <c r="B211" s="27" t="s">
        <v>453</v>
      </c>
      <c r="C211" s="27" t="s">
        <v>454</v>
      </c>
      <c r="D211" s="26" t="s">
        <v>455</v>
      </c>
      <c r="E211" s="26"/>
      <c r="F211" s="25">
        <v>12.1</v>
      </c>
      <c r="G211" s="25"/>
      <c r="H211" s="25"/>
      <c r="I211" s="25"/>
      <c r="J211" s="25"/>
      <c r="K211" s="25"/>
      <c r="L211" s="15"/>
      <c r="M211" s="15"/>
      <c r="N211" s="15"/>
      <c r="O211" s="15"/>
      <c r="P211" s="15"/>
      <c r="Q211" s="15"/>
      <c r="R211" s="15"/>
      <c r="S211" s="15"/>
      <c r="T211" s="15"/>
      <c r="U211" s="15"/>
      <c r="V211" s="15"/>
      <c r="W211" s="15"/>
      <c r="X211" s="15"/>
      <c r="Y211" s="15"/>
      <c r="Z211" s="15"/>
    </row>
    <row r="212" spans="1:26" x14ac:dyDescent="0.3">
      <c r="A212" s="26" t="s">
        <v>456</v>
      </c>
      <c r="B212" s="27" t="s">
        <v>457</v>
      </c>
      <c r="C212" s="27" t="s">
        <v>458</v>
      </c>
      <c r="D212" s="26" t="s">
        <v>459</v>
      </c>
      <c r="E212" s="26"/>
      <c r="F212" s="25">
        <v>7.7</v>
      </c>
      <c r="G212" s="25"/>
      <c r="H212" s="25"/>
      <c r="I212" s="25"/>
      <c r="J212" s="25"/>
      <c r="K212" s="25"/>
      <c r="L212" s="15"/>
      <c r="M212" s="15"/>
      <c r="N212" s="15"/>
      <c r="O212" s="15"/>
      <c r="P212" s="15"/>
      <c r="Q212" s="15"/>
      <c r="R212" s="15"/>
      <c r="S212" s="15"/>
      <c r="T212" s="15"/>
      <c r="U212" s="15"/>
      <c r="V212" s="15"/>
      <c r="W212" s="15"/>
      <c r="X212" s="15"/>
      <c r="Y212" s="15"/>
      <c r="Z212" s="15"/>
    </row>
    <row r="213" spans="1:26" x14ac:dyDescent="0.3">
      <c r="A213" s="26" t="s">
        <v>460</v>
      </c>
      <c r="B213" s="27" t="s">
        <v>461</v>
      </c>
      <c r="C213" s="27" t="s">
        <v>462</v>
      </c>
      <c r="D213" s="26" t="s">
        <v>463</v>
      </c>
      <c r="E213" s="26"/>
      <c r="F213" s="25">
        <v>1.1000000000000001</v>
      </c>
      <c r="G213" s="25"/>
      <c r="H213" s="25"/>
      <c r="I213" s="25"/>
      <c r="J213" s="25"/>
      <c r="K213" s="25"/>
      <c r="L213" s="15"/>
      <c r="M213" s="15"/>
      <c r="N213" s="15"/>
      <c r="O213" s="15"/>
      <c r="P213" s="15"/>
      <c r="Q213" s="15"/>
      <c r="R213" s="15"/>
      <c r="S213" s="15"/>
      <c r="T213" s="15"/>
      <c r="U213" s="15"/>
      <c r="V213" s="15"/>
      <c r="W213" s="15"/>
      <c r="X213" s="15"/>
      <c r="Y213" s="15"/>
      <c r="Z213" s="15"/>
    </row>
    <row r="214" spans="1:26" x14ac:dyDescent="0.3">
      <c r="A214" s="17"/>
      <c r="B214" s="17"/>
      <c r="C214" s="17"/>
      <c r="D214" s="17"/>
      <c r="E214" s="17"/>
      <c r="F214" s="17"/>
      <c r="G214" s="17"/>
      <c r="H214" s="17"/>
      <c r="I214" s="17"/>
      <c r="J214" s="17"/>
      <c r="K214" s="17"/>
      <c r="L214" s="15"/>
      <c r="M214" s="15"/>
      <c r="N214" s="15"/>
      <c r="O214" s="15"/>
      <c r="P214" s="15"/>
      <c r="Q214" s="15"/>
      <c r="R214" s="15"/>
      <c r="S214" s="15"/>
      <c r="T214" s="15"/>
      <c r="U214" s="15"/>
      <c r="V214" s="15"/>
      <c r="W214" s="15"/>
      <c r="X214" s="15"/>
      <c r="Y214" s="15"/>
      <c r="Z214" s="15"/>
    </row>
    <row r="215" spans="1:26" x14ac:dyDescent="0.3">
      <c r="A215" s="37">
        <v>2</v>
      </c>
      <c r="B215" s="17"/>
      <c r="C215" s="35" t="s">
        <v>464</v>
      </c>
      <c r="D215" s="17"/>
      <c r="E215" s="17"/>
      <c r="F215" s="17"/>
      <c r="G215" s="17"/>
      <c r="H215" s="17"/>
      <c r="I215" s="17"/>
      <c r="J215" s="17"/>
      <c r="K215" s="17"/>
      <c r="L215" s="15"/>
      <c r="M215" s="15"/>
      <c r="N215" s="15"/>
      <c r="O215" s="15"/>
      <c r="P215" s="15"/>
      <c r="Q215" s="15"/>
      <c r="R215" s="15"/>
      <c r="S215" s="15"/>
      <c r="T215" s="15"/>
      <c r="U215" s="15"/>
      <c r="V215" s="15"/>
      <c r="W215" s="15"/>
      <c r="X215" s="15"/>
      <c r="Y215" s="15"/>
      <c r="Z215" s="15"/>
    </row>
    <row r="216" spans="1:26" x14ac:dyDescent="0.3">
      <c r="A216" s="17"/>
      <c r="B216" s="17"/>
      <c r="C216" s="17"/>
      <c r="D216" s="17"/>
      <c r="E216" s="17"/>
      <c r="F216" s="17"/>
      <c r="G216" s="17"/>
      <c r="H216" s="17"/>
      <c r="I216" s="17"/>
      <c r="J216" s="17"/>
      <c r="K216" s="17"/>
      <c r="L216" s="15"/>
      <c r="M216" s="15"/>
      <c r="N216" s="15"/>
      <c r="O216" s="15"/>
      <c r="P216" s="15"/>
      <c r="Q216" s="15"/>
      <c r="R216" s="15"/>
      <c r="S216" s="15"/>
      <c r="T216" s="15"/>
      <c r="U216" s="15"/>
      <c r="V216" s="15"/>
      <c r="W216" s="15"/>
      <c r="X216" s="15"/>
      <c r="Y216" s="15"/>
      <c r="Z216" s="15"/>
    </row>
    <row r="217" spans="1:26" x14ac:dyDescent="0.3">
      <c r="A217" s="17"/>
      <c r="B217" s="17"/>
      <c r="C217" s="27" t="s">
        <v>465</v>
      </c>
      <c r="D217" s="17"/>
      <c r="E217" s="17"/>
      <c r="F217" s="17"/>
      <c r="G217" s="17"/>
      <c r="H217" s="17"/>
      <c r="I217" s="17"/>
      <c r="J217" s="17"/>
      <c r="K217" s="17"/>
      <c r="L217" s="15"/>
      <c r="M217" s="15"/>
      <c r="N217" s="15"/>
      <c r="O217" s="15"/>
      <c r="P217" s="15"/>
      <c r="Q217" s="15"/>
      <c r="R217" s="15"/>
      <c r="S217" s="15"/>
      <c r="T217" s="15"/>
      <c r="U217" s="15"/>
      <c r="V217" s="15"/>
      <c r="W217" s="15"/>
      <c r="X217" s="15"/>
      <c r="Y217" s="15"/>
      <c r="Z217" s="15"/>
    </row>
    <row r="218" spans="1:26" x14ac:dyDescent="0.3">
      <c r="A218" s="17"/>
      <c r="B218" s="17"/>
      <c r="C218" s="27" t="s">
        <v>466</v>
      </c>
      <c r="D218" s="17"/>
      <c r="E218" s="17"/>
      <c r="F218" s="17"/>
      <c r="G218" s="17"/>
      <c r="H218" s="17"/>
      <c r="I218" s="17"/>
      <c r="J218" s="17"/>
      <c r="K218" s="17"/>
      <c r="L218" s="15"/>
      <c r="M218" s="15"/>
      <c r="N218" s="15"/>
      <c r="O218" s="15"/>
      <c r="P218" s="15"/>
      <c r="Q218" s="15"/>
      <c r="R218" s="15"/>
      <c r="S218" s="15"/>
      <c r="T218" s="15"/>
      <c r="U218" s="15"/>
      <c r="V218" s="15"/>
      <c r="W218" s="15"/>
      <c r="X218" s="15"/>
      <c r="Y218" s="15"/>
      <c r="Z218" s="15"/>
    </row>
    <row r="219" spans="1:26" x14ac:dyDescent="0.3">
      <c r="A219" s="17"/>
      <c r="B219" s="17"/>
      <c r="C219" s="27" t="s">
        <v>467</v>
      </c>
      <c r="D219" s="17"/>
      <c r="E219" s="17"/>
      <c r="F219" s="17"/>
      <c r="G219" s="17"/>
      <c r="H219" s="17"/>
      <c r="I219" s="17"/>
      <c r="J219" s="17"/>
      <c r="K219" s="17"/>
      <c r="L219" s="15"/>
      <c r="M219" s="15"/>
      <c r="N219" s="15"/>
      <c r="O219" s="15"/>
      <c r="P219" s="15"/>
      <c r="Q219" s="15"/>
      <c r="R219" s="15"/>
      <c r="S219" s="15"/>
      <c r="T219" s="15"/>
      <c r="U219" s="15"/>
      <c r="V219" s="15"/>
      <c r="W219" s="15"/>
      <c r="X219" s="15"/>
      <c r="Y219" s="15"/>
      <c r="Z219" s="15"/>
    </row>
    <row r="220" spans="1:26" x14ac:dyDescent="0.3">
      <c r="A220" s="17"/>
      <c r="B220" s="17"/>
      <c r="C220" s="27" t="s">
        <v>468</v>
      </c>
      <c r="D220" s="17"/>
      <c r="E220" s="17"/>
      <c r="F220" s="17"/>
      <c r="G220" s="17"/>
      <c r="H220" s="17"/>
      <c r="I220" s="17"/>
      <c r="J220" s="17"/>
      <c r="K220" s="17"/>
      <c r="L220" s="15"/>
      <c r="M220" s="15"/>
      <c r="N220" s="15"/>
      <c r="O220" s="15"/>
      <c r="P220" s="15"/>
      <c r="Q220" s="15"/>
      <c r="R220" s="15"/>
      <c r="S220" s="15"/>
      <c r="T220" s="15"/>
      <c r="U220" s="15"/>
      <c r="V220" s="15"/>
      <c r="W220" s="15"/>
      <c r="X220" s="15"/>
      <c r="Y220" s="15"/>
      <c r="Z220" s="15"/>
    </row>
    <row r="221" spans="1:26" x14ac:dyDescent="0.3">
      <c r="A221" s="17"/>
      <c r="B221" s="17"/>
      <c r="C221" s="27" t="s">
        <v>469</v>
      </c>
      <c r="D221" s="17"/>
      <c r="E221" s="17"/>
      <c r="F221" s="17"/>
      <c r="G221" s="17"/>
      <c r="H221" s="17"/>
      <c r="I221" s="17"/>
      <c r="J221" s="17"/>
      <c r="K221" s="17"/>
      <c r="L221" s="15"/>
      <c r="M221" s="15"/>
      <c r="N221" s="15"/>
      <c r="O221" s="15"/>
      <c r="P221" s="15"/>
      <c r="Q221" s="15"/>
      <c r="R221" s="15"/>
      <c r="S221" s="15"/>
      <c r="T221" s="15"/>
      <c r="U221" s="15"/>
      <c r="V221" s="15"/>
      <c r="W221" s="15"/>
      <c r="X221" s="15"/>
      <c r="Y221" s="15"/>
      <c r="Z221" s="15"/>
    </row>
    <row r="222" spans="1:26" x14ac:dyDescent="0.3">
      <c r="A222" s="17"/>
      <c r="B222" s="17"/>
      <c r="C222" s="27" t="s">
        <v>470</v>
      </c>
      <c r="D222" s="17"/>
      <c r="E222" s="17"/>
      <c r="F222" s="17"/>
      <c r="G222" s="17"/>
      <c r="H222" s="17"/>
      <c r="I222" s="17"/>
      <c r="J222" s="17"/>
      <c r="K222" s="17"/>
      <c r="L222" s="15"/>
      <c r="M222" s="15"/>
      <c r="N222" s="15"/>
      <c r="O222" s="15"/>
      <c r="P222" s="15"/>
      <c r="Q222" s="15"/>
      <c r="R222" s="15"/>
      <c r="S222" s="15"/>
      <c r="T222" s="15"/>
      <c r="U222" s="15"/>
      <c r="V222" s="15"/>
      <c r="W222" s="15"/>
      <c r="X222" s="15"/>
      <c r="Y222" s="15"/>
      <c r="Z222" s="15"/>
    </row>
    <row r="223" spans="1:26" x14ac:dyDescent="0.3">
      <c r="A223" s="17"/>
      <c r="B223" s="17"/>
      <c r="C223" s="27" t="s">
        <v>471</v>
      </c>
      <c r="D223" s="17"/>
      <c r="E223" s="17"/>
      <c r="F223" s="17"/>
      <c r="G223" s="17"/>
      <c r="H223" s="17"/>
      <c r="I223" s="17"/>
      <c r="J223" s="17"/>
      <c r="K223" s="17"/>
      <c r="L223" s="15"/>
      <c r="M223" s="15"/>
      <c r="N223" s="15"/>
      <c r="O223" s="15"/>
      <c r="P223" s="15"/>
      <c r="Q223" s="15"/>
      <c r="R223" s="15"/>
      <c r="S223" s="15"/>
      <c r="T223" s="15"/>
      <c r="U223" s="15"/>
      <c r="V223" s="15"/>
      <c r="W223" s="15"/>
      <c r="X223" s="15"/>
      <c r="Y223" s="15"/>
      <c r="Z223" s="15"/>
    </row>
    <row r="224" spans="1:26" x14ac:dyDescent="0.3">
      <c r="A224" s="17"/>
      <c r="B224" s="17"/>
      <c r="C224" s="27" t="s">
        <v>472</v>
      </c>
      <c r="D224" s="17"/>
      <c r="E224" s="17"/>
      <c r="F224" s="17"/>
      <c r="G224" s="17"/>
      <c r="H224" s="17"/>
      <c r="I224" s="17"/>
      <c r="J224" s="17"/>
      <c r="K224" s="17"/>
      <c r="L224" s="15"/>
      <c r="M224" s="15"/>
      <c r="N224" s="15"/>
      <c r="O224" s="15"/>
      <c r="P224" s="15"/>
      <c r="Q224" s="15"/>
      <c r="R224" s="15"/>
      <c r="S224" s="15"/>
      <c r="T224" s="15"/>
      <c r="U224" s="15"/>
      <c r="V224" s="15"/>
      <c r="W224" s="15"/>
      <c r="X224" s="15"/>
      <c r="Y224" s="15"/>
      <c r="Z224" s="15"/>
    </row>
    <row r="225" spans="1:26" x14ac:dyDescent="0.3">
      <c r="A225" s="17"/>
      <c r="B225" s="17"/>
      <c r="C225" s="27" t="s">
        <v>473</v>
      </c>
      <c r="D225" s="17"/>
      <c r="E225" s="17"/>
      <c r="F225" s="17"/>
      <c r="G225" s="17"/>
      <c r="H225" s="17"/>
      <c r="I225" s="17"/>
      <c r="J225" s="17"/>
      <c r="K225" s="17"/>
      <c r="L225" s="15"/>
      <c r="M225" s="15"/>
      <c r="N225" s="15"/>
      <c r="O225" s="15"/>
      <c r="P225" s="15"/>
      <c r="Q225" s="15"/>
      <c r="R225" s="15"/>
      <c r="S225" s="15"/>
      <c r="T225" s="15"/>
      <c r="U225" s="15"/>
      <c r="V225" s="15"/>
      <c r="W225" s="15"/>
      <c r="X225" s="15"/>
      <c r="Y225" s="15"/>
      <c r="Z225" s="15"/>
    </row>
    <row r="226" spans="1:26" x14ac:dyDescent="0.3">
      <c r="A226" s="17"/>
      <c r="B226" s="17"/>
      <c r="C226" s="35" t="s">
        <v>474</v>
      </c>
      <c r="D226" s="17"/>
      <c r="E226" s="17"/>
      <c r="F226" s="17"/>
      <c r="G226" s="17"/>
      <c r="H226" s="17"/>
      <c r="I226" s="17"/>
      <c r="J226" s="17"/>
      <c r="K226" s="17"/>
      <c r="L226" s="15"/>
      <c r="M226" s="15"/>
      <c r="N226" s="15"/>
      <c r="O226" s="15"/>
      <c r="P226" s="15"/>
      <c r="Q226" s="15"/>
      <c r="R226" s="15"/>
      <c r="S226" s="15"/>
      <c r="T226" s="15"/>
      <c r="U226" s="15"/>
      <c r="V226" s="15"/>
      <c r="W226" s="15"/>
      <c r="X226" s="15"/>
      <c r="Y226" s="15"/>
      <c r="Z226" s="15"/>
    </row>
    <row r="227" spans="1:26" x14ac:dyDescent="0.3">
      <c r="A227" s="17"/>
      <c r="B227" s="17"/>
      <c r="C227" s="27" t="s">
        <v>475</v>
      </c>
      <c r="D227" s="17"/>
      <c r="E227" s="17"/>
      <c r="F227" s="17"/>
      <c r="G227" s="17"/>
      <c r="H227" s="17"/>
      <c r="I227" s="17"/>
      <c r="J227" s="17"/>
      <c r="K227" s="17"/>
      <c r="L227" s="15"/>
      <c r="M227" s="15"/>
      <c r="N227" s="15"/>
      <c r="O227" s="15"/>
      <c r="P227" s="15"/>
      <c r="Q227" s="15"/>
      <c r="R227" s="15"/>
      <c r="S227" s="15"/>
      <c r="T227" s="15"/>
      <c r="U227" s="15"/>
      <c r="V227" s="15"/>
      <c r="W227" s="15"/>
      <c r="X227" s="15"/>
      <c r="Y227" s="15"/>
      <c r="Z227" s="15"/>
    </row>
    <row r="228" spans="1:26" x14ac:dyDescent="0.3">
      <c r="A228" s="17"/>
      <c r="B228" s="17"/>
      <c r="C228" s="27" t="s">
        <v>476</v>
      </c>
      <c r="D228" s="17"/>
      <c r="E228" s="17"/>
      <c r="F228" s="17"/>
      <c r="G228" s="17"/>
      <c r="H228" s="17"/>
      <c r="I228" s="17"/>
      <c r="J228" s="17"/>
      <c r="K228" s="17"/>
      <c r="L228" s="15"/>
      <c r="M228" s="15"/>
      <c r="N228" s="15"/>
      <c r="O228" s="15"/>
      <c r="P228" s="15"/>
      <c r="Q228" s="15"/>
      <c r="R228" s="15"/>
      <c r="S228" s="15"/>
      <c r="T228" s="15"/>
      <c r="U228" s="15"/>
      <c r="V228" s="15"/>
      <c r="W228" s="15"/>
      <c r="X228" s="15"/>
      <c r="Y228" s="15"/>
      <c r="Z228" s="15"/>
    </row>
    <row r="229" spans="1:26" x14ac:dyDescent="0.3">
      <c r="A229" s="17"/>
      <c r="B229" s="17"/>
      <c r="C229" s="27" t="s">
        <v>477</v>
      </c>
      <c r="D229" s="17"/>
      <c r="E229" s="17"/>
      <c r="F229" s="17"/>
      <c r="G229" s="17"/>
      <c r="H229" s="17"/>
      <c r="I229" s="17"/>
      <c r="J229" s="17"/>
      <c r="K229" s="17"/>
      <c r="L229" s="15"/>
      <c r="M229" s="15"/>
      <c r="N229" s="15"/>
      <c r="O229" s="15"/>
      <c r="P229" s="15"/>
      <c r="Q229" s="15"/>
      <c r="R229" s="15"/>
      <c r="S229" s="15"/>
      <c r="T229" s="15"/>
      <c r="U229" s="15"/>
      <c r="V229" s="15"/>
      <c r="W229" s="15"/>
      <c r="X229" s="15"/>
      <c r="Y229" s="15"/>
      <c r="Z229" s="15"/>
    </row>
    <row r="230" spans="1:26" x14ac:dyDescent="0.3">
      <c r="A230" s="17"/>
      <c r="B230" s="17"/>
      <c r="C230" s="27" t="s">
        <v>478</v>
      </c>
      <c r="D230" s="17"/>
      <c r="E230" s="17"/>
      <c r="F230" s="17"/>
      <c r="G230" s="17"/>
      <c r="H230" s="17"/>
      <c r="I230" s="17"/>
      <c r="J230" s="17"/>
      <c r="K230" s="17"/>
      <c r="L230" s="15"/>
      <c r="M230" s="15"/>
      <c r="N230" s="15"/>
      <c r="O230" s="15"/>
      <c r="P230" s="15"/>
      <c r="Q230" s="15"/>
      <c r="R230" s="15"/>
      <c r="S230" s="15"/>
      <c r="T230" s="15"/>
      <c r="U230" s="15"/>
      <c r="V230" s="15"/>
      <c r="W230" s="15"/>
      <c r="X230" s="15"/>
      <c r="Y230" s="15"/>
      <c r="Z230" s="15"/>
    </row>
    <row r="231" spans="1:26" x14ac:dyDescent="0.3">
      <c r="A231" s="17"/>
      <c r="B231" s="17"/>
      <c r="C231" s="27" t="s">
        <v>479</v>
      </c>
      <c r="D231" s="17"/>
      <c r="E231" s="17"/>
      <c r="F231" s="17"/>
      <c r="G231" s="17"/>
      <c r="H231" s="17"/>
      <c r="I231" s="17"/>
      <c r="J231" s="17"/>
      <c r="K231" s="17"/>
      <c r="L231" s="15"/>
      <c r="M231" s="15"/>
      <c r="N231" s="15"/>
      <c r="O231" s="15"/>
      <c r="P231" s="15"/>
      <c r="Q231" s="15"/>
      <c r="R231" s="15"/>
      <c r="S231" s="15"/>
      <c r="T231" s="15"/>
      <c r="U231" s="15"/>
      <c r="V231" s="15"/>
      <c r="W231" s="15"/>
      <c r="X231" s="15"/>
      <c r="Y231" s="15"/>
      <c r="Z231" s="15"/>
    </row>
    <row r="232" spans="1:26" x14ac:dyDescent="0.3">
      <c r="A232" s="17"/>
      <c r="B232" s="17"/>
      <c r="C232" s="27" t="s">
        <v>480</v>
      </c>
      <c r="D232" s="17"/>
      <c r="E232" s="17"/>
      <c r="F232" s="17"/>
      <c r="G232" s="17"/>
      <c r="H232" s="17"/>
      <c r="I232" s="17"/>
      <c r="J232" s="17"/>
      <c r="K232" s="17"/>
      <c r="L232" s="15"/>
      <c r="M232" s="15"/>
      <c r="N232" s="15"/>
      <c r="O232" s="15"/>
      <c r="P232" s="15"/>
      <c r="Q232" s="15"/>
      <c r="R232" s="15"/>
      <c r="S232" s="15"/>
      <c r="T232" s="15"/>
      <c r="U232" s="15"/>
      <c r="V232" s="15"/>
      <c r="W232" s="15"/>
      <c r="X232" s="15"/>
      <c r="Y232" s="15"/>
      <c r="Z232" s="15"/>
    </row>
    <row r="233" spans="1:26" x14ac:dyDescent="0.3">
      <c r="A233" s="17"/>
      <c r="B233" s="17"/>
      <c r="C233" s="17"/>
      <c r="D233" s="17"/>
      <c r="E233" s="17"/>
      <c r="F233" s="17"/>
      <c r="G233" s="17"/>
      <c r="H233" s="17"/>
      <c r="I233" s="17"/>
      <c r="J233" s="17"/>
      <c r="K233" s="17"/>
      <c r="L233" s="15"/>
      <c r="M233" s="15"/>
      <c r="N233" s="15"/>
      <c r="O233" s="15"/>
      <c r="P233" s="15"/>
      <c r="Q233" s="15"/>
      <c r="R233" s="15"/>
      <c r="S233" s="15"/>
      <c r="T233" s="15"/>
      <c r="U233" s="15"/>
      <c r="V233" s="15"/>
      <c r="W233" s="15"/>
      <c r="X233" s="15"/>
      <c r="Y233" s="15"/>
      <c r="Z233" s="15"/>
    </row>
    <row r="234" spans="1:26" x14ac:dyDescent="0.3">
      <c r="A234" s="17"/>
      <c r="B234" s="17"/>
      <c r="C234" s="17"/>
      <c r="D234" s="17"/>
      <c r="E234" s="17"/>
      <c r="F234" s="17"/>
      <c r="G234" s="17"/>
      <c r="H234" s="17"/>
      <c r="I234" s="17"/>
      <c r="J234" s="17"/>
      <c r="K234" s="17"/>
      <c r="L234" s="15"/>
      <c r="M234" s="15"/>
      <c r="N234" s="15"/>
      <c r="O234" s="15"/>
      <c r="P234" s="15"/>
      <c r="Q234" s="15"/>
      <c r="R234" s="15"/>
      <c r="S234" s="15"/>
      <c r="T234" s="15"/>
      <c r="U234" s="15"/>
      <c r="V234" s="15"/>
      <c r="W234" s="15"/>
      <c r="X234" s="15"/>
      <c r="Y234" s="15"/>
      <c r="Z234" s="15"/>
    </row>
    <row r="235" spans="1:26" x14ac:dyDescent="0.3">
      <c r="A235" s="25">
        <v>2.1</v>
      </c>
      <c r="B235" s="26" t="s">
        <v>481</v>
      </c>
      <c r="C235" s="35" t="s">
        <v>482</v>
      </c>
      <c r="D235" s="17"/>
      <c r="E235" s="17"/>
      <c r="F235" s="17"/>
      <c r="G235" s="17"/>
      <c r="H235" s="17"/>
      <c r="I235" s="17"/>
      <c r="J235" s="17"/>
      <c r="K235" s="17"/>
      <c r="L235" s="15"/>
      <c r="M235" s="15"/>
      <c r="N235" s="15"/>
      <c r="O235" s="15"/>
      <c r="P235" s="15"/>
      <c r="Q235" s="15"/>
      <c r="R235" s="15"/>
      <c r="S235" s="15"/>
      <c r="T235" s="15"/>
      <c r="U235" s="15"/>
      <c r="V235" s="15"/>
      <c r="W235" s="15"/>
      <c r="X235" s="15"/>
      <c r="Y235" s="15"/>
      <c r="Z235" s="15"/>
    </row>
    <row r="236" spans="1:26" x14ac:dyDescent="0.3">
      <c r="A236" s="17"/>
      <c r="B236" s="17"/>
      <c r="C236" s="17" t="s">
        <v>483</v>
      </c>
      <c r="D236" s="17"/>
      <c r="E236" s="17"/>
      <c r="F236" s="17"/>
      <c r="G236" s="17"/>
      <c r="H236" s="17"/>
      <c r="I236" s="17"/>
      <c r="J236" s="17"/>
      <c r="K236" s="17"/>
      <c r="L236" s="15"/>
      <c r="M236" s="15"/>
      <c r="N236" s="15"/>
      <c r="O236" s="15"/>
      <c r="P236" s="15"/>
      <c r="Q236" s="15"/>
      <c r="R236" s="15"/>
      <c r="S236" s="15"/>
      <c r="T236" s="15"/>
      <c r="U236" s="15"/>
      <c r="V236" s="15"/>
      <c r="W236" s="15"/>
      <c r="X236" s="15"/>
      <c r="Y236" s="15"/>
      <c r="Z236" s="15"/>
    </row>
    <row r="237" spans="1:26" x14ac:dyDescent="0.3">
      <c r="A237" s="17"/>
      <c r="B237" s="17"/>
      <c r="C237" s="35" t="s">
        <v>484</v>
      </c>
      <c r="D237" s="17"/>
      <c r="E237" s="17"/>
      <c r="F237" s="17"/>
      <c r="G237" s="17"/>
      <c r="H237" s="17"/>
      <c r="I237" s="17"/>
      <c r="J237" s="17"/>
      <c r="K237" s="17"/>
      <c r="L237" s="15"/>
      <c r="M237" s="15"/>
      <c r="N237" s="15"/>
      <c r="O237" s="15"/>
      <c r="P237" s="15"/>
      <c r="Q237" s="15"/>
      <c r="R237" s="15"/>
      <c r="S237" s="15"/>
      <c r="T237" s="15"/>
      <c r="U237" s="15"/>
      <c r="V237" s="15"/>
      <c r="W237" s="15"/>
      <c r="X237" s="15"/>
      <c r="Y237" s="15"/>
      <c r="Z237" s="15"/>
    </row>
    <row r="238" spans="1:26" x14ac:dyDescent="0.3">
      <c r="A238" s="26" t="s">
        <v>485</v>
      </c>
      <c r="B238" s="26" t="s">
        <v>486</v>
      </c>
      <c r="C238" s="27" t="s">
        <v>487</v>
      </c>
      <c r="D238" s="26" t="s">
        <v>488</v>
      </c>
      <c r="E238" s="26"/>
      <c r="F238" s="24">
        <v>2406</v>
      </c>
      <c r="G238" s="24"/>
      <c r="H238" s="24"/>
      <c r="I238" s="24"/>
      <c r="J238" s="24"/>
      <c r="K238" s="24"/>
      <c r="L238" s="15"/>
      <c r="M238" s="15"/>
      <c r="N238" s="15"/>
      <c r="O238" s="15"/>
      <c r="P238" s="15"/>
      <c r="Q238" s="15"/>
      <c r="R238" s="15"/>
      <c r="S238" s="15"/>
      <c r="T238" s="15"/>
      <c r="U238" s="15"/>
      <c r="V238" s="15"/>
      <c r="W238" s="15"/>
      <c r="X238" s="15"/>
      <c r="Y238" s="15"/>
      <c r="Z238" s="15"/>
    </row>
    <row r="239" spans="1:26" x14ac:dyDescent="0.3">
      <c r="A239" s="26" t="s">
        <v>489</v>
      </c>
      <c r="B239" s="26" t="s">
        <v>490</v>
      </c>
      <c r="C239" s="27" t="s">
        <v>491</v>
      </c>
      <c r="D239" s="26" t="s">
        <v>492</v>
      </c>
      <c r="E239" s="26"/>
      <c r="F239" s="24">
        <v>743</v>
      </c>
      <c r="G239" s="24"/>
      <c r="H239" s="24"/>
      <c r="I239" s="24"/>
      <c r="J239" s="24"/>
      <c r="K239" s="24"/>
      <c r="L239" s="15"/>
      <c r="M239" s="15"/>
      <c r="N239" s="15"/>
      <c r="O239" s="15"/>
      <c r="P239" s="15"/>
      <c r="Q239" s="15"/>
      <c r="R239" s="15"/>
      <c r="S239" s="15"/>
      <c r="T239" s="15"/>
      <c r="U239" s="15"/>
      <c r="V239" s="15"/>
      <c r="W239" s="15"/>
      <c r="X239" s="15"/>
      <c r="Y239" s="15"/>
      <c r="Z239" s="15"/>
    </row>
    <row r="240" spans="1:26" x14ac:dyDescent="0.3">
      <c r="A240" s="26" t="s">
        <v>493</v>
      </c>
      <c r="B240" s="26" t="s">
        <v>494</v>
      </c>
      <c r="C240" s="27" t="s">
        <v>495</v>
      </c>
      <c r="D240" s="26" t="s">
        <v>496</v>
      </c>
      <c r="E240" s="26"/>
      <c r="F240" s="24">
        <v>880</v>
      </c>
      <c r="G240" s="24"/>
      <c r="H240" s="24"/>
      <c r="I240" s="24"/>
      <c r="J240" s="24"/>
      <c r="K240" s="24"/>
      <c r="L240" s="15"/>
      <c r="M240" s="15"/>
      <c r="N240" s="15"/>
      <c r="O240" s="15"/>
      <c r="P240" s="15"/>
      <c r="Q240" s="15"/>
      <c r="R240" s="15"/>
      <c r="S240" s="15"/>
      <c r="T240" s="15"/>
      <c r="U240" s="15"/>
      <c r="V240" s="15"/>
      <c r="W240" s="15"/>
      <c r="X240" s="15"/>
      <c r="Y240" s="15"/>
      <c r="Z240" s="15"/>
    </row>
    <row r="241" spans="1:26" x14ac:dyDescent="0.3">
      <c r="A241" s="26" t="s">
        <v>497</v>
      </c>
      <c r="B241" s="26" t="s">
        <v>498</v>
      </c>
      <c r="C241" s="27" t="s">
        <v>499</v>
      </c>
      <c r="D241" s="26" t="s">
        <v>500</v>
      </c>
      <c r="E241" s="26"/>
      <c r="F241" s="24">
        <v>546</v>
      </c>
      <c r="G241" s="24"/>
      <c r="H241" s="24"/>
      <c r="I241" s="24"/>
      <c r="J241" s="24"/>
      <c r="K241" s="24"/>
      <c r="L241" s="15"/>
      <c r="M241" s="15"/>
      <c r="N241" s="15"/>
      <c r="O241" s="15"/>
      <c r="P241" s="15"/>
      <c r="Q241" s="15"/>
      <c r="R241" s="15"/>
      <c r="S241" s="15"/>
      <c r="T241" s="15"/>
      <c r="U241" s="15"/>
      <c r="V241" s="15"/>
      <c r="W241" s="15"/>
      <c r="X241" s="15"/>
      <c r="Y241" s="15"/>
      <c r="Z241" s="15"/>
    </row>
    <row r="242" spans="1:26" x14ac:dyDescent="0.3">
      <c r="A242" s="26" t="s">
        <v>501</v>
      </c>
      <c r="B242" s="26" t="s">
        <v>502</v>
      </c>
      <c r="C242" s="27" t="s">
        <v>503</v>
      </c>
      <c r="D242" s="26" t="s">
        <v>504</v>
      </c>
      <c r="E242" s="26"/>
      <c r="F242" s="24">
        <v>371</v>
      </c>
      <c r="G242" s="24"/>
      <c r="H242" s="24"/>
      <c r="I242" s="24"/>
      <c r="J242" s="24"/>
      <c r="K242" s="24"/>
      <c r="L242" s="15"/>
      <c r="M242" s="15"/>
      <c r="N242" s="15"/>
      <c r="O242" s="15"/>
      <c r="P242" s="15"/>
      <c r="Q242" s="15"/>
      <c r="R242" s="15"/>
      <c r="S242" s="15"/>
      <c r="T242" s="15"/>
      <c r="U242" s="15"/>
      <c r="V242" s="15"/>
      <c r="W242" s="15"/>
      <c r="X242" s="15"/>
      <c r="Y242" s="15"/>
      <c r="Z242" s="15"/>
    </row>
    <row r="243" spans="1:26" x14ac:dyDescent="0.3">
      <c r="A243" s="17"/>
      <c r="B243" s="17"/>
      <c r="C243" s="17"/>
      <c r="D243" s="17"/>
      <c r="E243" s="17"/>
      <c r="F243" s="17"/>
      <c r="G243" s="17"/>
      <c r="H243" s="17"/>
      <c r="I243" s="17"/>
      <c r="J243" s="17"/>
      <c r="K243" s="17"/>
      <c r="L243" s="15"/>
      <c r="M243" s="15"/>
      <c r="N243" s="15"/>
      <c r="O243" s="15"/>
      <c r="P243" s="15"/>
      <c r="Q243" s="15"/>
      <c r="R243" s="15"/>
      <c r="S243" s="15"/>
      <c r="T243" s="15"/>
      <c r="U243" s="15"/>
      <c r="V243" s="15"/>
      <c r="W243" s="15"/>
      <c r="X243" s="15"/>
      <c r="Y243" s="15"/>
      <c r="Z243" s="15"/>
    </row>
    <row r="244" spans="1:26" x14ac:dyDescent="0.3">
      <c r="A244" s="25">
        <v>2.2000000000000002</v>
      </c>
      <c r="B244" s="17"/>
      <c r="C244" s="35" t="s">
        <v>505</v>
      </c>
      <c r="D244" s="17"/>
      <c r="E244" s="17"/>
      <c r="F244" s="17"/>
      <c r="G244" s="17"/>
      <c r="H244" s="17"/>
      <c r="I244" s="17"/>
      <c r="J244" s="17"/>
      <c r="K244" s="17"/>
      <c r="L244" s="15"/>
      <c r="M244" s="15"/>
      <c r="N244" s="15"/>
      <c r="O244" s="15"/>
      <c r="P244" s="15"/>
      <c r="Q244" s="15"/>
      <c r="R244" s="15"/>
      <c r="S244" s="15"/>
      <c r="T244" s="15"/>
      <c r="U244" s="15"/>
      <c r="V244" s="15"/>
      <c r="W244" s="15"/>
      <c r="X244" s="15"/>
      <c r="Y244" s="15"/>
      <c r="Z244" s="15"/>
    </row>
    <row r="245" spans="1:26" x14ac:dyDescent="0.3">
      <c r="A245" s="17"/>
      <c r="B245" s="17"/>
      <c r="C245" s="27" t="s">
        <v>506</v>
      </c>
      <c r="D245" s="17"/>
      <c r="E245" s="17"/>
      <c r="F245" s="17"/>
      <c r="G245" s="17"/>
      <c r="H245" s="17"/>
      <c r="I245" s="17"/>
      <c r="J245" s="17"/>
      <c r="K245" s="17"/>
      <c r="L245" s="15"/>
      <c r="M245" s="15"/>
      <c r="N245" s="15"/>
      <c r="O245" s="15"/>
      <c r="P245" s="15"/>
      <c r="Q245" s="15"/>
      <c r="R245" s="15"/>
      <c r="S245" s="15"/>
      <c r="T245" s="15"/>
      <c r="U245" s="15"/>
      <c r="V245" s="15"/>
      <c r="W245" s="15"/>
      <c r="X245" s="15"/>
      <c r="Y245" s="15"/>
      <c r="Z245" s="15"/>
    </row>
    <row r="246" spans="1:26" x14ac:dyDescent="0.3">
      <c r="A246" s="17"/>
      <c r="B246" s="17"/>
      <c r="C246" s="35" t="s">
        <v>507</v>
      </c>
      <c r="D246" s="17"/>
      <c r="E246" s="17"/>
      <c r="F246" s="17"/>
      <c r="G246" s="17"/>
      <c r="H246" s="17"/>
      <c r="I246" s="17"/>
      <c r="J246" s="17"/>
      <c r="K246" s="17"/>
      <c r="L246" s="15"/>
      <c r="M246" s="15"/>
      <c r="N246" s="15"/>
      <c r="O246" s="15"/>
      <c r="P246" s="15"/>
      <c r="Q246" s="15"/>
      <c r="R246" s="15"/>
      <c r="S246" s="15"/>
      <c r="T246" s="15"/>
      <c r="U246" s="15"/>
      <c r="V246" s="15"/>
      <c r="W246" s="15"/>
      <c r="X246" s="15"/>
      <c r="Y246" s="15"/>
      <c r="Z246" s="15"/>
    </row>
    <row r="247" spans="1:26" x14ac:dyDescent="0.3">
      <c r="A247" s="26" t="s">
        <v>508</v>
      </c>
      <c r="B247" s="26" t="s">
        <v>509</v>
      </c>
      <c r="C247" s="27" t="s">
        <v>510</v>
      </c>
      <c r="D247" s="26" t="s">
        <v>511</v>
      </c>
      <c r="E247" s="26"/>
      <c r="F247" s="24">
        <v>410</v>
      </c>
      <c r="G247" s="24"/>
      <c r="H247" s="24"/>
      <c r="I247" s="24"/>
      <c r="J247" s="24"/>
      <c r="K247" s="24"/>
      <c r="L247" s="15"/>
      <c r="M247" s="15"/>
      <c r="N247" s="15"/>
      <c r="O247" s="15"/>
      <c r="P247" s="15"/>
      <c r="Q247" s="15"/>
      <c r="R247" s="15"/>
      <c r="S247" s="15"/>
      <c r="T247" s="15"/>
      <c r="U247" s="15"/>
      <c r="V247" s="15"/>
      <c r="W247" s="15"/>
      <c r="X247" s="15"/>
      <c r="Y247" s="15"/>
      <c r="Z247" s="15"/>
    </row>
    <row r="248" spans="1:26" x14ac:dyDescent="0.3">
      <c r="A248" s="26" t="s">
        <v>512</v>
      </c>
      <c r="B248" s="26" t="s">
        <v>513</v>
      </c>
      <c r="C248" s="27" t="s">
        <v>514</v>
      </c>
      <c r="D248" s="26" t="s">
        <v>515</v>
      </c>
      <c r="E248" s="26"/>
      <c r="F248" s="24">
        <v>698</v>
      </c>
      <c r="G248" s="24"/>
      <c r="H248" s="24"/>
      <c r="I248" s="24"/>
      <c r="J248" s="24"/>
      <c r="K248" s="24"/>
      <c r="L248" s="15"/>
      <c r="M248" s="15"/>
      <c r="N248" s="15"/>
      <c r="O248" s="15"/>
      <c r="P248" s="15"/>
      <c r="Q248" s="15"/>
      <c r="R248" s="15"/>
      <c r="S248" s="15"/>
      <c r="T248" s="15"/>
      <c r="U248" s="15"/>
      <c r="V248" s="15"/>
      <c r="W248" s="15"/>
      <c r="X248" s="15"/>
      <c r="Y248" s="15"/>
      <c r="Z248" s="15"/>
    </row>
    <row r="249" spans="1:26" x14ac:dyDescent="0.3">
      <c r="A249" s="26" t="s">
        <v>516</v>
      </c>
      <c r="B249" s="26" t="s">
        <v>517</v>
      </c>
      <c r="C249" s="27" t="s">
        <v>518</v>
      </c>
      <c r="D249" s="26" t="s">
        <v>519</v>
      </c>
      <c r="E249" s="26"/>
      <c r="F249" s="24">
        <v>213</v>
      </c>
      <c r="G249" s="24"/>
      <c r="H249" s="24"/>
      <c r="I249" s="24"/>
      <c r="J249" s="24"/>
      <c r="K249" s="24"/>
      <c r="L249" s="15"/>
      <c r="M249" s="15"/>
      <c r="N249" s="15"/>
      <c r="O249" s="15"/>
      <c r="P249" s="15"/>
      <c r="Q249" s="15"/>
      <c r="R249" s="15"/>
      <c r="S249" s="15"/>
      <c r="T249" s="15"/>
      <c r="U249" s="15"/>
      <c r="V249" s="15"/>
      <c r="W249" s="15"/>
      <c r="X249" s="15"/>
      <c r="Y249" s="15"/>
      <c r="Z249" s="15"/>
    </row>
    <row r="250" spans="1:26" x14ac:dyDescent="0.3">
      <c r="A250" s="26" t="s">
        <v>520</v>
      </c>
      <c r="B250" s="26" t="s">
        <v>521</v>
      </c>
      <c r="C250" s="27" t="s">
        <v>522</v>
      </c>
      <c r="D250" s="26" t="s">
        <v>523</v>
      </c>
      <c r="E250" s="26"/>
      <c r="F250" s="24">
        <v>186</v>
      </c>
      <c r="G250" s="24"/>
      <c r="H250" s="24"/>
      <c r="I250" s="24"/>
      <c r="J250" s="24"/>
      <c r="K250" s="24"/>
      <c r="L250" s="15"/>
      <c r="M250" s="15"/>
      <c r="N250" s="15"/>
      <c r="O250" s="15"/>
      <c r="P250" s="15"/>
      <c r="Q250" s="15"/>
      <c r="R250" s="15"/>
      <c r="S250" s="15"/>
      <c r="T250" s="15"/>
      <c r="U250" s="15"/>
      <c r="V250" s="15"/>
      <c r="W250" s="15"/>
      <c r="X250" s="15"/>
      <c r="Y250" s="15"/>
      <c r="Z250" s="15"/>
    </row>
    <row r="251" spans="1:26" x14ac:dyDescent="0.3">
      <c r="A251" s="26" t="s">
        <v>524</v>
      </c>
      <c r="B251" s="26" t="s">
        <v>525</v>
      </c>
      <c r="C251" s="27" t="s">
        <v>526</v>
      </c>
      <c r="D251" s="26" t="s">
        <v>527</v>
      </c>
      <c r="E251" s="26"/>
      <c r="F251" s="24">
        <v>115</v>
      </c>
      <c r="G251" s="24"/>
      <c r="H251" s="24"/>
      <c r="I251" s="24"/>
      <c r="J251" s="24"/>
      <c r="K251" s="24"/>
      <c r="L251" s="15"/>
      <c r="M251" s="15"/>
      <c r="N251" s="15"/>
      <c r="O251" s="15"/>
      <c r="P251" s="15"/>
      <c r="Q251" s="15"/>
      <c r="R251" s="15"/>
      <c r="S251" s="15"/>
      <c r="T251" s="15"/>
      <c r="U251" s="15"/>
      <c r="V251" s="15"/>
      <c r="W251" s="15"/>
      <c r="X251" s="15"/>
      <c r="Y251" s="15"/>
      <c r="Z251" s="15"/>
    </row>
    <row r="252" spans="1:26" x14ac:dyDescent="0.3">
      <c r="A252" s="26" t="s">
        <v>528</v>
      </c>
      <c r="B252" s="26" t="s">
        <v>529</v>
      </c>
      <c r="C252" s="27" t="s">
        <v>530</v>
      </c>
      <c r="D252" s="26" t="s">
        <v>531</v>
      </c>
      <c r="E252" s="26"/>
      <c r="F252" s="24">
        <v>43</v>
      </c>
      <c r="G252" s="24"/>
      <c r="H252" s="24"/>
      <c r="I252" s="24"/>
      <c r="J252" s="24"/>
      <c r="K252" s="24"/>
      <c r="L252" s="15"/>
      <c r="M252" s="15"/>
      <c r="N252" s="15"/>
      <c r="O252" s="15"/>
      <c r="P252" s="15"/>
      <c r="Q252" s="15"/>
      <c r="R252" s="15"/>
      <c r="S252" s="15"/>
      <c r="T252" s="15"/>
      <c r="U252" s="15"/>
      <c r="V252" s="15"/>
      <c r="W252" s="15"/>
      <c r="X252" s="15"/>
      <c r="Y252" s="15"/>
      <c r="Z252" s="15"/>
    </row>
    <row r="253" spans="1:26" x14ac:dyDescent="0.3">
      <c r="A253" s="17"/>
      <c r="B253" s="17"/>
      <c r="C253" s="17"/>
      <c r="D253" s="17"/>
      <c r="E253" s="17"/>
      <c r="F253" s="17"/>
      <c r="G253" s="17"/>
      <c r="H253" s="17"/>
      <c r="I253" s="17"/>
      <c r="J253" s="17"/>
      <c r="K253" s="17"/>
      <c r="L253" s="15"/>
      <c r="M253" s="15"/>
      <c r="N253" s="15"/>
      <c r="O253" s="15"/>
      <c r="P253" s="15"/>
      <c r="Q253" s="15"/>
      <c r="R253" s="15"/>
      <c r="S253" s="15"/>
      <c r="T253" s="15"/>
      <c r="U253" s="15"/>
      <c r="V253" s="15"/>
      <c r="W253" s="15"/>
      <c r="X253" s="15"/>
      <c r="Y253" s="15"/>
      <c r="Z253" s="15"/>
    </row>
    <row r="254" spans="1:26" x14ac:dyDescent="0.3">
      <c r="A254" s="25">
        <v>2.2999999999999998</v>
      </c>
      <c r="B254" s="17"/>
      <c r="C254" s="35" t="s">
        <v>532</v>
      </c>
      <c r="D254" s="17"/>
      <c r="E254" s="17"/>
      <c r="F254" s="17"/>
      <c r="G254" s="17"/>
      <c r="H254" s="17"/>
      <c r="I254" s="17"/>
      <c r="J254" s="17"/>
      <c r="K254" s="17"/>
      <c r="L254" s="15"/>
      <c r="M254" s="15"/>
      <c r="N254" s="15"/>
      <c r="O254" s="15"/>
      <c r="P254" s="15"/>
      <c r="Q254" s="15"/>
      <c r="R254" s="15"/>
      <c r="S254" s="15"/>
      <c r="T254" s="15"/>
      <c r="U254" s="15"/>
      <c r="V254" s="15"/>
      <c r="W254" s="15"/>
      <c r="X254" s="15"/>
      <c r="Y254" s="15"/>
      <c r="Z254" s="15"/>
    </row>
    <row r="255" spans="1:26" x14ac:dyDescent="0.3">
      <c r="A255" s="17"/>
      <c r="B255" s="17"/>
      <c r="C255" s="17" t="s">
        <v>533</v>
      </c>
      <c r="D255" s="17"/>
      <c r="E255" s="17"/>
      <c r="F255" s="17"/>
      <c r="G255" s="17"/>
      <c r="H255" s="17"/>
      <c r="I255" s="17"/>
      <c r="J255" s="17"/>
      <c r="K255" s="17"/>
      <c r="L255" s="15"/>
      <c r="M255" s="15"/>
      <c r="N255" s="15"/>
      <c r="O255" s="15"/>
      <c r="P255" s="15"/>
      <c r="Q255" s="15"/>
      <c r="R255" s="15"/>
      <c r="S255" s="15"/>
      <c r="T255" s="15"/>
      <c r="U255" s="15"/>
      <c r="V255" s="15"/>
      <c r="W255" s="15"/>
      <c r="X255" s="15"/>
      <c r="Y255" s="15"/>
      <c r="Z255" s="15"/>
    </row>
    <row r="256" spans="1:26" x14ac:dyDescent="0.3">
      <c r="A256" s="17"/>
      <c r="B256" s="17"/>
      <c r="C256" s="35" t="s">
        <v>534</v>
      </c>
      <c r="D256" s="17"/>
      <c r="E256" s="17"/>
      <c r="F256" s="17"/>
      <c r="G256" s="17"/>
      <c r="H256" s="17"/>
      <c r="I256" s="17"/>
      <c r="J256" s="17"/>
      <c r="K256" s="17"/>
      <c r="L256" s="15"/>
      <c r="M256" s="15"/>
      <c r="N256" s="15"/>
      <c r="O256" s="15"/>
      <c r="P256" s="15"/>
      <c r="Q256" s="15"/>
      <c r="R256" s="15"/>
      <c r="S256" s="15"/>
      <c r="T256" s="15"/>
      <c r="U256" s="15"/>
      <c r="V256" s="15"/>
      <c r="W256" s="15"/>
      <c r="X256" s="15"/>
      <c r="Y256" s="15"/>
      <c r="Z256" s="15"/>
    </row>
    <row r="257" spans="1:26" x14ac:dyDescent="0.3">
      <c r="A257" s="26" t="s">
        <v>535</v>
      </c>
      <c r="B257" s="26" t="s">
        <v>536</v>
      </c>
      <c r="C257" s="27" t="s">
        <v>537</v>
      </c>
      <c r="D257" s="26" t="s">
        <v>538</v>
      </c>
      <c r="E257" s="26"/>
      <c r="F257" s="24">
        <v>165</v>
      </c>
      <c r="G257" s="24"/>
      <c r="H257" s="24"/>
      <c r="I257" s="24"/>
      <c r="J257" s="24"/>
      <c r="K257" s="24"/>
      <c r="L257" s="15"/>
      <c r="M257" s="15"/>
      <c r="N257" s="15"/>
      <c r="O257" s="15"/>
      <c r="P257" s="15"/>
      <c r="Q257" s="15"/>
      <c r="R257" s="15"/>
      <c r="S257" s="15"/>
      <c r="T257" s="15"/>
      <c r="U257" s="15"/>
      <c r="V257" s="15"/>
      <c r="W257" s="15"/>
      <c r="X257" s="15"/>
      <c r="Y257" s="15"/>
      <c r="Z257" s="15"/>
    </row>
    <row r="258" spans="1:26" x14ac:dyDescent="0.3">
      <c r="A258" s="26" t="s">
        <v>539</v>
      </c>
      <c r="B258" s="26" t="s">
        <v>540</v>
      </c>
      <c r="C258" s="27" t="s">
        <v>541</v>
      </c>
      <c r="D258" s="26" t="s">
        <v>542</v>
      </c>
      <c r="E258" s="26"/>
      <c r="F258" s="24">
        <v>142</v>
      </c>
      <c r="G258" s="24"/>
      <c r="H258" s="24"/>
      <c r="I258" s="24"/>
      <c r="J258" s="24"/>
      <c r="K258" s="24"/>
      <c r="L258" s="15"/>
      <c r="M258" s="15"/>
      <c r="N258" s="15"/>
      <c r="O258" s="15"/>
      <c r="P258" s="15"/>
      <c r="Q258" s="15"/>
      <c r="R258" s="15"/>
      <c r="S258" s="15"/>
      <c r="T258" s="15"/>
      <c r="U258" s="15"/>
      <c r="V258" s="15"/>
      <c r="W258" s="15"/>
      <c r="X258" s="15"/>
      <c r="Y258" s="15"/>
      <c r="Z258" s="15"/>
    </row>
    <row r="259" spans="1:26" x14ac:dyDescent="0.3">
      <c r="A259" s="26" t="s">
        <v>543</v>
      </c>
      <c r="B259" s="26" t="s">
        <v>544</v>
      </c>
      <c r="C259" s="27" t="s">
        <v>545</v>
      </c>
      <c r="D259" s="26" t="s">
        <v>546</v>
      </c>
      <c r="E259" s="26"/>
      <c r="F259" s="24">
        <v>121</v>
      </c>
      <c r="G259" s="24"/>
      <c r="H259" s="24"/>
      <c r="I259" s="24"/>
      <c r="J259" s="24"/>
      <c r="K259" s="24"/>
      <c r="L259" s="15"/>
      <c r="M259" s="15"/>
      <c r="N259" s="15"/>
      <c r="O259" s="15"/>
      <c r="P259" s="15"/>
      <c r="Q259" s="15"/>
      <c r="R259" s="15"/>
      <c r="S259" s="15"/>
      <c r="T259" s="15"/>
      <c r="U259" s="15"/>
      <c r="V259" s="15"/>
      <c r="W259" s="15"/>
      <c r="X259" s="15"/>
      <c r="Y259" s="15"/>
      <c r="Z259" s="15"/>
    </row>
    <row r="260" spans="1:26" x14ac:dyDescent="0.3">
      <c r="A260" s="17"/>
      <c r="B260" s="17"/>
      <c r="C260" s="17"/>
      <c r="D260" s="17"/>
      <c r="E260" s="17"/>
      <c r="F260" s="17"/>
      <c r="G260" s="17"/>
      <c r="H260" s="17"/>
      <c r="I260" s="17"/>
      <c r="J260" s="17"/>
      <c r="K260" s="17"/>
      <c r="L260" s="15"/>
      <c r="M260" s="15"/>
      <c r="N260" s="15"/>
      <c r="O260" s="15"/>
      <c r="P260" s="15"/>
      <c r="Q260" s="15"/>
      <c r="R260" s="15"/>
      <c r="S260" s="15"/>
      <c r="T260" s="15"/>
      <c r="U260" s="15"/>
      <c r="V260" s="15"/>
      <c r="W260" s="15"/>
      <c r="X260" s="15"/>
      <c r="Y260" s="15"/>
      <c r="Z260" s="15"/>
    </row>
    <row r="261" spans="1:26" x14ac:dyDescent="0.3">
      <c r="A261" s="25">
        <v>2.4</v>
      </c>
      <c r="B261" s="17"/>
      <c r="C261" s="35" t="s">
        <v>547</v>
      </c>
      <c r="D261" s="17"/>
      <c r="E261" s="17"/>
      <c r="F261" s="17"/>
      <c r="G261" s="17"/>
      <c r="H261" s="17"/>
      <c r="I261" s="17"/>
      <c r="J261" s="17"/>
      <c r="K261" s="17"/>
      <c r="L261" s="15"/>
      <c r="M261" s="15"/>
      <c r="N261" s="15"/>
      <c r="O261" s="15"/>
      <c r="P261" s="15"/>
      <c r="Q261" s="15"/>
      <c r="R261" s="15"/>
      <c r="S261" s="15"/>
      <c r="T261" s="15"/>
      <c r="U261" s="15"/>
      <c r="V261" s="15"/>
      <c r="W261" s="15"/>
      <c r="X261" s="15"/>
      <c r="Y261" s="15"/>
      <c r="Z261" s="15"/>
    </row>
    <row r="262" spans="1:26" x14ac:dyDescent="0.3">
      <c r="A262" s="17"/>
      <c r="B262" s="17"/>
      <c r="C262" s="17" t="s">
        <v>548</v>
      </c>
      <c r="D262" s="17"/>
      <c r="E262" s="17"/>
      <c r="F262" s="17"/>
      <c r="G262" s="17"/>
      <c r="H262" s="17"/>
      <c r="I262" s="17"/>
      <c r="J262" s="17"/>
      <c r="K262" s="17"/>
      <c r="L262" s="15"/>
      <c r="M262" s="15"/>
      <c r="N262" s="15"/>
      <c r="O262" s="15"/>
      <c r="P262" s="15"/>
      <c r="Q262" s="15"/>
      <c r="R262" s="15"/>
      <c r="S262" s="15"/>
      <c r="T262" s="15"/>
      <c r="U262" s="15"/>
      <c r="V262" s="15"/>
      <c r="W262" s="15"/>
      <c r="X262" s="15"/>
      <c r="Y262" s="15"/>
      <c r="Z262" s="15"/>
    </row>
    <row r="263" spans="1:26" x14ac:dyDescent="0.3">
      <c r="A263" s="17"/>
      <c r="B263" s="17"/>
      <c r="C263" s="35" t="s">
        <v>549</v>
      </c>
      <c r="D263" s="17"/>
      <c r="E263" s="17"/>
      <c r="F263" s="17"/>
      <c r="G263" s="17"/>
      <c r="H263" s="17"/>
      <c r="I263" s="17"/>
      <c r="J263" s="17"/>
      <c r="K263" s="17"/>
      <c r="L263" s="15"/>
      <c r="M263" s="15"/>
      <c r="N263" s="15"/>
      <c r="O263" s="15"/>
      <c r="P263" s="15"/>
      <c r="Q263" s="15"/>
      <c r="R263" s="15"/>
      <c r="S263" s="15"/>
      <c r="T263" s="15"/>
      <c r="U263" s="15"/>
      <c r="V263" s="15"/>
      <c r="W263" s="15"/>
      <c r="X263" s="15"/>
      <c r="Y263" s="15"/>
      <c r="Z263" s="15"/>
    </row>
    <row r="264" spans="1:26" x14ac:dyDescent="0.3">
      <c r="A264" s="26" t="s">
        <v>550</v>
      </c>
      <c r="B264" s="26" t="s">
        <v>551</v>
      </c>
      <c r="C264" s="27" t="s">
        <v>552</v>
      </c>
      <c r="D264" s="26" t="s">
        <v>553</v>
      </c>
      <c r="E264" s="26"/>
      <c r="F264" s="24">
        <v>1163</v>
      </c>
      <c r="G264" s="24"/>
      <c r="H264" s="24"/>
      <c r="I264" s="24"/>
      <c r="J264" s="24"/>
      <c r="K264" s="24"/>
      <c r="L264" s="15"/>
      <c r="M264" s="15"/>
      <c r="N264" s="15"/>
      <c r="O264" s="15"/>
      <c r="P264" s="15"/>
      <c r="Q264" s="15"/>
      <c r="R264" s="15"/>
      <c r="S264" s="15"/>
      <c r="T264" s="15"/>
      <c r="U264" s="15"/>
      <c r="V264" s="15"/>
      <c r="W264" s="15"/>
      <c r="X264" s="15"/>
      <c r="Y264" s="15"/>
      <c r="Z264" s="15"/>
    </row>
    <row r="265" spans="1:26" x14ac:dyDescent="0.3">
      <c r="A265" s="26" t="s">
        <v>554</v>
      </c>
      <c r="B265" s="26" t="s">
        <v>555</v>
      </c>
      <c r="C265" s="27" t="s">
        <v>556</v>
      </c>
      <c r="D265" s="26" t="s">
        <v>557</v>
      </c>
      <c r="E265" s="26"/>
      <c r="F265" s="24">
        <v>887</v>
      </c>
      <c r="G265" s="24"/>
      <c r="H265" s="24"/>
      <c r="I265" s="24"/>
      <c r="J265" s="24"/>
      <c r="K265" s="24"/>
      <c r="L265" s="15"/>
      <c r="M265" s="15"/>
      <c r="N265" s="15"/>
      <c r="O265" s="15"/>
      <c r="P265" s="15"/>
      <c r="Q265" s="15"/>
      <c r="R265" s="15"/>
      <c r="S265" s="15"/>
      <c r="T265" s="15"/>
      <c r="U265" s="15"/>
      <c r="V265" s="15"/>
      <c r="W265" s="15"/>
      <c r="X265" s="15"/>
      <c r="Y265" s="15"/>
      <c r="Z265" s="15"/>
    </row>
    <row r="266" spans="1:26" x14ac:dyDescent="0.3">
      <c r="A266" s="26" t="s">
        <v>558</v>
      </c>
      <c r="B266" s="26" t="s">
        <v>559</v>
      </c>
      <c r="C266" s="27" t="s">
        <v>560</v>
      </c>
      <c r="D266" s="26" t="s">
        <v>561</v>
      </c>
      <c r="E266" s="26"/>
      <c r="F266" s="24">
        <v>286</v>
      </c>
      <c r="G266" s="24"/>
      <c r="H266" s="24"/>
      <c r="I266" s="24"/>
      <c r="J266" s="24"/>
      <c r="K266" s="24"/>
      <c r="L266" s="15"/>
      <c r="M266" s="15"/>
      <c r="N266" s="15"/>
      <c r="O266" s="15"/>
      <c r="P266" s="15"/>
      <c r="Q266" s="15"/>
      <c r="R266" s="15"/>
      <c r="S266" s="15"/>
      <c r="T266" s="15"/>
      <c r="U266" s="15"/>
      <c r="V266" s="15"/>
      <c r="W266" s="15"/>
      <c r="X266" s="15"/>
      <c r="Y266" s="15"/>
      <c r="Z266" s="15"/>
    </row>
    <row r="267" spans="1:26" x14ac:dyDescent="0.3">
      <c r="A267" s="17"/>
      <c r="B267" s="17"/>
      <c r="C267" s="17"/>
      <c r="D267" s="17"/>
      <c r="E267" s="17"/>
      <c r="F267" s="17"/>
      <c r="G267" s="17"/>
      <c r="H267" s="17"/>
      <c r="I267" s="17"/>
      <c r="J267" s="17"/>
      <c r="K267" s="17"/>
      <c r="L267" s="15"/>
      <c r="M267" s="15"/>
      <c r="N267" s="15"/>
      <c r="O267" s="15"/>
      <c r="P267" s="15"/>
      <c r="Q267" s="15"/>
      <c r="R267" s="15"/>
      <c r="S267" s="15"/>
      <c r="T267" s="15"/>
      <c r="U267" s="15"/>
      <c r="V267" s="15"/>
      <c r="W267" s="15"/>
      <c r="X267" s="15"/>
      <c r="Y267" s="15"/>
      <c r="Z267" s="15"/>
    </row>
    <row r="268" spans="1:26" x14ac:dyDescent="0.3">
      <c r="A268" s="17"/>
      <c r="B268" s="17"/>
      <c r="C268" s="17"/>
      <c r="D268" s="17"/>
      <c r="E268" s="17"/>
      <c r="F268" s="17"/>
      <c r="G268" s="17"/>
      <c r="H268" s="17"/>
      <c r="I268" s="17"/>
      <c r="J268" s="17"/>
      <c r="K268" s="17"/>
      <c r="L268" s="15"/>
      <c r="M268" s="15"/>
      <c r="N268" s="15"/>
      <c r="O268" s="15"/>
      <c r="P268" s="15"/>
      <c r="Q268" s="15"/>
      <c r="R268" s="15"/>
      <c r="S268" s="15"/>
      <c r="T268" s="15"/>
      <c r="U268" s="15"/>
      <c r="V268" s="15"/>
      <c r="W268" s="15"/>
      <c r="X268" s="15"/>
      <c r="Y268" s="15"/>
      <c r="Z268" s="15"/>
    </row>
    <row r="269" spans="1:26" x14ac:dyDescent="0.3">
      <c r="A269" s="22"/>
      <c r="B269" s="22"/>
      <c r="C269" s="21" t="s">
        <v>562</v>
      </c>
      <c r="D269" s="22"/>
      <c r="E269" s="22"/>
      <c r="F269" s="22"/>
      <c r="G269" s="22"/>
      <c r="H269" s="22"/>
      <c r="I269" s="22"/>
      <c r="J269" s="22"/>
      <c r="K269" s="22"/>
      <c r="L269" s="15"/>
      <c r="M269" s="15"/>
      <c r="N269" s="15"/>
      <c r="O269" s="15"/>
      <c r="P269" s="15"/>
      <c r="Q269" s="15"/>
      <c r="R269" s="15"/>
      <c r="S269" s="15"/>
      <c r="T269" s="15"/>
      <c r="U269" s="15"/>
      <c r="V269" s="15"/>
      <c r="W269" s="15"/>
      <c r="X269" s="15"/>
      <c r="Y269" s="15"/>
      <c r="Z269" s="15"/>
    </row>
    <row r="270" spans="1:26" x14ac:dyDescent="0.3">
      <c r="A270" s="17"/>
      <c r="B270" s="17"/>
      <c r="C270" s="17"/>
      <c r="D270" s="17"/>
      <c r="E270" s="17"/>
      <c r="F270" s="17"/>
      <c r="G270" s="17"/>
      <c r="H270" s="17"/>
      <c r="I270" s="17"/>
      <c r="J270" s="17"/>
      <c r="K270" s="17"/>
      <c r="L270" s="15"/>
      <c r="M270" s="15"/>
      <c r="N270" s="15"/>
      <c r="O270" s="15"/>
      <c r="P270" s="15"/>
      <c r="Q270" s="15"/>
      <c r="R270" s="15"/>
      <c r="S270" s="15"/>
      <c r="T270" s="15"/>
      <c r="U270" s="15"/>
      <c r="V270" s="15"/>
      <c r="W270" s="15"/>
      <c r="X270" s="15"/>
      <c r="Y270" s="15"/>
      <c r="Z270" s="15"/>
    </row>
    <row r="271" spans="1:26" x14ac:dyDescent="0.3">
      <c r="A271" s="17"/>
      <c r="B271" s="17"/>
      <c r="C271" s="17"/>
      <c r="D271" s="17"/>
      <c r="E271" s="17"/>
      <c r="F271" s="17"/>
      <c r="G271" s="17"/>
      <c r="H271" s="17"/>
      <c r="I271" s="17"/>
      <c r="J271" s="17"/>
      <c r="K271" s="17"/>
      <c r="L271" s="15"/>
      <c r="M271" s="15"/>
      <c r="N271" s="15"/>
      <c r="O271" s="15"/>
      <c r="P271" s="15"/>
      <c r="Q271" s="15"/>
      <c r="R271" s="15"/>
      <c r="S271" s="15"/>
      <c r="T271" s="15"/>
      <c r="U271" s="15"/>
      <c r="V271" s="15"/>
      <c r="W271" s="15"/>
      <c r="X271" s="15"/>
      <c r="Y271" s="15"/>
      <c r="Z271" s="15"/>
    </row>
    <row r="272" spans="1:26" x14ac:dyDescent="0.3">
      <c r="A272" s="22" t="s">
        <v>563</v>
      </c>
      <c r="B272" s="21" t="s">
        <v>564</v>
      </c>
      <c r="C272" s="21" t="s">
        <v>565</v>
      </c>
      <c r="D272" s="22"/>
      <c r="E272" s="22"/>
      <c r="F272" s="22"/>
      <c r="G272" s="22"/>
      <c r="H272" s="22"/>
      <c r="I272" s="22"/>
      <c r="J272" s="22"/>
      <c r="K272" s="22"/>
      <c r="L272" s="15"/>
      <c r="M272" s="15"/>
      <c r="N272" s="15"/>
      <c r="O272" s="15"/>
      <c r="P272" s="15"/>
      <c r="Q272" s="15"/>
      <c r="R272" s="15"/>
      <c r="S272" s="15"/>
      <c r="T272" s="15"/>
      <c r="U272" s="15"/>
      <c r="V272" s="15"/>
      <c r="W272" s="15"/>
      <c r="X272" s="15"/>
      <c r="Y272" s="15"/>
      <c r="Z272" s="15"/>
    </row>
    <row r="273" spans="1:26" x14ac:dyDescent="0.3">
      <c r="A273" s="17"/>
      <c r="B273" s="17"/>
      <c r="C273" s="17"/>
      <c r="D273" s="17"/>
      <c r="E273" s="17"/>
      <c r="F273" s="17"/>
      <c r="G273" s="17"/>
      <c r="H273" s="17"/>
      <c r="I273" s="17"/>
      <c r="J273" s="17"/>
      <c r="K273" s="17"/>
      <c r="L273" s="15"/>
      <c r="M273" s="15"/>
      <c r="N273" s="15"/>
      <c r="O273" s="15"/>
      <c r="P273" s="15"/>
      <c r="Q273" s="15"/>
      <c r="R273" s="15"/>
      <c r="S273" s="15"/>
      <c r="T273" s="15"/>
      <c r="U273" s="15"/>
      <c r="V273" s="15"/>
      <c r="W273" s="15"/>
      <c r="X273" s="15"/>
      <c r="Y273" s="15"/>
      <c r="Z273" s="15"/>
    </row>
    <row r="274" spans="1:26" x14ac:dyDescent="0.3">
      <c r="A274" s="24">
        <v>1</v>
      </c>
      <c r="B274" s="27" t="s">
        <v>566</v>
      </c>
      <c r="C274" s="27" t="s">
        <v>567</v>
      </c>
      <c r="D274" s="26" t="s">
        <v>568</v>
      </c>
      <c r="E274" s="26"/>
      <c r="F274" s="33">
        <v>12</v>
      </c>
      <c r="G274" s="33"/>
      <c r="H274" s="33"/>
      <c r="I274" s="33"/>
      <c r="J274" s="33"/>
      <c r="K274" s="33"/>
      <c r="L274" s="15"/>
      <c r="M274" s="15"/>
      <c r="N274" s="15"/>
      <c r="O274" s="15"/>
      <c r="P274" s="15"/>
      <c r="Q274" s="15"/>
      <c r="R274" s="15"/>
      <c r="S274" s="15"/>
      <c r="T274" s="15"/>
      <c r="U274" s="15"/>
      <c r="V274" s="15"/>
      <c r="W274" s="15"/>
      <c r="X274" s="15"/>
      <c r="Y274" s="15"/>
      <c r="Z274" s="15"/>
    </row>
    <row r="275" spans="1:26" x14ac:dyDescent="0.3">
      <c r="A275" s="24">
        <v>2</v>
      </c>
      <c r="B275" s="27" t="s">
        <v>569</v>
      </c>
      <c r="C275" s="17" t="s">
        <v>570</v>
      </c>
      <c r="D275" s="26" t="s">
        <v>571</v>
      </c>
      <c r="E275" s="26"/>
      <c r="F275" s="24">
        <v>15</v>
      </c>
      <c r="G275" s="24"/>
      <c r="H275" s="24"/>
      <c r="I275" s="24"/>
      <c r="J275" s="24"/>
      <c r="K275" s="24"/>
      <c r="L275" s="15"/>
      <c r="M275" s="15"/>
      <c r="N275" s="15"/>
      <c r="O275" s="15"/>
      <c r="P275" s="15"/>
      <c r="Q275" s="15"/>
      <c r="R275" s="15"/>
      <c r="S275" s="15"/>
      <c r="T275" s="15"/>
      <c r="U275" s="15"/>
      <c r="V275" s="15"/>
      <c r="W275" s="15"/>
      <c r="X275" s="15"/>
      <c r="Y275" s="15"/>
      <c r="Z275" s="15"/>
    </row>
    <row r="276" spans="1:26" x14ac:dyDescent="0.3">
      <c r="A276" s="17"/>
      <c r="B276" s="17"/>
      <c r="C276" s="17"/>
      <c r="D276" s="17"/>
      <c r="E276" s="17"/>
      <c r="F276" s="17"/>
      <c r="G276" s="17"/>
      <c r="H276" s="17"/>
      <c r="I276" s="17"/>
      <c r="J276" s="17"/>
      <c r="K276" s="17"/>
      <c r="L276" s="15"/>
      <c r="M276" s="15"/>
      <c r="N276" s="15"/>
      <c r="O276" s="15"/>
      <c r="P276" s="15"/>
      <c r="Q276" s="15"/>
      <c r="R276" s="15"/>
      <c r="S276" s="15"/>
      <c r="T276" s="15"/>
      <c r="U276" s="15"/>
      <c r="V276" s="15"/>
      <c r="W276" s="15"/>
      <c r="X276" s="15"/>
      <c r="Y276" s="15"/>
      <c r="Z276" s="15"/>
    </row>
    <row r="277" spans="1:26" x14ac:dyDescent="0.3">
      <c r="A277" s="24">
        <v>3</v>
      </c>
      <c r="B277" s="27" t="s">
        <v>572</v>
      </c>
      <c r="C277" s="27" t="s">
        <v>573</v>
      </c>
      <c r="D277" s="26" t="s">
        <v>574</v>
      </c>
      <c r="E277" s="26"/>
      <c r="F277" s="24">
        <v>200</v>
      </c>
      <c r="G277" s="24"/>
      <c r="H277" s="24"/>
      <c r="I277" s="24"/>
      <c r="J277" s="24"/>
      <c r="K277" s="24"/>
      <c r="L277" s="15"/>
      <c r="M277" s="15"/>
      <c r="N277" s="15"/>
      <c r="O277" s="15"/>
      <c r="P277" s="15"/>
      <c r="Q277" s="15"/>
      <c r="R277" s="15"/>
      <c r="S277" s="15"/>
      <c r="T277" s="15"/>
      <c r="U277" s="15"/>
      <c r="V277" s="15"/>
      <c r="W277" s="15"/>
      <c r="X277" s="15"/>
      <c r="Y277" s="15"/>
      <c r="Z277" s="15"/>
    </row>
    <row r="278" spans="1:26" x14ac:dyDescent="0.3">
      <c r="A278" s="17"/>
      <c r="B278" s="17"/>
      <c r="C278" s="17"/>
      <c r="D278" s="17"/>
      <c r="E278" s="17"/>
      <c r="F278" s="17"/>
      <c r="G278" s="17"/>
      <c r="H278" s="17"/>
      <c r="I278" s="17"/>
      <c r="J278" s="17"/>
      <c r="K278" s="17"/>
      <c r="L278" s="15"/>
      <c r="M278" s="15"/>
      <c r="N278" s="15"/>
      <c r="O278" s="15"/>
      <c r="P278" s="15"/>
      <c r="Q278" s="15"/>
      <c r="R278" s="15"/>
      <c r="S278" s="15"/>
      <c r="T278" s="15"/>
      <c r="U278" s="15"/>
      <c r="V278" s="15"/>
      <c r="W278" s="15"/>
      <c r="X278" s="15"/>
      <c r="Y278" s="15"/>
      <c r="Z278" s="15"/>
    </row>
    <row r="279" spans="1:26" x14ac:dyDescent="0.3">
      <c r="A279" s="24">
        <v>4</v>
      </c>
      <c r="B279" s="27" t="s">
        <v>575</v>
      </c>
      <c r="C279" s="27" t="s">
        <v>576</v>
      </c>
      <c r="D279" s="26" t="s">
        <v>577</v>
      </c>
      <c r="E279" s="26"/>
      <c r="F279" s="24">
        <v>4000</v>
      </c>
      <c r="G279" s="24"/>
      <c r="H279" s="24"/>
      <c r="I279" s="24"/>
      <c r="J279" s="24"/>
      <c r="K279" s="24"/>
      <c r="L279" s="15"/>
      <c r="M279" s="15"/>
      <c r="N279" s="15"/>
      <c r="O279" s="15"/>
      <c r="P279" s="15"/>
      <c r="Q279" s="15"/>
      <c r="R279" s="15"/>
      <c r="S279" s="15"/>
      <c r="T279" s="15"/>
      <c r="U279" s="15"/>
      <c r="V279" s="15"/>
      <c r="W279" s="15"/>
      <c r="X279" s="15"/>
      <c r="Y279" s="15"/>
      <c r="Z279" s="15"/>
    </row>
    <row r="280" spans="1:26" x14ac:dyDescent="0.3">
      <c r="A280" s="17"/>
      <c r="B280" s="17"/>
      <c r="C280" s="17"/>
      <c r="D280" s="17"/>
      <c r="E280" s="17"/>
      <c r="F280" s="17"/>
      <c r="G280" s="17"/>
      <c r="H280" s="17"/>
      <c r="I280" s="17"/>
      <c r="J280" s="17"/>
      <c r="K280" s="17"/>
      <c r="L280" s="15"/>
      <c r="M280" s="15"/>
      <c r="N280" s="15"/>
      <c r="O280" s="15"/>
      <c r="P280" s="15"/>
      <c r="Q280" s="15"/>
      <c r="R280" s="15"/>
      <c r="S280" s="15"/>
      <c r="T280" s="15"/>
      <c r="U280" s="15"/>
      <c r="V280" s="15"/>
      <c r="W280" s="15"/>
      <c r="X280" s="15"/>
      <c r="Y280" s="15"/>
      <c r="Z280" s="15"/>
    </row>
    <row r="281" spans="1:26" x14ac:dyDescent="0.3">
      <c r="A281" s="24">
        <v>5</v>
      </c>
      <c r="B281" s="27" t="s">
        <v>578</v>
      </c>
      <c r="C281" s="27" t="s">
        <v>579</v>
      </c>
      <c r="D281" s="26" t="s">
        <v>580</v>
      </c>
      <c r="E281" s="26"/>
      <c r="F281" s="24">
        <v>1500</v>
      </c>
      <c r="G281" s="24"/>
      <c r="H281" s="24"/>
      <c r="I281" s="24"/>
      <c r="J281" s="24"/>
      <c r="K281" s="24"/>
      <c r="L281" s="15"/>
      <c r="M281" s="15"/>
      <c r="N281" s="15"/>
      <c r="O281" s="15"/>
      <c r="P281" s="15"/>
      <c r="Q281" s="15"/>
      <c r="R281" s="15"/>
      <c r="S281" s="15"/>
      <c r="T281" s="15"/>
      <c r="U281" s="15"/>
      <c r="V281" s="15"/>
      <c r="W281" s="15"/>
      <c r="X281" s="15"/>
      <c r="Y281" s="15"/>
      <c r="Z281" s="15"/>
    </row>
    <row r="282" spans="1:26" x14ac:dyDescent="0.3">
      <c r="A282" s="17"/>
      <c r="B282" s="17"/>
      <c r="C282" s="17"/>
      <c r="D282" s="17"/>
      <c r="E282" s="17"/>
      <c r="F282" s="17"/>
      <c r="G282" s="17"/>
      <c r="H282" s="17"/>
      <c r="I282" s="17"/>
      <c r="J282" s="17"/>
      <c r="K282" s="17"/>
      <c r="L282" s="15"/>
      <c r="M282" s="15"/>
      <c r="N282" s="15"/>
      <c r="O282" s="15"/>
      <c r="P282" s="15"/>
      <c r="Q282" s="15"/>
      <c r="R282" s="15"/>
      <c r="S282" s="15"/>
      <c r="T282" s="15"/>
      <c r="U282" s="15"/>
      <c r="V282" s="15"/>
      <c r="W282" s="15"/>
      <c r="X282" s="15"/>
      <c r="Y282" s="15"/>
      <c r="Z282" s="15"/>
    </row>
    <row r="283" spans="1:26" x14ac:dyDescent="0.3">
      <c r="A283" s="24">
        <v>6</v>
      </c>
      <c r="B283" s="27" t="s">
        <v>581</v>
      </c>
      <c r="C283" s="27" t="s">
        <v>582</v>
      </c>
      <c r="D283" s="26" t="s">
        <v>583</v>
      </c>
      <c r="E283" s="26"/>
      <c r="F283" s="24">
        <v>150</v>
      </c>
      <c r="G283" s="24"/>
      <c r="H283" s="24"/>
      <c r="I283" s="24"/>
      <c r="J283" s="24"/>
      <c r="K283" s="24"/>
      <c r="L283" s="15"/>
      <c r="M283" s="15"/>
      <c r="N283" s="15"/>
      <c r="O283" s="15"/>
      <c r="P283" s="15"/>
      <c r="Q283" s="15"/>
      <c r="R283" s="15"/>
      <c r="S283" s="15"/>
      <c r="T283" s="15"/>
      <c r="U283" s="15"/>
      <c r="V283" s="15"/>
      <c r="W283" s="15"/>
      <c r="X283" s="15"/>
      <c r="Y283" s="15"/>
      <c r="Z283" s="15"/>
    </row>
    <row r="284" spans="1:26" x14ac:dyDescent="0.3">
      <c r="A284" s="17"/>
      <c r="B284" s="17"/>
      <c r="C284" s="17"/>
      <c r="D284" s="17"/>
      <c r="E284" s="17"/>
      <c r="F284" s="17"/>
      <c r="G284" s="17"/>
      <c r="H284" s="17"/>
      <c r="I284" s="17"/>
      <c r="J284" s="17"/>
      <c r="K284" s="17"/>
      <c r="L284" s="15"/>
      <c r="M284" s="15"/>
      <c r="N284" s="15"/>
      <c r="O284" s="15"/>
      <c r="P284" s="15"/>
      <c r="Q284" s="15"/>
      <c r="R284" s="15"/>
      <c r="S284" s="15"/>
      <c r="T284" s="15"/>
      <c r="U284" s="15"/>
      <c r="V284" s="15"/>
      <c r="W284" s="15"/>
      <c r="X284" s="15"/>
      <c r="Y284" s="15"/>
      <c r="Z284" s="15"/>
    </row>
    <row r="285" spans="1:26" x14ac:dyDescent="0.3">
      <c r="A285" s="24">
        <v>7</v>
      </c>
      <c r="B285" s="26" t="s">
        <v>584</v>
      </c>
      <c r="C285" s="35" t="s">
        <v>585</v>
      </c>
      <c r="D285" s="17"/>
      <c r="E285" s="17"/>
      <c r="F285" s="17"/>
      <c r="G285" s="17"/>
      <c r="H285" s="17"/>
      <c r="I285" s="17"/>
      <c r="J285" s="17"/>
      <c r="K285" s="17"/>
      <c r="L285" s="15"/>
      <c r="M285" s="15"/>
      <c r="N285" s="15"/>
      <c r="O285" s="15"/>
      <c r="P285" s="15"/>
      <c r="Q285" s="15"/>
      <c r="R285" s="15"/>
      <c r="S285" s="15"/>
      <c r="T285" s="15"/>
      <c r="U285" s="15"/>
      <c r="V285" s="15"/>
      <c r="W285" s="15"/>
      <c r="X285" s="15"/>
      <c r="Y285" s="15"/>
      <c r="Z285" s="15"/>
    </row>
    <row r="286" spans="1:26" x14ac:dyDescent="0.3">
      <c r="A286" s="17"/>
      <c r="B286" s="17"/>
      <c r="C286" s="17" t="s">
        <v>586</v>
      </c>
      <c r="D286" s="17"/>
      <c r="E286" s="17"/>
      <c r="F286" s="17"/>
      <c r="G286" s="17"/>
      <c r="H286" s="17"/>
      <c r="I286" s="17"/>
      <c r="J286" s="17"/>
      <c r="K286" s="17"/>
      <c r="L286" s="15"/>
      <c r="M286" s="15"/>
      <c r="N286" s="15"/>
      <c r="O286" s="15"/>
      <c r="P286" s="15"/>
      <c r="Q286" s="15"/>
      <c r="R286" s="15"/>
      <c r="S286" s="15"/>
      <c r="T286" s="15"/>
      <c r="U286" s="15"/>
      <c r="V286" s="15"/>
      <c r="W286" s="15"/>
      <c r="X286" s="15"/>
      <c r="Y286" s="15"/>
      <c r="Z286" s="15"/>
    </row>
    <row r="287" spans="1:26" x14ac:dyDescent="0.3">
      <c r="A287" s="26" t="s">
        <v>587</v>
      </c>
      <c r="B287" s="17"/>
      <c r="C287" s="27" t="s">
        <v>588</v>
      </c>
      <c r="D287" s="26" t="s">
        <v>589</v>
      </c>
      <c r="E287" s="26"/>
      <c r="F287" s="24">
        <v>400</v>
      </c>
      <c r="G287" s="24"/>
      <c r="H287" s="24"/>
      <c r="I287" s="24"/>
      <c r="J287" s="24"/>
      <c r="K287" s="24"/>
      <c r="L287" s="15"/>
      <c r="M287" s="15"/>
      <c r="N287" s="15"/>
      <c r="O287" s="15"/>
      <c r="P287" s="15"/>
      <c r="Q287" s="15"/>
      <c r="R287" s="15"/>
      <c r="S287" s="15"/>
      <c r="T287" s="15"/>
      <c r="U287" s="15"/>
      <c r="V287" s="15"/>
      <c r="W287" s="15"/>
      <c r="X287" s="15"/>
      <c r="Y287" s="15"/>
      <c r="Z287" s="15"/>
    </row>
    <row r="288" spans="1:26" x14ac:dyDescent="0.3">
      <c r="A288" s="17"/>
      <c r="B288" s="17"/>
      <c r="C288" s="17"/>
      <c r="D288" s="17"/>
      <c r="E288" s="17"/>
      <c r="F288" s="17"/>
      <c r="G288" s="17"/>
      <c r="H288" s="17"/>
      <c r="I288" s="17"/>
      <c r="J288" s="17"/>
      <c r="K288" s="17"/>
      <c r="L288" s="15"/>
      <c r="M288" s="15"/>
      <c r="N288" s="15"/>
      <c r="O288" s="15"/>
      <c r="P288" s="15"/>
      <c r="Q288" s="15"/>
      <c r="R288" s="15"/>
      <c r="S288" s="15"/>
      <c r="T288" s="15"/>
      <c r="U288" s="15"/>
      <c r="V288" s="15"/>
      <c r="W288" s="15"/>
      <c r="X288" s="15"/>
      <c r="Y288" s="15"/>
      <c r="Z288" s="15"/>
    </row>
    <row r="289" spans="1:26" x14ac:dyDescent="0.3">
      <c r="A289" s="24">
        <v>8</v>
      </c>
      <c r="B289" s="26" t="s">
        <v>590</v>
      </c>
      <c r="C289" s="35" t="s">
        <v>591</v>
      </c>
      <c r="D289" s="17"/>
      <c r="E289" s="17"/>
      <c r="F289" s="17"/>
      <c r="G289" s="17"/>
      <c r="H289" s="17"/>
      <c r="I289" s="17"/>
      <c r="J289" s="17"/>
      <c r="K289" s="17"/>
      <c r="L289" s="15"/>
      <c r="M289" s="15"/>
      <c r="N289" s="15"/>
      <c r="O289" s="15"/>
      <c r="P289" s="15"/>
      <c r="Q289" s="15"/>
      <c r="R289" s="15"/>
      <c r="S289" s="15"/>
      <c r="T289" s="15"/>
      <c r="U289" s="15"/>
      <c r="V289" s="15"/>
      <c r="W289" s="15"/>
      <c r="X289" s="15"/>
      <c r="Y289" s="15"/>
      <c r="Z289" s="15"/>
    </row>
    <row r="290" spans="1:26" x14ac:dyDescent="0.3">
      <c r="A290" s="17"/>
      <c r="B290" s="17"/>
      <c r="C290" s="17" t="s">
        <v>592</v>
      </c>
      <c r="D290" s="17"/>
      <c r="E290" s="17"/>
      <c r="F290" s="17"/>
      <c r="G290" s="17"/>
      <c r="H290" s="17"/>
      <c r="I290" s="17"/>
      <c r="J290" s="17"/>
      <c r="K290" s="17"/>
      <c r="L290" s="15"/>
      <c r="M290" s="15"/>
      <c r="N290" s="15"/>
      <c r="O290" s="15"/>
      <c r="P290" s="15"/>
      <c r="Q290" s="15"/>
      <c r="R290" s="15"/>
      <c r="S290" s="15"/>
      <c r="T290" s="15"/>
      <c r="U290" s="15"/>
      <c r="V290" s="15"/>
      <c r="W290" s="15"/>
      <c r="X290" s="15"/>
      <c r="Y290" s="15"/>
      <c r="Z290" s="15"/>
    </row>
    <row r="291" spans="1:26" x14ac:dyDescent="0.3">
      <c r="A291" s="25">
        <v>8.1</v>
      </c>
      <c r="B291" s="26" t="s">
        <v>593</v>
      </c>
      <c r="C291" s="27" t="s">
        <v>594</v>
      </c>
      <c r="D291" s="26" t="s">
        <v>595</v>
      </c>
      <c r="E291" s="26"/>
      <c r="F291" s="24">
        <v>75</v>
      </c>
      <c r="G291" s="24"/>
      <c r="H291" s="24"/>
      <c r="I291" s="24"/>
      <c r="J291" s="24"/>
      <c r="K291" s="24"/>
      <c r="L291" s="15"/>
      <c r="M291" s="15"/>
      <c r="N291" s="15"/>
      <c r="O291" s="15"/>
      <c r="P291" s="15"/>
      <c r="Q291" s="15"/>
      <c r="R291" s="15"/>
      <c r="S291" s="15"/>
      <c r="T291" s="15"/>
      <c r="U291" s="15"/>
      <c r="V291" s="15"/>
      <c r="W291" s="15"/>
      <c r="X291" s="15"/>
      <c r="Y291" s="15"/>
      <c r="Z291" s="15"/>
    </row>
    <row r="292" spans="1:26" x14ac:dyDescent="0.3">
      <c r="A292" s="25">
        <v>8.1999999999999993</v>
      </c>
      <c r="B292" s="26" t="s">
        <v>596</v>
      </c>
      <c r="C292" s="27" t="s">
        <v>597</v>
      </c>
      <c r="D292" s="26" t="s">
        <v>598</v>
      </c>
      <c r="E292" s="26"/>
      <c r="F292" s="24">
        <v>75</v>
      </c>
      <c r="G292" s="24"/>
      <c r="H292" s="24"/>
      <c r="I292" s="24"/>
      <c r="J292" s="24"/>
      <c r="K292" s="24"/>
      <c r="L292" s="15"/>
      <c r="M292" s="15"/>
      <c r="N292" s="15"/>
      <c r="O292" s="15"/>
      <c r="P292" s="15"/>
      <c r="Q292" s="15"/>
      <c r="R292" s="15"/>
      <c r="S292" s="15"/>
      <c r="T292" s="15"/>
      <c r="U292" s="15"/>
      <c r="V292" s="15"/>
      <c r="W292" s="15"/>
      <c r="X292" s="15"/>
      <c r="Y292" s="15"/>
      <c r="Z292" s="15"/>
    </row>
    <row r="293" spans="1:26" x14ac:dyDescent="0.3">
      <c r="A293" s="25">
        <v>8.3000000000000007</v>
      </c>
      <c r="B293" s="26" t="s">
        <v>599</v>
      </c>
      <c r="C293" s="27" t="s">
        <v>600</v>
      </c>
      <c r="D293" s="26" t="s">
        <v>601</v>
      </c>
      <c r="E293" s="26"/>
      <c r="F293" s="24">
        <v>100</v>
      </c>
      <c r="G293" s="24"/>
      <c r="H293" s="24"/>
      <c r="I293" s="24"/>
      <c r="J293" s="24"/>
      <c r="K293" s="24"/>
      <c r="L293" s="15"/>
      <c r="M293" s="15"/>
      <c r="N293" s="15"/>
      <c r="O293" s="15"/>
      <c r="P293" s="15"/>
      <c r="Q293" s="15"/>
      <c r="R293" s="15"/>
      <c r="S293" s="15"/>
      <c r="T293" s="15"/>
      <c r="U293" s="15"/>
      <c r="V293" s="15"/>
      <c r="W293" s="15"/>
      <c r="X293" s="15"/>
      <c r="Y293" s="15"/>
      <c r="Z293" s="15"/>
    </row>
    <row r="294" spans="1:26" x14ac:dyDescent="0.3">
      <c r="A294" s="25">
        <v>8.4</v>
      </c>
      <c r="B294" s="26" t="s">
        <v>602</v>
      </c>
      <c r="C294" s="27" t="s">
        <v>603</v>
      </c>
      <c r="D294" s="26" t="s">
        <v>604</v>
      </c>
      <c r="E294" s="26"/>
      <c r="F294" s="24">
        <v>675</v>
      </c>
      <c r="G294" s="24"/>
      <c r="H294" s="24"/>
      <c r="I294" s="24"/>
      <c r="J294" s="24"/>
      <c r="K294" s="24"/>
      <c r="L294" s="15"/>
      <c r="M294" s="15"/>
      <c r="N294" s="15"/>
      <c r="O294" s="15"/>
      <c r="P294" s="15"/>
      <c r="Q294" s="15"/>
      <c r="R294" s="15"/>
      <c r="S294" s="15"/>
      <c r="T294" s="15"/>
      <c r="U294" s="15"/>
      <c r="V294" s="15"/>
      <c r="W294" s="15"/>
      <c r="X294" s="15"/>
      <c r="Y294" s="15"/>
      <c r="Z294" s="15"/>
    </row>
    <row r="295" spans="1:26" x14ac:dyDescent="0.3">
      <c r="A295" s="25">
        <v>8.5</v>
      </c>
      <c r="B295" s="26" t="s">
        <v>605</v>
      </c>
      <c r="C295" s="27" t="s">
        <v>606</v>
      </c>
      <c r="D295" s="26" t="s">
        <v>607</v>
      </c>
      <c r="E295" s="26"/>
      <c r="F295" s="24">
        <v>1500</v>
      </c>
      <c r="G295" s="24"/>
      <c r="H295" s="24"/>
      <c r="I295" s="24"/>
      <c r="J295" s="24"/>
      <c r="K295" s="24"/>
      <c r="L295" s="15"/>
      <c r="M295" s="15"/>
      <c r="N295" s="15"/>
      <c r="O295" s="15"/>
      <c r="P295" s="15"/>
      <c r="Q295" s="15"/>
      <c r="R295" s="15"/>
      <c r="S295" s="15"/>
      <c r="T295" s="15"/>
      <c r="U295" s="15"/>
      <c r="V295" s="15"/>
      <c r="W295" s="15"/>
      <c r="X295" s="15"/>
      <c r="Y295" s="15"/>
      <c r="Z295" s="15"/>
    </row>
    <row r="296" spans="1:26" x14ac:dyDescent="0.3">
      <c r="A296" s="17"/>
      <c r="B296" s="17"/>
      <c r="C296" s="17"/>
      <c r="D296" s="17"/>
      <c r="E296" s="17"/>
      <c r="F296" s="17"/>
      <c r="G296" s="17"/>
      <c r="H296" s="17"/>
      <c r="I296" s="17"/>
      <c r="J296" s="17"/>
      <c r="K296" s="17"/>
      <c r="L296" s="15"/>
      <c r="M296" s="15"/>
      <c r="N296" s="15"/>
      <c r="O296" s="15"/>
      <c r="P296" s="15"/>
      <c r="Q296" s="15"/>
      <c r="R296" s="15"/>
      <c r="S296" s="15"/>
      <c r="T296" s="15"/>
      <c r="U296" s="15"/>
      <c r="V296" s="15"/>
      <c r="W296" s="15"/>
      <c r="X296" s="15"/>
      <c r="Y296" s="15"/>
      <c r="Z296" s="15"/>
    </row>
    <row r="297" spans="1:26" x14ac:dyDescent="0.3">
      <c r="A297" s="24">
        <v>9</v>
      </c>
      <c r="B297" s="27" t="s">
        <v>608</v>
      </c>
      <c r="C297" s="27" t="s">
        <v>609</v>
      </c>
      <c r="D297" s="17"/>
      <c r="E297" s="17"/>
      <c r="F297" s="17"/>
      <c r="G297" s="17"/>
      <c r="H297" s="17"/>
      <c r="I297" s="17"/>
      <c r="J297" s="17"/>
      <c r="K297" s="17"/>
      <c r="L297" s="15"/>
      <c r="M297" s="15"/>
      <c r="N297" s="15"/>
      <c r="O297" s="15"/>
      <c r="P297" s="15"/>
      <c r="Q297" s="15"/>
      <c r="R297" s="15"/>
      <c r="S297" s="15"/>
      <c r="T297" s="15"/>
      <c r="U297" s="15"/>
      <c r="V297" s="15"/>
      <c r="W297" s="15"/>
      <c r="X297" s="15"/>
      <c r="Y297" s="15"/>
      <c r="Z297" s="15"/>
    </row>
    <row r="298" spans="1:26" x14ac:dyDescent="0.3">
      <c r="A298" s="17"/>
      <c r="B298" s="17"/>
      <c r="C298" s="17"/>
      <c r="D298" s="17"/>
      <c r="E298" s="17"/>
      <c r="F298" s="17"/>
      <c r="G298" s="17"/>
      <c r="H298" s="17"/>
      <c r="I298" s="17"/>
      <c r="J298" s="17"/>
      <c r="K298" s="17"/>
      <c r="L298" s="15"/>
      <c r="M298" s="15"/>
      <c r="N298" s="15"/>
      <c r="O298" s="15"/>
      <c r="P298" s="15"/>
      <c r="Q298" s="15"/>
      <c r="R298" s="15"/>
      <c r="S298" s="15"/>
      <c r="T298" s="15"/>
      <c r="U298" s="15"/>
      <c r="V298" s="15"/>
      <c r="W298" s="15"/>
      <c r="X298" s="15"/>
      <c r="Y298" s="15"/>
      <c r="Z298" s="15"/>
    </row>
    <row r="299" spans="1:26" x14ac:dyDescent="0.3">
      <c r="A299" s="25">
        <v>9.1</v>
      </c>
      <c r="B299" s="27" t="s">
        <v>610</v>
      </c>
      <c r="C299" s="27" t="s">
        <v>611</v>
      </c>
      <c r="D299" s="26" t="s">
        <v>612</v>
      </c>
      <c r="E299" s="26"/>
      <c r="F299" s="24">
        <v>2250</v>
      </c>
      <c r="G299" s="24"/>
      <c r="H299" s="24"/>
      <c r="I299" s="24"/>
      <c r="J299" s="24"/>
      <c r="K299" s="24"/>
      <c r="L299" s="15"/>
      <c r="M299" s="15"/>
      <c r="N299" s="15"/>
      <c r="O299" s="15"/>
      <c r="P299" s="15"/>
      <c r="Q299" s="15"/>
      <c r="R299" s="15"/>
      <c r="S299" s="15"/>
      <c r="T299" s="15"/>
      <c r="U299" s="15"/>
      <c r="V299" s="15"/>
      <c r="W299" s="15"/>
      <c r="X299" s="15"/>
      <c r="Y299" s="15"/>
      <c r="Z299" s="15"/>
    </row>
    <row r="300" spans="1:26" x14ac:dyDescent="0.3">
      <c r="A300" s="25">
        <v>9.1999999999999993</v>
      </c>
      <c r="B300" s="27" t="s">
        <v>613</v>
      </c>
      <c r="C300" s="27" t="s">
        <v>614</v>
      </c>
      <c r="D300" s="26" t="s">
        <v>615</v>
      </c>
      <c r="E300" s="26"/>
      <c r="F300" s="24">
        <v>75</v>
      </c>
      <c r="G300" s="24"/>
      <c r="H300" s="24"/>
      <c r="I300" s="24"/>
      <c r="J300" s="24"/>
      <c r="K300" s="24"/>
      <c r="L300" s="15"/>
      <c r="M300" s="15"/>
      <c r="N300" s="15"/>
      <c r="O300" s="15"/>
      <c r="P300" s="15"/>
      <c r="Q300" s="15"/>
      <c r="R300" s="15"/>
      <c r="S300" s="15"/>
      <c r="T300" s="15"/>
      <c r="U300" s="15"/>
      <c r="V300" s="15"/>
      <c r="W300" s="15"/>
      <c r="X300" s="15"/>
      <c r="Y300" s="15"/>
      <c r="Z300" s="15"/>
    </row>
    <row r="301" spans="1:26" x14ac:dyDescent="0.3">
      <c r="A301" s="25">
        <v>9.3000000000000007</v>
      </c>
      <c r="B301" s="27" t="s">
        <v>616</v>
      </c>
      <c r="C301" s="27" t="s">
        <v>617</v>
      </c>
      <c r="D301" s="26" t="s">
        <v>618</v>
      </c>
      <c r="E301" s="26"/>
      <c r="F301" s="24">
        <v>475</v>
      </c>
      <c r="G301" s="24"/>
      <c r="H301" s="24"/>
      <c r="I301" s="24"/>
      <c r="J301" s="24"/>
      <c r="K301" s="24"/>
      <c r="L301" s="15"/>
      <c r="M301" s="15"/>
      <c r="N301" s="15"/>
      <c r="O301" s="15"/>
      <c r="P301" s="15"/>
      <c r="Q301" s="15"/>
      <c r="R301" s="15"/>
      <c r="S301" s="15"/>
      <c r="T301" s="15"/>
      <c r="U301" s="15"/>
      <c r="V301" s="15"/>
      <c r="W301" s="15"/>
      <c r="X301" s="15"/>
      <c r="Y301" s="15"/>
      <c r="Z301" s="15"/>
    </row>
    <row r="302" spans="1:26" x14ac:dyDescent="0.3">
      <c r="A302" s="17"/>
      <c r="B302" s="17"/>
      <c r="C302" s="17"/>
      <c r="D302" s="17"/>
      <c r="E302" s="17"/>
      <c r="F302" s="17"/>
      <c r="G302" s="17"/>
      <c r="H302" s="17"/>
      <c r="I302" s="17"/>
      <c r="J302" s="17"/>
      <c r="K302" s="17"/>
      <c r="L302" s="15"/>
      <c r="M302" s="15"/>
      <c r="N302" s="15"/>
      <c r="O302" s="15"/>
      <c r="P302" s="15"/>
      <c r="Q302" s="15"/>
      <c r="R302" s="15"/>
      <c r="S302" s="15"/>
      <c r="T302" s="15"/>
      <c r="U302" s="15"/>
      <c r="V302" s="15"/>
      <c r="W302" s="15"/>
      <c r="X302" s="15"/>
      <c r="Y302" s="15"/>
      <c r="Z302" s="15"/>
    </row>
    <row r="303" spans="1:26" x14ac:dyDescent="0.3">
      <c r="A303" s="24">
        <v>10</v>
      </c>
      <c r="B303" s="26" t="s">
        <v>619</v>
      </c>
      <c r="C303" s="17" t="s">
        <v>620</v>
      </c>
      <c r="D303" s="17"/>
      <c r="E303" s="17"/>
      <c r="F303" s="17"/>
      <c r="G303" s="17"/>
      <c r="H303" s="17"/>
      <c r="I303" s="17"/>
      <c r="J303" s="17"/>
      <c r="K303" s="17"/>
      <c r="L303" s="15"/>
      <c r="M303" s="15"/>
      <c r="N303" s="15"/>
      <c r="O303" s="15"/>
      <c r="P303" s="15"/>
      <c r="Q303" s="15"/>
      <c r="R303" s="15"/>
      <c r="S303" s="15"/>
      <c r="T303" s="15"/>
      <c r="U303" s="15"/>
      <c r="V303" s="15"/>
      <c r="W303" s="15"/>
      <c r="X303" s="15"/>
      <c r="Y303" s="15"/>
      <c r="Z303" s="15"/>
    </row>
    <row r="304" spans="1:26" x14ac:dyDescent="0.3">
      <c r="A304" s="25">
        <v>10.1</v>
      </c>
      <c r="B304" s="26" t="s">
        <v>621</v>
      </c>
      <c r="C304" s="27" t="s">
        <v>622</v>
      </c>
      <c r="D304" s="26" t="s">
        <v>623</v>
      </c>
      <c r="E304" s="26"/>
      <c r="F304" s="24">
        <v>2000</v>
      </c>
      <c r="G304" s="24"/>
      <c r="H304" s="24"/>
      <c r="I304" s="24"/>
      <c r="J304" s="24"/>
      <c r="K304" s="24"/>
      <c r="L304" s="15"/>
      <c r="M304" s="15"/>
      <c r="N304" s="15"/>
      <c r="O304" s="15"/>
      <c r="P304" s="15"/>
      <c r="Q304" s="15"/>
      <c r="R304" s="15"/>
      <c r="S304" s="15"/>
      <c r="T304" s="15"/>
      <c r="U304" s="15"/>
      <c r="V304" s="15"/>
      <c r="W304" s="15"/>
      <c r="X304" s="15"/>
      <c r="Y304" s="15"/>
      <c r="Z304" s="15"/>
    </row>
    <row r="305" spans="1:26" x14ac:dyDescent="0.3">
      <c r="A305" s="25">
        <v>10.199999999999999</v>
      </c>
      <c r="B305" s="26" t="s">
        <v>624</v>
      </c>
      <c r="C305" s="27" t="s">
        <v>625</v>
      </c>
      <c r="D305" s="26" t="s">
        <v>626</v>
      </c>
      <c r="E305" s="26"/>
      <c r="F305" s="24">
        <v>500</v>
      </c>
      <c r="G305" s="24"/>
      <c r="H305" s="24"/>
      <c r="I305" s="24"/>
      <c r="J305" s="24"/>
      <c r="K305" s="24"/>
      <c r="L305" s="15"/>
      <c r="M305" s="15"/>
      <c r="N305" s="15"/>
      <c r="O305" s="15"/>
      <c r="P305" s="15"/>
      <c r="Q305" s="15"/>
      <c r="R305" s="15"/>
      <c r="S305" s="15"/>
      <c r="T305" s="15"/>
      <c r="U305" s="15"/>
      <c r="V305" s="15"/>
      <c r="W305" s="15"/>
      <c r="X305" s="15"/>
      <c r="Y305" s="15"/>
      <c r="Z305" s="15"/>
    </row>
    <row r="306" spans="1:26" x14ac:dyDescent="0.3">
      <c r="A306" s="17"/>
      <c r="B306" s="17"/>
      <c r="C306" s="17"/>
      <c r="D306" s="17"/>
      <c r="E306" s="17"/>
      <c r="F306" s="17"/>
      <c r="G306" s="17"/>
      <c r="H306" s="17"/>
      <c r="I306" s="17"/>
      <c r="J306" s="17"/>
      <c r="K306" s="17"/>
      <c r="L306" s="15"/>
      <c r="M306" s="15"/>
      <c r="N306" s="15"/>
      <c r="O306" s="15"/>
      <c r="P306" s="15"/>
      <c r="Q306" s="15"/>
      <c r="R306" s="15"/>
      <c r="S306" s="15"/>
      <c r="T306" s="15"/>
      <c r="U306" s="15"/>
      <c r="V306" s="15"/>
      <c r="W306" s="15"/>
      <c r="X306" s="15"/>
      <c r="Y306" s="15"/>
      <c r="Z306" s="15"/>
    </row>
    <row r="307" spans="1:26" x14ac:dyDescent="0.3">
      <c r="A307" s="24">
        <v>11</v>
      </c>
      <c r="B307" s="17"/>
      <c r="C307" s="35" t="s">
        <v>627</v>
      </c>
      <c r="D307" s="17"/>
      <c r="E307" s="17"/>
      <c r="F307" s="17"/>
      <c r="G307" s="17"/>
      <c r="H307" s="17"/>
      <c r="I307" s="17"/>
      <c r="J307" s="17"/>
      <c r="K307" s="17"/>
      <c r="L307" s="15"/>
      <c r="M307" s="15"/>
      <c r="N307" s="15"/>
      <c r="O307" s="15"/>
      <c r="P307" s="15"/>
      <c r="Q307" s="15"/>
      <c r="R307" s="15"/>
      <c r="S307" s="15"/>
      <c r="T307" s="15"/>
      <c r="U307" s="15"/>
      <c r="V307" s="15"/>
      <c r="W307" s="15"/>
      <c r="X307" s="15"/>
      <c r="Y307" s="15"/>
      <c r="Z307" s="15"/>
    </row>
    <row r="308" spans="1:26" x14ac:dyDescent="0.3">
      <c r="A308" s="25">
        <v>11.1</v>
      </c>
      <c r="B308" s="26" t="s">
        <v>628</v>
      </c>
      <c r="C308" s="27" t="s">
        <v>629</v>
      </c>
      <c r="D308" s="26" t="s">
        <v>630</v>
      </c>
      <c r="E308" s="26"/>
      <c r="F308" s="24">
        <v>12</v>
      </c>
      <c r="G308" s="24"/>
      <c r="H308" s="24"/>
      <c r="I308" s="24"/>
      <c r="J308" s="24"/>
      <c r="K308" s="24"/>
      <c r="L308" s="15"/>
      <c r="M308" s="15"/>
      <c r="N308" s="15"/>
      <c r="O308" s="15"/>
      <c r="P308" s="15"/>
      <c r="Q308" s="15"/>
      <c r="R308" s="15"/>
      <c r="S308" s="15"/>
      <c r="T308" s="15"/>
      <c r="U308" s="15"/>
      <c r="V308" s="15"/>
      <c r="W308" s="15"/>
      <c r="X308" s="15"/>
      <c r="Y308" s="15"/>
      <c r="Z308" s="15"/>
    </row>
    <row r="309" spans="1:26" x14ac:dyDescent="0.3">
      <c r="A309" s="22"/>
      <c r="B309" s="22"/>
      <c r="C309" s="21" t="s">
        <v>631</v>
      </c>
      <c r="D309" s="22"/>
      <c r="E309" s="22"/>
      <c r="F309" s="22"/>
      <c r="G309" s="22"/>
      <c r="H309" s="22"/>
      <c r="I309" s="22"/>
      <c r="J309" s="22"/>
      <c r="K309" s="22"/>
      <c r="L309" s="15"/>
      <c r="M309" s="15"/>
      <c r="N309" s="15"/>
      <c r="O309" s="15"/>
      <c r="P309" s="15"/>
      <c r="Q309" s="15"/>
      <c r="R309" s="15"/>
      <c r="S309" s="15"/>
      <c r="T309" s="15"/>
      <c r="U309" s="15"/>
      <c r="V309" s="15"/>
      <c r="W309" s="15"/>
      <c r="X309" s="15"/>
      <c r="Y309" s="15"/>
      <c r="Z309" s="15"/>
    </row>
    <row r="310" spans="1:26" x14ac:dyDescent="0.3">
      <c r="A310" s="17"/>
      <c r="B310" s="17"/>
      <c r="C310" s="17"/>
      <c r="D310" s="17"/>
      <c r="E310" s="17"/>
      <c r="F310" s="17"/>
      <c r="G310" s="17"/>
      <c r="H310" s="17"/>
      <c r="I310" s="17"/>
      <c r="J310" s="17"/>
      <c r="K310" s="17"/>
      <c r="L310" s="15"/>
      <c r="M310" s="15"/>
      <c r="N310" s="15"/>
      <c r="O310" s="15"/>
      <c r="P310" s="15"/>
      <c r="Q310" s="15"/>
      <c r="R310" s="15"/>
      <c r="S310" s="15"/>
      <c r="T310" s="15"/>
      <c r="U310" s="15"/>
      <c r="V310" s="15"/>
      <c r="W310" s="15"/>
      <c r="X310" s="15"/>
      <c r="Y310" s="15"/>
      <c r="Z310" s="15"/>
    </row>
    <row r="311" spans="1:26" x14ac:dyDescent="0.3">
      <c r="A311" s="20" t="s">
        <v>632</v>
      </c>
      <c r="B311" s="21" t="s">
        <v>633</v>
      </c>
      <c r="C311" s="21" t="s">
        <v>634</v>
      </c>
      <c r="D311" s="22"/>
      <c r="E311" s="22"/>
      <c r="F311" s="22"/>
      <c r="G311" s="22"/>
      <c r="H311" s="22"/>
      <c r="I311" s="22"/>
      <c r="J311" s="22"/>
      <c r="K311" s="22"/>
      <c r="L311" s="15"/>
      <c r="M311" s="15"/>
      <c r="N311" s="15"/>
      <c r="O311" s="15"/>
      <c r="P311" s="15"/>
      <c r="Q311" s="15"/>
      <c r="R311" s="15"/>
      <c r="S311" s="15"/>
      <c r="T311" s="15"/>
      <c r="U311" s="15"/>
      <c r="V311" s="15"/>
      <c r="W311" s="15"/>
      <c r="X311" s="15"/>
      <c r="Y311" s="15"/>
      <c r="Z311" s="15"/>
    </row>
    <row r="312" spans="1:26" x14ac:dyDescent="0.3">
      <c r="A312" s="17"/>
      <c r="B312" s="17"/>
      <c r="C312" s="17"/>
      <c r="D312" s="17"/>
      <c r="E312" s="17"/>
      <c r="F312" s="17"/>
      <c r="G312" s="17"/>
      <c r="H312" s="17"/>
      <c r="I312" s="17"/>
      <c r="J312" s="17"/>
      <c r="K312" s="17"/>
      <c r="L312" s="15"/>
      <c r="M312" s="15"/>
      <c r="N312" s="15"/>
      <c r="O312" s="15"/>
      <c r="P312" s="15"/>
      <c r="Q312" s="15"/>
      <c r="R312" s="15"/>
      <c r="S312" s="15"/>
      <c r="T312" s="15"/>
      <c r="U312" s="15"/>
      <c r="V312" s="15"/>
      <c r="W312" s="15"/>
      <c r="X312" s="15"/>
      <c r="Y312" s="15"/>
      <c r="Z312" s="15"/>
    </row>
    <row r="313" spans="1:26" x14ac:dyDescent="0.3">
      <c r="A313" s="17"/>
      <c r="B313" s="17"/>
      <c r="C313" s="27" t="s">
        <v>635</v>
      </c>
      <c r="D313" s="17"/>
      <c r="E313" s="17"/>
      <c r="F313" s="17"/>
      <c r="G313" s="17"/>
      <c r="H313" s="17"/>
      <c r="I313" s="17"/>
      <c r="J313" s="17"/>
      <c r="K313" s="17"/>
      <c r="L313" s="15"/>
      <c r="M313" s="15"/>
      <c r="N313" s="15"/>
      <c r="O313" s="15"/>
      <c r="P313" s="15"/>
      <c r="Q313" s="15"/>
      <c r="R313" s="15"/>
      <c r="S313" s="15"/>
      <c r="T313" s="15"/>
      <c r="U313" s="15"/>
      <c r="V313" s="15"/>
      <c r="W313" s="15"/>
      <c r="X313" s="15"/>
      <c r="Y313" s="15"/>
      <c r="Z313" s="15"/>
    </row>
    <row r="314" spans="1:26" x14ac:dyDescent="0.3">
      <c r="A314" s="17"/>
      <c r="B314" s="17"/>
      <c r="C314" s="27" t="s">
        <v>636</v>
      </c>
      <c r="D314" s="17"/>
      <c r="E314" s="17"/>
      <c r="F314" s="17"/>
      <c r="G314" s="17"/>
      <c r="H314" s="17"/>
      <c r="I314" s="17"/>
      <c r="J314" s="17"/>
      <c r="K314" s="17"/>
      <c r="L314" s="15"/>
      <c r="M314" s="15"/>
      <c r="N314" s="15"/>
      <c r="O314" s="15"/>
      <c r="P314" s="15"/>
      <c r="Q314" s="15"/>
      <c r="R314" s="15"/>
      <c r="S314" s="15"/>
      <c r="T314" s="15"/>
      <c r="U314" s="15"/>
      <c r="V314" s="15"/>
      <c r="W314" s="15"/>
      <c r="X314" s="15"/>
      <c r="Y314" s="15"/>
      <c r="Z314" s="15"/>
    </row>
    <row r="315" spans="1:26" x14ac:dyDescent="0.3">
      <c r="A315" s="17"/>
      <c r="B315" s="17"/>
      <c r="C315" s="27" t="s">
        <v>637</v>
      </c>
      <c r="D315" s="17"/>
      <c r="E315" s="17"/>
      <c r="F315" s="17"/>
      <c r="G315" s="17"/>
      <c r="H315" s="17"/>
      <c r="I315" s="17"/>
      <c r="J315" s="17"/>
      <c r="K315" s="17"/>
      <c r="L315" s="15"/>
      <c r="M315" s="15"/>
      <c r="N315" s="15"/>
      <c r="O315" s="15"/>
      <c r="P315" s="15"/>
      <c r="Q315" s="15"/>
      <c r="R315" s="15"/>
      <c r="S315" s="15"/>
      <c r="T315" s="15"/>
      <c r="U315" s="15"/>
      <c r="V315" s="15"/>
      <c r="W315" s="15"/>
      <c r="X315" s="15"/>
      <c r="Y315" s="15"/>
      <c r="Z315" s="15"/>
    </row>
    <row r="316" spans="1:26" x14ac:dyDescent="0.3">
      <c r="A316" s="17"/>
      <c r="B316" s="17"/>
      <c r="C316" s="27" t="s">
        <v>638</v>
      </c>
      <c r="D316" s="17"/>
      <c r="E316" s="17"/>
      <c r="F316" s="17"/>
      <c r="G316" s="17"/>
      <c r="H316" s="17"/>
      <c r="I316" s="17"/>
      <c r="J316" s="17"/>
      <c r="K316" s="17"/>
      <c r="L316" s="15"/>
      <c r="M316" s="15"/>
      <c r="N316" s="15"/>
      <c r="O316" s="15"/>
      <c r="P316" s="15"/>
      <c r="Q316" s="15"/>
      <c r="R316" s="15"/>
      <c r="S316" s="15"/>
      <c r="T316" s="15"/>
      <c r="U316" s="15"/>
      <c r="V316" s="15"/>
      <c r="W316" s="15"/>
      <c r="X316" s="15"/>
      <c r="Y316" s="15"/>
      <c r="Z316" s="15"/>
    </row>
    <row r="317" spans="1:26" x14ac:dyDescent="0.3">
      <c r="A317" s="17"/>
      <c r="B317" s="17"/>
      <c r="C317" s="27" t="s">
        <v>639</v>
      </c>
      <c r="D317" s="17"/>
      <c r="E317" s="17"/>
      <c r="F317" s="17"/>
      <c r="G317" s="17"/>
      <c r="H317" s="17"/>
      <c r="I317" s="17"/>
      <c r="J317" s="17"/>
      <c r="K317" s="17"/>
      <c r="L317" s="15"/>
      <c r="M317" s="15"/>
      <c r="N317" s="15"/>
      <c r="O317" s="15"/>
      <c r="P317" s="15"/>
      <c r="Q317" s="15"/>
      <c r="R317" s="15"/>
      <c r="S317" s="15"/>
      <c r="T317" s="15"/>
      <c r="U317" s="15"/>
      <c r="V317" s="15"/>
      <c r="W317" s="15"/>
      <c r="X317" s="15"/>
      <c r="Y317" s="15"/>
      <c r="Z317" s="15"/>
    </row>
    <row r="318" spans="1:26" x14ac:dyDescent="0.3">
      <c r="A318" s="17"/>
      <c r="B318" s="17"/>
      <c r="C318" s="27" t="s">
        <v>640</v>
      </c>
      <c r="D318" s="17"/>
      <c r="E318" s="17"/>
      <c r="F318" s="17"/>
      <c r="G318" s="17"/>
      <c r="H318" s="17"/>
      <c r="I318" s="17"/>
      <c r="J318" s="17"/>
      <c r="K318" s="17"/>
      <c r="L318" s="15"/>
      <c r="M318" s="15"/>
      <c r="N318" s="15"/>
      <c r="O318" s="15"/>
      <c r="P318" s="15"/>
      <c r="Q318" s="15"/>
      <c r="R318" s="15"/>
      <c r="S318" s="15"/>
      <c r="T318" s="15"/>
      <c r="U318" s="15"/>
      <c r="V318" s="15"/>
      <c r="W318" s="15"/>
      <c r="X318" s="15"/>
      <c r="Y318" s="15"/>
      <c r="Z318" s="15"/>
    </row>
    <row r="319" spans="1:26" x14ac:dyDescent="0.3">
      <c r="A319" s="17"/>
      <c r="B319" s="17"/>
      <c r="C319" s="27" t="s">
        <v>641</v>
      </c>
      <c r="D319" s="17"/>
      <c r="E319" s="17"/>
      <c r="F319" s="17"/>
      <c r="G319" s="17"/>
      <c r="H319" s="17"/>
      <c r="I319" s="17"/>
      <c r="J319" s="17"/>
      <c r="K319" s="17"/>
      <c r="L319" s="15"/>
      <c r="M319" s="15"/>
      <c r="N319" s="15"/>
      <c r="O319" s="15"/>
      <c r="P319" s="15"/>
      <c r="Q319" s="15"/>
      <c r="R319" s="15"/>
      <c r="S319" s="15"/>
      <c r="T319" s="15"/>
      <c r="U319" s="15"/>
      <c r="V319" s="15"/>
      <c r="W319" s="15"/>
      <c r="X319" s="15"/>
      <c r="Y319" s="15"/>
      <c r="Z319" s="15"/>
    </row>
    <row r="320" spans="1:26" x14ac:dyDescent="0.3">
      <c r="A320" s="17"/>
      <c r="B320" s="17"/>
      <c r="C320" s="27" t="s">
        <v>642</v>
      </c>
      <c r="D320" s="17"/>
      <c r="E320" s="17"/>
      <c r="F320" s="17"/>
      <c r="G320" s="17"/>
      <c r="H320" s="17"/>
      <c r="I320" s="17"/>
      <c r="J320" s="17"/>
      <c r="K320" s="17"/>
      <c r="L320" s="15"/>
      <c r="M320" s="15"/>
      <c r="N320" s="15"/>
      <c r="O320" s="15"/>
      <c r="P320" s="15"/>
      <c r="Q320" s="15"/>
      <c r="R320" s="15"/>
      <c r="S320" s="15"/>
      <c r="T320" s="15"/>
      <c r="U320" s="15"/>
      <c r="V320" s="15"/>
      <c r="W320" s="15"/>
      <c r="X320" s="15"/>
      <c r="Y320" s="15"/>
      <c r="Z320" s="15"/>
    </row>
    <row r="321" spans="1:26" x14ac:dyDescent="0.3">
      <c r="A321" s="17"/>
      <c r="B321" s="17"/>
      <c r="C321" s="27" t="s">
        <v>643</v>
      </c>
      <c r="D321" s="17"/>
      <c r="E321" s="17"/>
      <c r="F321" s="17"/>
      <c r="G321" s="17"/>
      <c r="H321" s="17"/>
      <c r="I321" s="17"/>
      <c r="J321" s="17"/>
      <c r="K321" s="17"/>
      <c r="L321" s="15"/>
      <c r="M321" s="15"/>
      <c r="N321" s="15"/>
      <c r="O321" s="15"/>
      <c r="P321" s="15"/>
      <c r="Q321" s="15"/>
      <c r="R321" s="15"/>
      <c r="S321" s="15"/>
      <c r="T321" s="15"/>
      <c r="U321" s="15"/>
      <c r="V321" s="15"/>
      <c r="W321" s="15"/>
      <c r="X321" s="15"/>
      <c r="Y321" s="15"/>
      <c r="Z321" s="15"/>
    </row>
    <row r="322" spans="1:26" x14ac:dyDescent="0.3">
      <c r="A322" s="17"/>
      <c r="B322" s="17"/>
      <c r="C322" s="27" t="s">
        <v>644</v>
      </c>
      <c r="D322" s="17"/>
      <c r="E322" s="17"/>
      <c r="F322" s="17"/>
      <c r="G322" s="17"/>
      <c r="H322" s="17"/>
      <c r="I322" s="17"/>
      <c r="J322" s="17"/>
      <c r="K322" s="17"/>
      <c r="L322" s="15"/>
      <c r="M322" s="15"/>
      <c r="N322" s="15"/>
      <c r="O322" s="15"/>
      <c r="P322" s="15"/>
      <c r="Q322" s="15"/>
      <c r="R322" s="15"/>
      <c r="S322" s="15"/>
      <c r="T322" s="15"/>
      <c r="U322" s="15"/>
      <c r="V322" s="15"/>
      <c r="W322" s="15"/>
      <c r="X322" s="15"/>
      <c r="Y322" s="15"/>
      <c r="Z322" s="15"/>
    </row>
    <row r="323" spans="1:26" x14ac:dyDescent="0.3">
      <c r="A323" s="17"/>
      <c r="B323" s="17"/>
      <c r="C323" s="27" t="s">
        <v>645</v>
      </c>
      <c r="D323" s="17"/>
      <c r="E323" s="17"/>
      <c r="F323" s="17"/>
      <c r="G323" s="17"/>
      <c r="H323" s="17"/>
      <c r="I323" s="17"/>
      <c r="J323" s="17"/>
      <c r="K323" s="17"/>
      <c r="L323" s="15"/>
      <c r="M323" s="15"/>
      <c r="N323" s="15"/>
      <c r="O323" s="15"/>
      <c r="P323" s="15"/>
      <c r="Q323" s="15"/>
      <c r="R323" s="15"/>
      <c r="S323" s="15"/>
      <c r="T323" s="15"/>
      <c r="U323" s="15"/>
      <c r="V323" s="15"/>
      <c r="W323" s="15"/>
      <c r="X323" s="15"/>
      <c r="Y323" s="15"/>
      <c r="Z323" s="15"/>
    </row>
    <row r="324" spans="1:26" x14ac:dyDescent="0.3">
      <c r="A324" s="17"/>
      <c r="B324" s="17"/>
      <c r="C324" s="27" t="s">
        <v>646</v>
      </c>
      <c r="D324" s="17"/>
      <c r="E324" s="17"/>
      <c r="F324" s="17"/>
      <c r="G324" s="17"/>
      <c r="H324" s="17"/>
      <c r="I324" s="17"/>
      <c r="J324" s="17"/>
      <c r="K324" s="17"/>
      <c r="L324" s="15"/>
      <c r="M324" s="15"/>
      <c r="N324" s="15"/>
      <c r="O324" s="15"/>
      <c r="P324" s="15"/>
      <c r="Q324" s="15"/>
      <c r="R324" s="15"/>
      <c r="S324" s="15"/>
      <c r="T324" s="15"/>
      <c r="U324" s="15"/>
      <c r="V324" s="15"/>
      <c r="W324" s="15"/>
      <c r="X324" s="15"/>
      <c r="Y324" s="15"/>
      <c r="Z324" s="15"/>
    </row>
    <row r="325" spans="1:26" x14ac:dyDescent="0.3">
      <c r="A325" s="17"/>
      <c r="B325" s="17"/>
      <c r="C325" s="27" t="s">
        <v>647</v>
      </c>
      <c r="D325" s="17"/>
      <c r="E325" s="17"/>
      <c r="F325" s="17"/>
      <c r="G325" s="17"/>
      <c r="H325" s="17"/>
      <c r="I325" s="17"/>
      <c r="J325" s="17"/>
      <c r="K325" s="17"/>
      <c r="L325" s="15"/>
      <c r="M325" s="15"/>
      <c r="N325" s="15"/>
      <c r="O325" s="15"/>
      <c r="P325" s="15"/>
      <c r="Q325" s="15"/>
      <c r="R325" s="15"/>
      <c r="S325" s="15"/>
      <c r="T325" s="15"/>
      <c r="U325" s="15"/>
      <c r="V325" s="15"/>
      <c r="W325" s="15"/>
      <c r="X325" s="15"/>
      <c r="Y325" s="15"/>
      <c r="Z325" s="15"/>
    </row>
    <row r="326" spans="1:26" x14ac:dyDescent="0.3">
      <c r="A326" s="17"/>
      <c r="B326" s="17"/>
      <c r="C326" s="27" t="s">
        <v>648</v>
      </c>
      <c r="D326" s="17"/>
      <c r="E326" s="17"/>
      <c r="F326" s="17"/>
      <c r="G326" s="17"/>
      <c r="H326" s="17"/>
      <c r="I326" s="17"/>
      <c r="J326" s="17"/>
      <c r="K326" s="17"/>
      <c r="L326" s="15"/>
      <c r="M326" s="15"/>
      <c r="N326" s="15"/>
      <c r="O326" s="15"/>
      <c r="P326" s="15"/>
      <c r="Q326" s="15"/>
      <c r="R326" s="15"/>
      <c r="S326" s="15"/>
      <c r="T326" s="15"/>
      <c r="U326" s="15"/>
      <c r="V326" s="15"/>
      <c r="W326" s="15"/>
      <c r="X326" s="15"/>
      <c r="Y326" s="15"/>
      <c r="Z326" s="15"/>
    </row>
    <row r="327" spans="1:26" x14ac:dyDescent="0.3">
      <c r="A327" s="17"/>
      <c r="B327" s="17"/>
      <c r="C327" s="27" t="s">
        <v>649</v>
      </c>
      <c r="D327" s="17"/>
      <c r="E327" s="17"/>
      <c r="F327" s="17"/>
      <c r="G327" s="17"/>
      <c r="H327" s="17"/>
      <c r="I327" s="17"/>
      <c r="J327" s="17"/>
      <c r="K327" s="17"/>
      <c r="L327" s="15"/>
      <c r="M327" s="15"/>
      <c r="N327" s="15"/>
      <c r="O327" s="15"/>
      <c r="P327" s="15"/>
      <c r="Q327" s="15"/>
      <c r="R327" s="15"/>
      <c r="S327" s="15"/>
      <c r="T327" s="15"/>
      <c r="U327" s="15"/>
      <c r="V327" s="15"/>
      <c r="W327" s="15"/>
      <c r="X327" s="15"/>
      <c r="Y327" s="15"/>
      <c r="Z327" s="15"/>
    </row>
    <row r="328" spans="1:26" x14ac:dyDescent="0.3">
      <c r="A328" s="17"/>
      <c r="B328" s="17"/>
      <c r="C328" s="27" t="s">
        <v>650</v>
      </c>
      <c r="D328" s="17"/>
      <c r="E328" s="17"/>
      <c r="F328" s="17"/>
      <c r="G328" s="17"/>
      <c r="H328" s="17"/>
      <c r="I328" s="17"/>
      <c r="J328" s="17"/>
      <c r="K328" s="17"/>
      <c r="L328" s="15"/>
      <c r="M328" s="15"/>
      <c r="N328" s="15"/>
      <c r="O328" s="15"/>
      <c r="P328" s="15"/>
      <c r="Q328" s="15"/>
      <c r="R328" s="15"/>
      <c r="S328" s="15"/>
      <c r="T328" s="15"/>
      <c r="U328" s="15"/>
      <c r="V328" s="15"/>
      <c r="W328" s="15"/>
      <c r="X328" s="15"/>
      <c r="Y328" s="15"/>
      <c r="Z328" s="15"/>
    </row>
    <row r="329" spans="1:26" x14ac:dyDescent="0.3">
      <c r="A329" s="17"/>
      <c r="B329" s="17"/>
      <c r="C329" s="27" t="s">
        <v>651</v>
      </c>
      <c r="D329" s="17"/>
      <c r="E329" s="17"/>
      <c r="F329" s="17"/>
      <c r="G329" s="17"/>
      <c r="H329" s="17"/>
      <c r="I329" s="17"/>
      <c r="J329" s="17"/>
      <c r="K329" s="17"/>
      <c r="L329" s="15"/>
      <c r="M329" s="15"/>
      <c r="N329" s="15"/>
      <c r="O329" s="15"/>
      <c r="P329" s="15"/>
      <c r="Q329" s="15"/>
      <c r="R329" s="15"/>
      <c r="S329" s="15"/>
      <c r="T329" s="15"/>
      <c r="U329" s="15"/>
      <c r="V329" s="15"/>
      <c r="W329" s="15"/>
      <c r="X329" s="15"/>
      <c r="Y329" s="15"/>
      <c r="Z329" s="15"/>
    </row>
    <row r="330" spans="1:26" x14ac:dyDescent="0.3">
      <c r="A330" s="17"/>
      <c r="B330" s="17"/>
      <c r="C330" s="27" t="s">
        <v>652</v>
      </c>
      <c r="D330" s="17"/>
      <c r="E330" s="17"/>
      <c r="F330" s="17"/>
      <c r="G330" s="17"/>
      <c r="H330" s="17"/>
      <c r="I330" s="17"/>
      <c r="J330" s="17"/>
      <c r="K330" s="17"/>
      <c r="L330" s="15"/>
      <c r="M330" s="15"/>
      <c r="N330" s="15"/>
      <c r="O330" s="15"/>
      <c r="P330" s="15"/>
      <c r="Q330" s="15"/>
      <c r="R330" s="15"/>
      <c r="S330" s="15"/>
      <c r="T330" s="15"/>
      <c r="U330" s="15"/>
      <c r="V330" s="15"/>
      <c r="W330" s="15"/>
      <c r="X330" s="15"/>
      <c r="Y330" s="15"/>
      <c r="Z330" s="15"/>
    </row>
    <row r="331" spans="1:26" x14ac:dyDescent="0.3">
      <c r="A331" s="17"/>
      <c r="B331" s="17"/>
      <c r="C331" s="27" t="s">
        <v>653</v>
      </c>
      <c r="D331" s="17"/>
      <c r="E331" s="17"/>
      <c r="F331" s="17"/>
      <c r="G331" s="17"/>
      <c r="H331" s="17"/>
      <c r="I331" s="17"/>
      <c r="J331" s="17"/>
      <c r="K331" s="17"/>
      <c r="L331" s="15"/>
      <c r="M331" s="15"/>
      <c r="N331" s="15"/>
      <c r="O331" s="15"/>
      <c r="P331" s="15"/>
      <c r="Q331" s="15"/>
      <c r="R331" s="15"/>
      <c r="S331" s="15"/>
      <c r="T331" s="15"/>
      <c r="U331" s="15"/>
      <c r="V331" s="15"/>
      <c r="W331" s="15"/>
      <c r="X331" s="15"/>
      <c r="Y331" s="15"/>
      <c r="Z331" s="15"/>
    </row>
    <row r="332" spans="1:26" x14ac:dyDescent="0.3">
      <c r="A332" s="17"/>
      <c r="B332" s="17"/>
      <c r="C332" s="27" t="s">
        <v>654</v>
      </c>
      <c r="D332" s="17"/>
      <c r="E332" s="17"/>
      <c r="F332" s="17"/>
      <c r="G332" s="17"/>
      <c r="H332" s="17"/>
      <c r="I332" s="17"/>
      <c r="J332" s="17"/>
      <c r="K332" s="17"/>
      <c r="L332" s="15"/>
      <c r="M332" s="15"/>
      <c r="N332" s="15"/>
      <c r="O332" s="15"/>
      <c r="P332" s="15"/>
      <c r="Q332" s="15"/>
      <c r="R332" s="15"/>
      <c r="S332" s="15"/>
      <c r="T332" s="15"/>
      <c r="U332" s="15"/>
      <c r="V332" s="15"/>
      <c r="W332" s="15"/>
      <c r="X332" s="15"/>
      <c r="Y332" s="15"/>
      <c r="Z332" s="15"/>
    </row>
    <row r="333" spans="1:26" x14ac:dyDescent="0.3">
      <c r="A333" s="17"/>
      <c r="B333" s="17"/>
      <c r="C333" s="27" t="s">
        <v>655</v>
      </c>
      <c r="D333" s="17"/>
      <c r="E333" s="17"/>
      <c r="F333" s="17"/>
      <c r="G333" s="17"/>
      <c r="H333" s="17"/>
      <c r="I333" s="17"/>
      <c r="J333" s="17"/>
      <c r="K333" s="17"/>
      <c r="L333" s="15"/>
      <c r="M333" s="15"/>
      <c r="N333" s="15"/>
      <c r="O333" s="15"/>
      <c r="P333" s="15"/>
      <c r="Q333" s="15"/>
      <c r="R333" s="15"/>
      <c r="S333" s="15"/>
      <c r="T333" s="15"/>
      <c r="U333" s="15"/>
      <c r="V333" s="15"/>
      <c r="W333" s="15"/>
      <c r="X333" s="15"/>
      <c r="Y333" s="15"/>
      <c r="Z333" s="15"/>
    </row>
    <row r="334" spans="1:26" x14ac:dyDescent="0.3">
      <c r="A334" s="17"/>
      <c r="B334" s="17"/>
      <c r="C334" s="27" t="s">
        <v>656</v>
      </c>
      <c r="D334" s="17"/>
      <c r="E334" s="17"/>
      <c r="F334" s="17"/>
      <c r="G334" s="17"/>
      <c r="H334" s="17"/>
      <c r="I334" s="17"/>
      <c r="J334" s="17"/>
      <c r="K334" s="17"/>
      <c r="L334" s="15"/>
      <c r="M334" s="15"/>
      <c r="N334" s="15"/>
      <c r="O334" s="15"/>
      <c r="P334" s="15"/>
      <c r="Q334" s="15"/>
      <c r="R334" s="15"/>
      <c r="S334" s="15"/>
      <c r="T334" s="15"/>
      <c r="U334" s="15"/>
      <c r="V334" s="15"/>
      <c r="W334" s="15"/>
      <c r="X334" s="15"/>
      <c r="Y334" s="15"/>
      <c r="Z334" s="15"/>
    </row>
    <row r="335" spans="1:26" x14ac:dyDescent="0.3">
      <c r="A335" s="17"/>
      <c r="B335" s="17"/>
      <c r="C335" s="27" t="s">
        <v>657</v>
      </c>
      <c r="D335" s="17"/>
      <c r="E335" s="17"/>
      <c r="F335" s="17"/>
      <c r="G335" s="17"/>
      <c r="H335" s="17"/>
      <c r="I335" s="17"/>
      <c r="J335" s="17"/>
      <c r="K335" s="17"/>
      <c r="L335" s="15"/>
      <c r="M335" s="15"/>
      <c r="N335" s="15"/>
      <c r="O335" s="15"/>
      <c r="P335" s="15"/>
      <c r="Q335" s="15"/>
      <c r="R335" s="15"/>
      <c r="S335" s="15"/>
      <c r="T335" s="15"/>
      <c r="U335" s="15"/>
      <c r="V335" s="15"/>
      <c r="W335" s="15"/>
      <c r="X335" s="15"/>
      <c r="Y335" s="15"/>
      <c r="Z335" s="15"/>
    </row>
    <row r="336" spans="1:26" x14ac:dyDescent="0.3">
      <c r="A336" s="17"/>
      <c r="B336" s="17"/>
      <c r="C336" s="27" t="s">
        <v>658</v>
      </c>
      <c r="D336" s="17"/>
      <c r="E336" s="17"/>
      <c r="F336" s="17"/>
      <c r="G336" s="17"/>
      <c r="H336" s="17"/>
      <c r="I336" s="17"/>
      <c r="J336" s="17"/>
      <c r="K336" s="17"/>
      <c r="L336" s="15"/>
      <c r="M336" s="15"/>
      <c r="N336" s="15"/>
      <c r="O336" s="15"/>
      <c r="P336" s="15"/>
      <c r="Q336" s="15"/>
      <c r="R336" s="15"/>
      <c r="S336" s="15"/>
      <c r="T336" s="15"/>
      <c r="U336" s="15"/>
      <c r="V336" s="15"/>
      <c r="W336" s="15"/>
      <c r="X336" s="15"/>
      <c r="Y336" s="15"/>
      <c r="Z336" s="15"/>
    </row>
    <row r="337" spans="1:26" x14ac:dyDescent="0.3">
      <c r="A337" s="17"/>
      <c r="B337" s="17"/>
      <c r="C337" s="27" t="s">
        <v>659</v>
      </c>
      <c r="D337" s="17"/>
      <c r="E337" s="17"/>
      <c r="F337" s="17"/>
      <c r="G337" s="17"/>
      <c r="H337" s="17"/>
      <c r="I337" s="17"/>
      <c r="J337" s="17"/>
      <c r="K337" s="17"/>
      <c r="L337" s="15"/>
      <c r="M337" s="15"/>
      <c r="N337" s="15"/>
      <c r="O337" s="15"/>
      <c r="P337" s="15"/>
      <c r="Q337" s="15"/>
      <c r="R337" s="15"/>
      <c r="S337" s="15"/>
      <c r="T337" s="15"/>
      <c r="U337" s="15"/>
      <c r="V337" s="15"/>
      <c r="W337" s="15"/>
      <c r="X337" s="15"/>
      <c r="Y337" s="15"/>
      <c r="Z337" s="15"/>
    </row>
    <row r="338" spans="1:26" x14ac:dyDescent="0.3">
      <c r="A338" s="17"/>
      <c r="B338" s="17"/>
      <c r="C338" s="27" t="s">
        <v>660</v>
      </c>
      <c r="D338" s="17"/>
      <c r="E338" s="17"/>
      <c r="F338" s="17"/>
      <c r="G338" s="17"/>
      <c r="H338" s="17"/>
      <c r="I338" s="17"/>
      <c r="J338" s="17"/>
      <c r="K338" s="17"/>
      <c r="L338" s="15"/>
      <c r="M338" s="15"/>
      <c r="N338" s="15"/>
      <c r="O338" s="15"/>
      <c r="P338" s="15"/>
      <c r="Q338" s="15"/>
      <c r="R338" s="15"/>
      <c r="S338" s="15"/>
      <c r="T338" s="15"/>
      <c r="U338" s="15"/>
      <c r="V338" s="15"/>
      <c r="W338" s="15"/>
      <c r="X338" s="15"/>
      <c r="Y338" s="15"/>
      <c r="Z338" s="15"/>
    </row>
    <row r="339" spans="1:26" x14ac:dyDescent="0.3">
      <c r="A339" s="17"/>
      <c r="B339" s="17"/>
      <c r="C339" s="27" t="s">
        <v>661</v>
      </c>
      <c r="D339" s="17"/>
      <c r="E339" s="17"/>
      <c r="F339" s="17"/>
      <c r="G339" s="17"/>
      <c r="H339" s="17"/>
      <c r="I339" s="17"/>
      <c r="J339" s="17"/>
      <c r="K339" s="17"/>
      <c r="L339" s="15"/>
      <c r="M339" s="15"/>
      <c r="N339" s="15"/>
      <c r="O339" s="15"/>
      <c r="P339" s="15"/>
      <c r="Q339" s="15"/>
      <c r="R339" s="15"/>
      <c r="S339" s="15"/>
      <c r="T339" s="15"/>
      <c r="U339" s="15"/>
      <c r="V339" s="15"/>
      <c r="W339" s="15"/>
      <c r="X339" s="15"/>
      <c r="Y339" s="15"/>
      <c r="Z339" s="15"/>
    </row>
    <row r="340" spans="1:26" x14ac:dyDescent="0.3">
      <c r="A340" s="17"/>
      <c r="B340" s="17"/>
      <c r="C340" s="17"/>
      <c r="D340" s="17"/>
      <c r="E340" s="17"/>
      <c r="F340" s="17"/>
      <c r="G340" s="17"/>
      <c r="H340" s="17"/>
      <c r="I340" s="17"/>
      <c r="J340" s="17"/>
      <c r="K340" s="17"/>
      <c r="L340" s="15"/>
      <c r="M340" s="15"/>
      <c r="N340" s="15"/>
      <c r="O340" s="15"/>
      <c r="P340" s="15"/>
      <c r="Q340" s="15"/>
      <c r="R340" s="15"/>
      <c r="S340" s="15"/>
      <c r="T340" s="15"/>
      <c r="U340" s="15"/>
      <c r="V340" s="15"/>
      <c r="W340" s="15"/>
      <c r="X340" s="15"/>
      <c r="Y340" s="15"/>
      <c r="Z340" s="15"/>
    </row>
    <row r="341" spans="1:26" x14ac:dyDescent="0.3">
      <c r="A341" s="24">
        <v>1</v>
      </c>
      <c r="B341" s="17"/>
      <c r="C341" s="35" t="s">
        <v>662</v>
      </c>
      <c r="D341" s="17"/>
      <c r="E341" s="17"/>
      <c r="F341" s="17"/>
      <c r="G341" s="17"/>
      <c r="H341" s="17"/>
      <c r="I341" s="17"/>
      <c r="J341" s="17"/>
      <c r="K341" s="17"/>
      <c r="L341" s="15"/>
      <c r="M341" s="15"/>
      <c r="N341" s="15"/>
      <c r="O341" s="15"/>
      <c r="P341" s="15"/>
      <c r="Q341" s="15"/>
      <c r="R341" s="15"/>
      <c r="S341" s="15"/>
      <c r="T341" s="15"/>
      <c r="U341" s="15"/>
      <c r="V341" s="15"/>
      <c r="W341" s="15"/>
      <c r="X341" s="15"/>
      <c r="Y341" s="15"/>
      <c r="Z341" s="15"/>
    </row>
    <row r="342" spans="1:26" x14ac:dyDescent="0.3">
      <c r="A342" s="17"/>
      <c r="B342" s="17"/>
      <c r="C342" s="17" t="s">
        <v>663</v>
      </c>
      <c r="D342" s="17"/>
      <c r="E342" s="17"/>
      <c r="F342" s="17"/>
      <c r="G342" s="17"/>
      <c r="H342" s="17"/>
      <c r="I342" s="17"/>
      <c r="J342" s="17"/>
      <c r="K342" s="17"/>
      <c r="L342" s="15"/>
      <c r="M342" s="15"/>
      <c r="N342" s="15"/>
      <c r="O342" s="15"/>
      <c r="P342" s="15"/>
      <c r="Q342" s="15"/>
      <c r="R342" s="15"/>
      <c r="S342" s="15"/>
      <c r="T342" s="15"/>
      <c r="U342" s="15"/>
      <c r="V342" s="15"/>
      <c r="W342" s="15"/>
      <c r="X342" s="15"/>
      <c r="Y342" s="15"/>
      <c r="Z342" s="15"/>
    </row>
    <row r="343" spans="1:26" x14ac:dyDescent="0.3">
      <c r="A343" s="17"/>
      <c r="B343" s="17"/>
      <c r="C343" s="17" t="s">
        <v>664</v>
      </c>
      <c r="D343" s="17"/>
      <c r="E343" s="17"/>
      <c r="F343" s="17"/>
      <c r="G343" s="17"/>
      <c r="H343" s="17"/>
      <c r="I343" s="17"/>
      <c r="J343" s="17"/>
      <c r="K343" s="17"/>
      <c r="L343" s="15"/>
      <c r="M343" s="15"/>
      <c r="N343" s="15"/>
      <c r="O343" s="15"/>
      <c r="P343" s="15"/>
      <c r="Q343" s="15"/>
      <c r="R343" s="15"/>
      <c r="S343" s="15"/>
      <c r="T343" s="15"/>
      <c r="U343" s="15"/>
      <c r="V343" s="15"/>
      <c r="W343" s="15"/>
      <c r="X343" s="15"/>
      <c r="Y343" s="15"/>
      <c r="Z343" s="15"/>
    </row>
    <row r="344" spans="1:26" x14ac:dyDescent="0.3">
      <c r="A344" s="17"/>
      <c r="B344" s="17"/>
      <c r="C344" s="17"/>
      <c r="D344" s="17"/>
      <c r="E344" s="17"/>
      <c r="F344" s="17"/>
      <c r="G344" s="17"/>
      <c r="H344" s="17"/>
      <c r="I344" s="17"/>
      <c r="J344" s="17"/>
      <c r="K344" s="17"/>
      <c r="L344" s="15"/>
      <c r="M344" s="15"/>
      <c r="N344" s="15"/>
      <c r="O344" s="15"/>
      <c r="P344" s="15"/>
      <c r="Q344" s="15"/>
      <c r="R344" s="15"/>
      <c r="S344" s="15"/>
      <c r="T344" s="15"/>
      <c r="U344" s="15"/>
      <c r="V344" s="15"/>
      <c r="W344" s="15"/>
      <c r="X344" s="15"/>
      <c r="Y344" s="15"/>
      <c r="Z344" s="15"/>
    </row>
    <row r="345" spans="1:26" x14ac:dyDescent="0.3">
      <c r="A345" s="17"/>
      <c r="B345" s="17"/>
      <c r="C345" s="35" t="s">
        <v>665</v>
      </c>
      <c r="D345" s="17"/>
      <c r="E345" s="17"/>
      <c r="F345" s="17"/>
      <c r="G345" s="17"/>
      <c r="H345" s="17"/>
      <c r="I345" s="17"/>
      <c r="J345" s="17"/>
      <c r="K345" s="17"/>
      <c r="L345" s="15"/>
      <c r="M345" s="15"/>
      <c r="N345" s="15"/>
      <c r="O345" s="15"/>
      <c r="P345" s="15"/>
      <c r="Q345" s="15"/>
      <c r="R345" s="15"/>
      <c r="S345" s="15"/>
      <c r="T345" s="15"/>
      <c r="U345" s="15"/>
      <c r="V345" s="15"/>
      <c r="W345" s="15"/>
      <c r="X345" s="15"/>
      <c r="Y345" s="15"/>
      <c r="Z345" s="15"/>
    </row>
    <row r="346" spans="1:26" x14ac:dyDescent="0.3">
      <c r="A346" s="25">
        <v>1.1000000000000001</v>
      </c>
      <c r="B346" s="26" t="s">
        <v>666</v>
      </c>
      <c r="C346" s="27" t="s">
        <v>667</v>
      </c>
      <c r="D346" s="26" t="s">
        <v>668</v>
      </c>
      <c r="E346" s="26"/>
      <c r="F346" s="24">
        <v>600</v>
      </c>
      <c r="G346" s="24"/>
      <c r="H346" s="24"/>
      <c r="I346" s="24"/>
      <c r="J346" s="24"/>
      <c r="K346" s="24"/>
      <c r="L346" s="15"/>
      <c r="M346" s="15"/>
      <c r="N346" s="15"/>
      <c r="O346" s="15"/>
      <c r="P346" s="15"/>
      <c r="Q346" s="15"/>
      <c r="R346" s="15"/>
      <c r="S346" s="15"/>
      <c r="T346" s="15"/>
      <c r="U346" s="15"/>
      <c r="V346" s="15"/>
      <c r="W346" s="15"/>
      <c r="X346" s="15"/>
      <c r="Y346" s="15"/>
      <c r="Z346" s="15"/>
    </row>
    <row r="347" spans="1:26" x14ac:dyDescent="0.3">
      <c r="A347" s="25">
        <v>1.2</v>
      </c>
      <c r="B347" s="26" t="s">
        <v>669</v>
      </c>
      <c r="C347" s="27" t="s">
        <v>670</v>
      </c>
      <c r="D347" s="26" t="s">
        <v>671</v>
      </c>
      <c r="E347" s="26"/>
      <c r="F347" s="24">
        <v>590</v>
      </c>
      <c r="G347" s="24"/>
      <c r="H347" s="24"/>
      <c r="I347" s="24"/>
      <c r="J347" s="24"/>
      <c r="K347" s="24"/>
      <c r="L347" s="15"/>
      <c r="M347" s="15"/>
      <c r="N347" s="15"/>
      <c r="O347" s="15"/>
      <c r="P347" s="15"/>
      <c r="Q347" s="15"/>
      <c r="R347" s="15"/>
      <c r="S347" s="15"/>
      <c r="T347" s="15"/>
      <c r="U347" s="15"/>
      <c r="V347" s="15"/>
      <c r="W347" s="15"/>
      <c r="X347" s="15"/>
      <c r="Y347" s="15"/>
      <c r="Z347" s="15"/>
    </row>
    <row r="348" spans="1:26" x14ac:dyDescent="0.3">
      <c r="A348" s="25">
        <v>1.3</v>
      </c>
      <c r="B348" s="26" t="s">
        <v>672</v>
      </c>
      <c r="C348" s="27" t="s">
        <v>673</v>
      </c>
      <c r="D348" s="26" t="s">
        <v>674</v>
      </c>
      <c r="E348" s="26"/>
      <c r="F348" s="24">
        <v>4675</v>
      </c>
      <c r="G348" s="24"/>
      <c r="H348" s="24"/>
      <c r="I348" s="24"/>
      <c r="J348" s="24"/>
      <c r="K348" s="24"/>
      <c r="L348" s="15"/>
      <c r="M348" s="15"/>
      <c r="N348" s="15"/>
      <c r="O348" s="15"/>
      <c r="P348" s="15"/>
      <c r="Q348" s="15"/>
      <c r="R348" s="15"/>
      <c r="S348" s="15"/>
      <c r="T348" s="15"/>
      <c r="U348" s="15"/>
      <c r="V348" s="15"/>
      <c r="W348" s="15"/>
      <c r="X348" s="15"/>
      <c r="Y348" s="15"/>
      <c r="Z348" s="15"/>
    </row>
    <row r="349" spans="1:26" x14ac:dyDescent="0.3">
      <c r="A349" s="25">
        <v>1.4</v>
      </c>
      <c r="B349" s="26" t="s">
        <v>675</v>
      </c>
      <c r="C349" s="27" t="s">
        <v>676</v>
      </c>
      <c r="D349" s="26" t="s">
        <v>677</v>
      </c>
      <c r="E349" s="26"/>
      <c r="F349" s="24">
        <v>3373</v>
      </c>
      <c r="G349" s="24"/>
      <c r="H349" s="24"/>
      <c r="I349" s="24"/>
      <c r="J349" s="24"/>
      <c r="K349" s="24"/>
      <c r="L349" s="15"/>
      <c r="M349" s="15"/>
      <c r="N349" s="15"/>
      <c r="O349" s="15"/>
      <c r="P349" s="15"/>
      <c r="Q349" s="15"/>
      <c r="R349" s="15"/>
      <c r="S349" s="15"/>
      <c r="T349" s="15"/>
      <c r="U349" s="15"/>
      <c r="V349" s="15"/>
      <c r="W349" s="15"/>
      <c r="X349" s="15"/>
      <c r="Y349" s="15"/>
      <c r="Z349" s="15"/>
    </row>
    <row r="350" spans="1:26" x14ac:dyDescent="0.3">
      <c r="A350" s="25">
        <v>1.5</v>
      </c>
      <c r="B350" s="26" t="s">
        <v>678</v>
      </c>
      <c r="C350" s="27" t="s">
        <v>679</v>
      </c>
      <c r="D350" s="26" t="s">
        <v>680</v>
      </c>
      <c r="E350" s="26"/>
      <c r="F350" s="24">
        <v>11160</v>
      </c>
      <c r="G350" s="24"/>
      <c r="H350" s="24"/>
      <c r="I350" s="24"/>
      <c r="J350" s="24"/>
      <c r="K350" s="24"/>
      <c r="L350" s="15"/>
      <c r="M350" s="15"/>
      <c r="N350" s="15"/>
      <c r="O350" s="15"/>
      <c r="P350" s="15"/>
      <c r="Q350" s="15"/>
      <c r="R350" s="15"/>
      <c r="S350" s="15"/>
      <c r="T350" s="15"/>
      <c r="U350" s="15"/>
      <c r="V350" s="15"/>
      <c r="W350" s="15"/>
      <c r="X350" s="15"/>
      <c r="Y350" s="15"/>
      <c r="Z350" s="15"/>
    </row>
    <row r="351" spans="1:26" x14ac:dyDescent="0.3">
      <c r="A351" s="17"/>
      <c r="B351" s="17"/>
      <c r="C351" s="17"/>
      <c r="D351" s="17"/>
      <c r="E351" s="17"/>
      <c r="F351" s="17"/>
      <c r="G351" s="17"/>
      <c r="H351" s="17"/>
      <c r="I351" s="17"/>
      <c r="J351" s="17"/>
      <c r="K351" s="17"/>
      <c r="L351" s="15"/>
      <c r="M351" s="15"/>
      <c r="N351" s="15"/>
      <c r="O351" s="15"/>
      <c r="P351" s="15"/>
      <c r="Q351" s="15"/>
      <c r="R351" s="15"/>
      <c r="S351" s="15"/>
      <c r="T351" s="15"/>
      <c r="U351" s="15"/>
      <c r="V351" s="15"/>
      <c r="W351" s="15"/>
      <c r="X351" s="15"/>
      <c r="Y351" s="15"/>
      <c r="Z351" s="15"/>
    </row>
    <row r="352" spans="1:26" x14ac:dyDescent="0.3">
      <c r="A352" s="17"/>
      <c r="B352" s="17"/>
      <c r="C352" s="35" t="s">
        <v>681</v>
      </c>
      <c r="D352" s="17"/>
      <c r="E352" s="17"/>
      <c r="F352" s="17"/>
      <c r="G352" s="17"/>
      <c r="H352" s="17"/>
      <c r="I352" s="17"/>
      <c r="J352" s="17"/>
      <c r="K352" s="17"/>
      <c r="L352" s="15"/>
      <c r="M352" s="15"/>
      <c r="N352" s="15"/>
      <c r="O352" s="15"/>
      <c r="P352" s="15"/>
      <c r="Q352" s="15"/>
      <c r="R352" s="15"/>
      <c r="S352" s="15"/>
      <c r="T352" s="15"/>
      <c r="U352" s="15"/>
      <c r="V352" s="15"/>
      <c r="W352" s="15"/>
      <c r="X352" s="15"/>
      <c r="Y352" s="15"/>
      <c r="Z352" s="15"/>
    </row>
    <row r="353" spans="1:26" x14ac:dyDescent="0.3">
      <c r="A353" s="25">
        <v>1.6</v>
      </c>
      <c r="B353" s="26" t="s">
        <v>682</v>
      </c>
      <c r="C353" s="27" t="s">
        <v>683</v>
      </c>
      <c r="D353" s="26" t="s">
        <v>684</v>
      </c>
      <c r="E353" s="26"/>
      <c r="F353" s="24">
        <v>2750</v>
      </c>
      <c r="G353" s="24"/>
      <c r="H353" s="24"/>
      <c r="I353" s="24"/>
      <c r="J353" s="24"/>
      <c r="K353" s="24"/>
      <c r="L353" s="15"/>
      <c r="M353" s="15"/>
      <c r="N353" s="15"/>
      <c r="O353" s="15"/>
      <c r="P353" s="15"/>
      <c r="Q353" s="15"/>
      <c r="R353" s="15"/>
      <c r="S353" s="15"/>
      <c r="T353" s="15"/>
      <c r="U353" s="15"/>
      <c r="V353" s="15"/>
      <c r="W353" s="15"/>
      <c r="X353" s="15"/>
      <c r="Y353" s="15"/>
      <c r="Z353" s="15"/>
    </row>
    <row r="354" spans="1:26" x14ac:dyDescent="0.3">
      <c r="A354" s="25">
        <v>1.7</v>
      </c>
      <c r="B354" s="26" t="s">
        <v>685</v>
      </c>
      <c r="C354" s="27" t="s">
        <v>686</v>
      </c>
      <c r="D354" s="26" t="s">
        <v>687</v>
      </c>
      <c r="E354" s="26"/>
      <c r="F354" s="24">
        <v>900</v>
      </c>
      <c r="G354" s="24"/>
      <c r="H354" s="24"/>
      <c r="I354" s="24"/>
      <c r="J354" s="24"/>
      <c r="K354" s="24"/>
      <c r="L354" s="15"/>
      <c r="M354" s="15"/>
      <c r="N354" s="15"/>
      <c r="O354" s="15"/>
      <c r="P354" s="15"/>
      <c r="Q354" s="15"/>
      <c r="R354" s="15"/>
      <c r="S354" s="15"/>
      <c r="T354" s="15"/>
      <c r="U354" s="15"/>
      <c r="V354" s="15"/>
      <c r="W354" s="15"/>
      <c r="X354" s="15"/>
      <c r="Y354" s="15"/>
      <c r="Z354" s="15"/>
    </row>
    <row r="355" spans="1:26" x14ac:dyDescent="0.3">
      <c r="A355" s="25">
        <v>1.8</v>
      </c>
      <c r="B355" s="26" t="s">
        <v>688</v>
      </c>
      <c r="C355" s="27" t="s">
        <v>689</v>
      </c>
      <c r="D355" s="26" t="s">
        <v>690</v>
      </c>
      <c r="E355" s="26"/>
      <c r="F355" s="24">
        <v>315</v>
      </c>
      <c r="G355" s="24"/>
      <c r="H355" s="24"/>
      <c r="I355" s="24"/>
      <c r="J355" s="24"/>
      <c r="K355" s="24"/>
      <c r="L355" s="15"/>
      <c r="M355" s="15"/>
      <c r="N355" s="15"/>
      <c r="O355" s="15"/>
      <c r="P355" s="15"/>
      <c r="Q355" s="15"/>
      <c r="R355" s="15"/>
      <c r="S355" s="15"/>
      <c r="T355" s="15"/>
      <c r="U355" s="15"/>
      <c r="V355" s="15"/>
      <c r="W355" s="15"/>
      <c r="X355" s="15"/>
      <c r="Y355" s="15"/>
      <c r="Z355" s="15"/>
    </row>
    <row r="356" spans="1:26" x14ac:dyDescent="0.3">
      <c r="A356" s="25">
        <v>1.9</v>
      </c>
      <c r="B356" s="26" t="s">
        <v>691</v>
      </c>
      <c r="C356" s="27" t="s">
        <v>692</v>
      </c>
      <c r="D356" s="26" t="s">
        <v>693</v>
      </c>
      <c r="E356" s="26"/>
      <c r="F356" s="24">
        <v>15</v>
      </c>
      <c r="G356" s="24"/>
      <c r="H356" s="24"/>
      <c r="I356" s="24"/>
      <c r="J356" s="24"/>
      <c r="K356" s="24"/>
      <c r="L356" s="15"/>
      <c r="M356" s="15"/>
      <c r="N356" s="15"/>
      <c r="O356" s="15"/>
      <c r="P356" s="15"/>
      <c r="Q356" s="15"/>
      <c r="R356" s="15"/>
      <c r="S356" s="15"/>
      <c r="T356" s="15"/>
      <c r="U356" s="15"/>
      <c r="V356" s="15"/>
      <c r="W356" s="15"/>
      <c r="X356" s="15"/>
      <c r="Y356" s="15"/>
      <c r="Z356" s="15"/>
    </row>
    <row r="357" spans="1:26" x14ac:dyDescent="0.3">
      <c r="A357" s="29">
        <v>1.1000000000000001</v>
      </c>
      <c r="B357" s="26" t="s">
        <v>694</v>
      </c>
      <c r="C357" s="27" t="s">
        <v>695</v>
      </c>
      <c r="D357" s="26" t="s">
        <v>696</v>
      </c>
      <c r="E357" s="26"/>
      <c r="F357" s="24">
        <v>150</v>
      </c>
      <c r="G357" s="24"/>
      <c r="H357" s="24"/>
      <c r="I357" s="24"/>
      <c r="J357" s="24"/>
      <c r="K357" s="24"/>
      <c r="L357" s="15"/>
      <c r="M357" s="15"/>
      <c r="N357" s="15"/>
      <c r="O357" s="15"/>
      <c r="P357" s="15"/>
      <c r="Q357" s="15"/>
      <c r="R357" s="15"/>
      <c r="S357" s="15"/>
      <c r="T357" s="15"/>
      <c r="U357" s="15"/>
      <c r="V357" s="15"/>
      <c r="W357" s="15"/>
      <c r="X357" s="15"/>
      <c r="Y357" s="15"/>
      <c r="Z357" s="15"/>
    </row>
    <row r="358" spans="1:26" x14ac:dyDescent="0.3">
      <c r="A358" s="29">
        <v>1.1100000000000001</v>
      </c>
      <c r="B358" s="26" t="s">
        <v>697</v>
      </c>
      <c r="C358" s="27" t="s">
        <v>698</v>
      </c>
      <c r="D358" s="26" t="s">
        <v>699</v>
      </c>
      <c r="E358" s="26"/>
      <c r="F358" s="24">
        <v>400</v>
      </c>
      <c r="G358" s="24"/>
      <c r="H358" s="24"/>
      <c r="I358" s="24"/>
      <c r="J358" s="24"/>
      <c r="K358" s="24"/>
      <c r="L358" s="15"/>
      <c r="M358" s="15"/>
      <c r="N358" s="15"/>
      <c r="O358" s="15"/>
      <c r="P358" s="15"/>
      <c r="Q358" s="15"/>
      <c r="R358" s="15"/>
      <c r="S358" s="15"/>
      <c r="T358" s="15"/>
      <c r="U358" s="15"/>
      <c r="V358" s="15"/>
      <c r="W358" s="15"/>
      <c r="X358" s="15"/>
      <c r="Y358" s="15"/>
      <c r="Z358" s="15"/>
    </row>
    <row r="359" spans="1:26" x14ac:dyDescent="0.3">
      <c r="A359" s="29">
        <v>1.1200000000000001</v>
      </c>
      <c r="B359" s="26" t="s">
        <v>700</v>
      </c>
      <c r="C359" s="27" t="s">
        <v>701</v>
      </c>
      <c r="D359" s="26" t="s">
        <v>702</v>
      </c>
      <c r="E359" s="26"/>
      <c r="F359" s="24">
        <v>600</v>
      </c>
      <c r="G359" s="24"/>
      <c r="H359" s="24"/>
      <c r="I359" s="24"/>
      <c r="J359" s="24"/>
      <c r="K359" s="24"/>
      <c r="L359" s="15"/>
      <c r="M359" s="15"/>
      <c r="N359" s="15"/>
      <c r="O359" s="15"/>
      <c r="P359" s="15"/>
      <c r="Q359" s="15"/>
      <c r="R359" s="15"/>
      <c r="S359" s="15"/>
      <c r="T359" s="15"/>
      <c r="U359" s="15"/>
      <c r="V359" s="15"/>
      <c r="W359" s="15"/>
      <c r="X359" s="15"/>
      <c r="Y359" s="15"/>
      <c r="Z359" s="15"/>
    </row>
    <row r="360" spans="1:26" x14ac:dyDescent="0.3">
      <c r="A360" s="29">
        <v>1.1299999999999999</v>
      </c>
      <c r="B360" s="26" t="s">
        <v>703</v>
      </c>
      <c r="C360" s="27" t="s">
        <v>704</v>
      </c>
      <c r="D360" s="26" t="s">
        <v>705</v>
      </c>
      <c r="E360" s="26"/>
      <c r="F360" s="24">
        <v>485</v>
      </c>
      <c r="G360" s="24"/>
      <c r="H360" s="24"/>
      <c r="I360" s="24"/>
      <c r="J360" s="24"/>
      <c r="K360" s="24"/>
      <c r="L360" s="15"/>
      <c r="M360" s="15"/>
      <c r="N360" s="15"/>
      <c r="O360" s="15"/>
      <c r="P360" s="15"/>
      <c r="Q360" s="15"/>
      <c r="R360" s="15"/>
      <c r="S360" s="15"/>
      <c r="T360" s="15"/>
      <c r="U360" s="15"/>
      <c r="V360" s="15"/>
      <c r="W360" s="15"/>
      <c r="X360" s="15"/>
      <c r="Y360" s="15"/>
      <c r="Z360" s="15"/>
    </row>
    <row r="361" spans="1:26" x14ac:dyDescent="0.3">
      <c r="A361" s="29">
        <v>1.1399999999999999</v>
      </c>
      <c r="B361" s="26" t="s">
        <v>706</v>
      </c>
      <c r="C361" s="27" t="s">
        <v>707</v>
      </c>
      <c r="D361" s="26" t="s">
        <v>708</v>
      </c>
      <c r="E361" s="26"/>
      <c r="F361" s="24">
        <v>155</v>
      </c>
      <c r="G361" s="24"/>
      <c r="H361" s="24"/>
      <c r="I361" s="24"/>
      <c r="J361" s="24"/>
      <c r="K361" s="24"/>
      <c r="L361" s="15"/>
      <c r="M361" s="15"/>
      <c r="N361" s="15"/>
      <c r="O361" s="15"/>
      <c r="P361" s="15"/>
      <c r="Q361" s="15"/>
      <c r="R361" s="15"/>
      <c r="S361" s="15"/>
      <c r="T361" s="15"/>
      <c r="U361" s="15"/>
      <c r="V361" s="15"/>
      <c r="W361" s="15"/>
      <c r="X361" s="15"/>
      <c r="Y361" s="15"/>
      <c r="Z361" s="15"/>
    </row>
    <row r="362" spans="1:26" x14ac:dyDescent="0.3">
      <c r="A362" s="17"/>
      <c r="B362" s="17"/>
      <c r="C362" s="17"/>
      <c r="D362" s="17"/>
      <c r="E362" s="17"/>
      <c r="F362" s="17"/>
      <c r="G362" s="17"/>
      <c r="H362" s="17"/>
      <c r="I362" s="17"/>
      <c r="J362" s="17"/>
      <c r="K362" s="17"/>
      <c r="L362" s="15"/>
      <c r="M362" s="15"/>
      <c r="N362" s="15"/>
      <c r="O362" s="15"/>
      <c r="P362" s="15"/>
      <c r="Q362" s="15"/>
      <c r="R362" s="15"/>
      <c r="S362" s="15"/>
      <c r="T362" s="15"/>
      <c r="U362" s="15"/>
      <c r="V362" s="15"/>
      <c r="W362" s="15"/>
      <c r="X362" s="15"/>
      <c r="Y362" s="15"/>
      <c r="Z362" s="15"/>
    </row>
    <row r="363" spans="1:26" x14ac:dyDescent="0.3">
      <c r="A363" s="17"/>
      <c r="B363" s="17"/>
      <c r="C363" s="35" t="s">
        <v>709</v>
      </c>
      <c r="D363" s="17"/>
      <c r="E363" s="17"/>
      <c r="F363" s="17"/>
      <c r="G363" s="17"/>
      <c r="H363" s="17"/>
      <c r="I363" s="17"/>
      <c r="J363" s="17"/>
      <c r="K363" s="17"/>
      <c r="L363" s="15"/>
      <c r="M363" s="15"/>
      <c r="N363" s="15"/>
      <c r="O363" s="15"/>
      <c r="P363" s="15"/>
      <c r="Q363" s="15"/>
      <c r="R363" s="15"/>
      <c r="S363" s="15"/>
      <c r="T363" s="15"/>
      <c r="U363" s="15"/>
      <c r="V363" s="15"/>
      <c r="W363" s="15"/>
      <c r="X363" s="15"/>
      <c r="Y363" s="15"/>
      <c r="Z363" s="15"/>
    </row>
    <row r="364" spans="1:26" x14ac:dyDescent="0.3">
      <c r="A364" s="29">
        <v>1.1499999999999999</v>
      </c>
      <c r="B364" s="26" t="s">
        <v>710</v>
      </c>
      <c r="C364" s="27" t="s">
        <v>711</v>
      </c>
      <c r="D364" s="26" t="s">
        <v>712</v>
      </c>
      <c r="E364" s="26"/>
      <c r="F364" s="24">
        <v>400</v>
      </c>
      <c r="G364" s="24"/>
      <c r="H364" s="24"/>
      <c r="I364" s="24"/>
      <c r="J364" s="24"/>
      <c r="K364" s="24"/>
      <c r="L364" s="15"/>
      <c r="M364" s="15"/>
      <c r="N364" s="15"/>
      <c r="O364" s="15"/>
      <c r="P364" s="15"/>
      <c r="Q364" s="15"/>
      <c r="R364" s="15"/>
      <c r="S364" s="15"/>
      <c r="T364" s="15"/>
      <c r="U364" s="15"/>
      <c r="V364" s="15"/>
      <c r="W364" s="15"/>
      <c r="X364" s="15"/>
      <c r="Y364" s="15"/>
      <c r="Z364" s="15"/>
    </row>
    <row r="365" spans="1:26" x14ac:dyDescent="0.3">
      <c r="A365" s="29">
        <v>1.1599999999999999</v>
      </c>
      <c r="B365" s="26" t="s">
        <v>713</v>
      </c>
      <c r="C365" s="27" t="s">
        <v>714</v>
      </c>
      <c r="D365" s="26" t="s">
        <v>715</v>
      </c>
      <c r="E365" s="26"/>
      <c r="F365" s="24">
        <v>120</v>
      </c>
      <c r="G365" s="24"/>
      <c r="H365" s="24"/>
      <c r="I365" s="24"/>
      <c r="J365" s="24"/>
      <c r="K365" s="24"/>
      <c r="L365" s="15"/>
      <c r="M365" s="15"/>
      <c r="N365" s="15"/>
      <c r="O365" s="15"/>
      <c r="P365" s="15"/>
      <c r="Q365" s="15"/>
      <c r="R365" s="15"/>
      <c r="S365" s="15"/>
      <c r="T365" s="15"/>
      <c r="U365" s="15"/>
      <c r="V365" s="15"/>
      <c r="W365" s="15"/>
      <c r="X365" s="15"/>
      <c r="Y365" s="15"/>
      <c r="Z365" s="15"/>
    </row>
    <row r="366" spans="1:26" x14ac:dyDescent="0.3">
      <c r="A366" s="29">
        <v>1.17</v>
      </c>
      <c r="B366" s="26" t="s">
        <v>716</v>
      </c>
      <c r="C366" s="27" t="s">
        <v>717</v>
      </c>
      <c r="D366" s="26" t="s">
        <v>718</v>
      </c>
      <c r="E366" s="26"/>
      <c r="F366" s="24">
        <v>20</v>
      </c>
      <c r="G366" s="24"/>
      <c r="H366" s="24"/>
      <c r="I366" s="24"/>
      <c r="J366" s="24"/>
      <c r="K366" s="24"/>
      <c r="L366" s="15"/>
      <c r="M366" s="15"/>
      <c r="N366" s="15"/>
      <c r="O366" s="15"/>
      <c r="P366" s="15"/>
      <c r="Q366" s="15"/>
      <c r="R366" s="15"/>
      <c r="S366" s="15"/>
      <c r="T366" s="15"/>
      <c r="U366" s="15"/>
      <c r="V366" s="15"/>
      <c r="W366" s="15"/>
      <c r="X366" s="15"/>
      <c r="Y366" s="15"/>
      <c r="Z366" s="15"/>
    </row>
    <row r="367" spans="1:26" x14ac:dyDescent="0.3">
      <c r="A367" s="29">
        <v>1.18</v>
      </c>
      <c r="B367" s="26" t="s">
        <v>719</v>
      </c>
      <c r="C367" s="27" t="s">
        <v>720</v>
      </c>
      <c r="D367" s="26" t="s">
        <v>721</v>
      </c>
      <c r="E367" s="26"/>
      <c r="F367" s="24">
        <v>140</v>
      </c>
      <c r="G367" s="24"/>
      <c r="H367" s="24"/>
      <c r="I367" s="24"/>
      <c r="J367" s="24"/>
      <c r="K367" s="24"/>
      <c r="L367" s="15"/>
      <c r="M367" s="15"/>
      <c r="N367" s="15"/>
      <c r="O367" s="15"/>
      <c r="P367" s="15"/>
      <c r="Q367" s="15"/>
      <c r="R367" s="15"/>
      <c r="S367" s="15"/>
      <c r="T367" s="15"/>
      <c r="U367" s="15"/>
      <c r="V367" s="15"/>
      <c r="W367" s="15"/>
      <c r="X367" s="15"/>
      <c r="Y367" s="15"/>
      <c r="Z367" s="15"/>
    </row>
    <row r="368" spans="1:26" x14ac:dyDescent="0.3">
      <c r="A368" s="29">
        <v>1.2</v>
      </c>
      <c r="B368" s="26" t="s">
        <v>722</v>
      </c>
      <c r="C368" s="27" t="s">
        <v>723</v>
      </c>
      <c r="D368" s="26" t="s">
        <v>724</v>
      </c>
      <c r="E368" s="26"/>
      <c r="F368" s="24">
        <v>880</v>
      </c>
      <c r="G368" s="24"/>
      <c r="H368" s="24"/>
      <c r="I368" s="24"/>
      <c r="J368" s="24"/>
      <c r="K368" s="24"/>
      <c r="L368" s="15"/>
      <c r="M368" s="15"/>
      <c r="N368" s="15"/>
      <c r="O368" s="15"/>
      <c r="P368" s="15"/>
      <c r="Q368" s="15"/>
      <c r="R368" s="15"/>
      <c r="S368" s="15"/>
      <c r="T368" s="15"/>
      <c r="U368" s="15"/>
      <c r="V368" s="15"/>
      <c r="W368" s="15"/>
      <c r="X368" s="15"/>
      <c r="Y368" s="15"/>
      <c r="Z368" s="15"/>
    </row>
    <row r="369" spans="1:26" x14ac:dyDescent="0.3">
      <c r="A369" s="29">
        <v>1.21</v>
      </c>
      <c r="B369" s="26" t="s">
        <v>725</v>
      </c>
      <c r="C369" s="27" t="s">
        <v>726</v>
      </c>
      <c r="D369" s="26" t="s">
        <v>727</v>
      </c>
      <c r="E369" s="26"/>
      <c r="F369" s="24">
        <v>20</v>
      </c>
      <c r="G369" s="24"/>
      <c r="H369" s="24"/>
      <c r="I369" s="24"/>
      <c r="J369" s="24"/>
      <c r="K369" s="24"/>
      <c r="L369" s="15"/>
      <c r="M369" s="15"/>
      <c r="N369" s="15"/>
      <c r="O369" s="15"/>
      <c r="P369" s="15"/>
      <c r="Q369" s="15"/>
      <c r="R369" s="15"/>
      <c r="S369" s="15"/>
      <c r="T369" s="15"/>
      <c r="U369" s="15"/>
      <c r="V369" s="15"/>
      <c r="W369" s="15"/>
      <c r="X369" s="15"/>
      <c r="Y369" s="15"/>
      <c r="Z369" s="15"/>
    </row>
    <row r="370" spans="1:26" x14ac:dyDescent="0.3">
      <c r="A370" s="29">
        <v>1.22</v>
      </c>
      <c r="B370" s="26" t="s">
        <v>728</v>
      </c>
      <c r="C370" s="27" t="s">
        <v>729</v>
      </c>
      <c r="D370" s="26" t="s">
        <v>730</v>
      </c>
      <c r="E370" s="26"/>
      <c r="F370" s="24">
        <v>480</v>
      </c>
      <c r="G370" s="24"/>
      <c r="H370" s="24"/>
      <c r="I370" s="24"/>
      <c r="J370" s="24"/>
      <c r="K370" s="24"/>
      <c r="L370" s="15"/>
      <c r="M370" s="15"/>
      <c r="N370" s="15"/>
      <c r="O370" s="15"/>
      <c r="P370" s="15"/>
      <c r="Q370" s="15"/>
      <c r="R370" s="15"/>
      <c r="S370" s="15"/>
      <c r="T370" s="15"/>
      <c r="U370" s="15"/>
      <c r="V370" s="15"/>
      <c r="W370" s="15"/>
      <c r="X370" s="15"/>
      <c r="Y370" s="15"/>
      <c r="Z370" s="15"/>
    </row>
    <row r="371" spans="1:26" x14ac:dyDescent="0.3">
      <c r="A371" s="29">
        <v>1.23</v>
      </c>
      <c r="B371" s="26" t="s">
        <v>731</v>
      </c>
      <c r="C371" s="27" t="s">
        <v>732</v>
      </c>
      <c r="D371" s="26" t="s">
        <v>733</v>
      </c>
      <c r="E371" s="26"/>
      <c r="F371" s="24">
        <v>9000</v>
      </c>
      <c r="G371" s="24"/>
      <c r="H371" s="24"/>
      <c r="I371" s="24"/>
      <c r="J371" s="24"/>
      <c r="K371" s="24"/>
      <c r="L371" s="15"/>
      <c r="M371" s="15"/>
      <c r="N371" s="15"/>
      <c r="O371" s="15"/>
      <c r="P371" s="15"/>
      <c r="Q371" s="15"/>
      <c r="R371" s="15"/>
      <c r="S371" s="15"/>
      <c r="T371" s="15"/>
      <c r="U371" s="15"/>
      <c r="V371" s="15"/>
      <c r="W371" s="15"/>
      <c r="X371" s="15"/>
      <c r="Y371" s="15"/>
      <c r="Z371" s="15"/>
    </row>
    <row r="372" spans="1:26" x14ac:dyDescent="0.3">
      <c r="A372" s="17"/>
      <c r="B372" s="17"/>
      <c r="C372" s="17"/>
      <c r="D372" s="17"/>
      <c r="E372" s="17"/>
      <c r="F372" s="17"/>
      <c r="G372" s="17"/>
      <c r="H372" s="17"/>
      <c r="I372" s="17"/>
      <c r="J372" s="17"/>
      <c r="K372" s="17"/>
      <c r="L372" s="15"/>
      <c r="M372" s="15"/>
      <c r="N372" s="15"/>
      <c r="O372" s="15"/>
      <c r="P372" s="15"/>
      <c r="Q372" s="15"/>
      <c r="R372" s="15"/>
      <c r="S372" s="15"/>
      <c r="T372" s="15"/>
      <c r="U372" s="15"/>
      <c r="V372" s="15"/>
      <c r="W372" s="15"/>
      <c r="X372" s="15"/>
      <c r="Y372" s="15"/>
      <c r="Z372" s="15"/>
    </row>
    <row r="373" spans="1:26" x14ac:dyDescent="0.3">
      <c r="A373" s="17"/>
      <c r="B373" s="17"/>
      <c r="C373" s="35" t="s">
        <v>734</v>
      </c>
      <c r="D373" s="17"/>
      <c r="E373" s="17"/>
      <c r="F373" s="17"/>
      <c r="G373" s="17"/>
      <c r="H373" s="17"/>
      <c r="I373" s="17"/>
      <c r="J373" s="17"/>
      <c r="K373" s="17"/>
      <c r="L373" s="15"/>
      <c r="M373" s="15"/>
      <c r="N373" s="15"/>
      <c r="O373" s="15"/>
      <c r="P373" s="15"/>
      <c r="Q373" s="15"/>
      <c r="R373" s="15"/>
      <c r="S373" s="15"/>
      <c r="T373" s="15"/>
      <c r="U373" s="15"/>
      <c r="V373" s="15"/>
      <c r="W373" s="15"/>
      <c r="X373" s="15"/>
      <c r="Y373" s="15"/>
      <c r="Z373" s="15"/>
    </row>
    <row r="374" spans="1:26" x14ac:dyDescent="0.3">
      <c r="A374" s="29">
        <v>1.24</v>
      </c>
      <c r="B374" s="26" t="s">
        <v>735</v>
      </c>
      <c r="C374" s="27" t="s">
        <v>736</v>
      </c>
      <c r="D374" s="26" t="s">
        <v>737</v>
      </c>
      <c r="E374" s="26"/>
      <c r="F374" s="24">
        <v>20</v>
      </c>
      <c r="G374" s="24"/>
      <c r="H374" s="24"/>
      <c r="I374" s="24"/>
      <c r="J374" s="24"/>
      <c r="K374" s="24"/>
      <c r="L374" s="15"/>
      <c r="M374" s="15"/>
      <c r="N374" s="15"/>
      <c r="O374" s="15"/>
      <c r="P374" s="15"/>
      <c r="Q374" s="15"/>
      <c r="R374" s="15"/>
      <c r="S374" s="15"/>
      <c r="T374" s="15"/>
      <c r="U374" s="15"/>
      <c r="V374" s="15"/>
      <c r="W374" s="15"/>
      <c r="X374" s="15"/>
      <c r="Y374" s="15"/>
      <c r="Z374" s="15"/>
    </row>
    <row r="375" spans="1:26" x14ac:dyDescent="0.3">
      <c r="A375" s="29">
        <v>1.25</v>
      </c>
      <c r="B375" s="26" t="s">
        <v>738</v>
      </c>
      <c r="C375" s="27" t="s">
        <v>739</v>
      </c>
      <c r="D375" s="26" t="s">
        <v>740</v>
      </c>
      <c r="E375" s="26"/>
      <c r="F375" s="24">
        <v>140</v>
      </c>
      <c r="G375" s="24"/>
      <c r="H375" s="24"/>
      <c r="I375" s="24"/>
      <c r="J375" s="24"/>
      <c r="K375" s="24"/>
      <c r="L375" s="15"/>
      <c r="M375" s="15"/>
      <c r="N375" s="15"/>
      <c r="O375" s="15"/>
      <c r="P375" s="15"/>
      <c r="Q375" s="15"/>
      <c r="R375" s="15"/>
      <c r="S375" s="15"/>
      <c r="T375" s="15"/>
      <c r="U375" s="15"/>
      <c r="V375" s="15"/>
      <c r="W375" s="15"/>
      <c r="X375" s="15"/>
      <c r="Y375" s="15"/>
      <c r="Z375" s="15"/>
    </row>
    <row r="376" spans="1:26" x14ac:dyDescent="0.3">
      <c r="A376" s="29">
        <v>1.27</v>
      </c>
      <c r="B376" s="26" t="s">
        <v>741</v>
      </c>
      <c r="C376" s="27" t="s">
        <v>742</v>
      </c>
      <c r="D376" s="26" t="s">
        <v>743</v>
      </c>
      <c r="E376" s="26"/>
      <c r="F376" s="24">
        <v>880</v>
      </c>
      <c r="G376" s="24"/>
      <c r="H376" s="24"/>
      <c r="I376" s="24"/>
      <c r="J376" s="24"/>
      <c r="K376" s="24"/>
      <c r="L376" s="15"/>
      <c r="M376" s="15"/>
      <c r="N376" s="15"/>
      <c r="O376" s="15"/>
      <c r="P376" s="15"/>
      <c r="Q376" s="15"/>
      <c r="R376" s="15"/>
      <c r="S376" s="15"/>
      <c r="T376" s="15"/>
      <c r="U376" s="15"/>
      <c r="V376" s="15"/>
      <c r="W376" s="15"/>
      <c r="X376" s="15"/>
      <c r="Y376" s="15"/>
      <c r="Z376" s="15"/>
    </row>
    <row r="377" spans="1:26" x14ac:dyDescent="0.3">
      <c r="A377" s="29">
        <v>1.28</v>
      </c>
      <c r="B377" s="26" t="s">
        <v>744</v>
      </c>
      <c r="C377" s="27" t="s">
        <v>745</v>
      </c>
      <c r="D377" s="26" t="s">
        <v>746</v>
      </c>
      <c r="E377" s="26"/>
      <c r="F377" s="24">
        <v>20</v>
      </c>
      <c r="G377" s="24"/>
      <c r="H377" s="24"/>
      <c r="I377" s="24"/>
      <c r="J377" s="24"/>
      <c r="K377" s="24"/>
      <c r="L377" s="15"/>
      <c r="M377" s="15"/>
      <c r="N377" s="15"/>
      <c r="O377" s="15"/>
      <c r="P377" s="15"/>
      <c r="Q377" s="15"/>
      <c r="R377" s="15"/>
      <c r="S377" s="15"/>
      <c r="T377" s="15"/>
      <c r="U377" s="15"/>
      <c r="V377" s="15"/>
      <c r="W377" s="15"/>
      <c r="X377" s="15"/>
      <c r="Y377" s="15"/>
      <c r="Z377" s="15"/>
    </row>
    <row r="378" spans="1:26" x14ac:dyDescent="0.3">
      <c r="A378" s="17"/>
      <c r="B378" s="17"/>
      <c r="C378" s="17"/>
      <c r="D378" s="17"/>
      <c r="E378" s="17"/>
      <c r="F378" s="17"/>
      <c r="G378" s="17"/>
      <c r="H378" s="17"/>
      <c r="I378" s="17"/>
      <c r="J378" s="17"/>
      <c r="K378" s="17"/>
      <c r="L378" s="15"/>
      <c r="M378" s="15"/>
      <c r="N378" s="15"/>
      <c r="O378" s="15"/>
      <c r="P378" s="15"/>
      <c r="Q378" s="15"/>
      <c r="R378" s="15"/>
      <c r="S378" s="15"/>
      <c r="T378" s="15"/>
      <c r="U378" s="15"/>
      <c r="V378" s="15"/>
      <c r="W378" s="15"/>
      <c r="X378" s="15"/>
      <c r="Y378" s="15"/>
      <c r="Z378" s="15"/>
    </row>
    <row r="379" spans="1:26" x14ac:dyDescent="0.3">
      <c r="A379" s="17"/>
      <c r="B379" s="17"/>
      <c r="C379" s="35" t="s">
        <v>747</v>
      </c>
      <c r="D379" s="17"/>
      <c r="E379" s="17"/>
      <c r="F379" s="17"/>
      <c r="G379" s="17"/>
      <c r="H379" s="17"/>
      <c r="I379" s="17"/>
      <c r="J379" s="17"/>
      <c r="K379" s="17"/>
      <c r="L379" s="15"/>
      <c r="M379" s="15"/>
      <c r="N379" s="15"/>
      <c r="O379" s="15"/>
      <c r="P379" s="15"/>
      <c r="Q379" s="15"/>
      <c r="R379" s="15"/>
      <c r="S379" s="15"/>
      <c r="T379" s="15"/>
      <c r="U379" s="15"/>
      <c r="V379" s="15"/>
      <c r="W379" s="15"/>
      <c r="X379" s="15"/>
      <c r="Y379" s="15"/>
      <c r="Z379" s="15"/>
    </row>
    <row r="380" spans="1:26" x14ac:dyDescent="0.3">
      <c r="A380" s="29">
        <v>1.29</v>
      </c>
      <c r="B380" s="26" t="s">
        <v>748</v>
      </c>
      <c r="C380" s="27" t="s">
        <v>749</v>
      </c>
      <c r="D380" s="26" t="s">
        <v>750</v>
      </c>
      <c r="E380" s="26"/>
      <c r="F380" s="24">
        <v>120</v>
      </c>
      <c r="G380" s="24"/>
      <c r="H380" s="24"/>
      <c r="I380" s="24"/>
      <c r="J380" s="24"/>
      <c r="K380" s="24"/>
      <c r="L380" s="15"/>
      <c r="M380" s="15"/>
      <c r="N380" s="15"/>
      <c r="O380" s="15"/>
      <c r="P380" s="15"/>
      <c r="Q380" s="15"/>
      <c r="R380" s="15"/>
      <c r="S380" s="15"/>
      <c r="T380" s="15"/>
      <c r="U380" s="15"/>
      <c r="V380" s="15"/>
      <c r="W380" s="15"/>
      <c r="X380" s="15"/>
      <c r="Y380" s="15"/>
      <c r="Z380" s="15"/>
    </row>
    <row r="381" spans="1:26" x14ac:dyDescent="0.3">
      <c r="A381" s="17"/>
      <c r="B381" s="17"/>
      <c r="C381" s="17"/>
      <c r="D381" s="17"/>
      <c r="E381" s="17"/>
      <c r="F381" s="17"/>
      <c r="G381" s="17"/>
      <c r="H381" s="17"/>
      <c r="I381" s="17"/>
      <c r="J381" s="17"/>
      <c r="K381" s="17"/>
      <c r="L381" s="15"/>
      <c r="M381" s="15"/>
      <c r="N381" s="15"/>
      <c r="O381" s="15"/>
      <c r="P381" s="15"/>
      <c r="Q381" s="15"/>
      <c r="R381" s="15"/>
      <c r="S381" s="15"/>
      <c r="T381" s="15"/>
      <c r="U381" s="15"/>
      <c r="V381" s="15"/>
      <c r="W381" s="15"/>
      <c r="X381" s="15"/>
      <c r="Y381" s="15"/>
      <c r="Z381" s="15"/>
    </row>
    <row r="382" spans="1:26" x14ac:dyDescent="0.3">
      <c r="A382" s="24">
        <v>2</v>
      </c>
      <c r="B382" s="17"/>
      <c r="C382" s="35" t="s">
        <v>751</v>
      </c>
      <c r="D382" s="17"/>
      <c r="E382" s="17"/>
      <c r="F382" s="17"/>
      <c r="G382" s="17"/>
      <c r="H382" s="17"/>
      <c r="I382" s="17"/>
      <c r="J382" s="17"/>
      <c r="K382" s="17"/>
      <c r="L382" s="15"/>
      <c r="M382" s="15"/>
      <c r="N382" s="15"/>
      <c r="O382" s="15"/>
      <c r="P382" s="15"/>
      <c r="Q382" s="15"/>
      <c r="R382" s="15"/>
      <c r="S382" s="15"/>
      <c r="T382" s="15"/>
      <c r="U382" s="15"/>
      <c r="V382" s="15"/>
      <c r="W382" s="15"/>
      <c r="X382" s="15"/>
      <c r="Y382" s="15"/>
      <c r="Z382" s="15"/>
    </row>
    <row r="383" spans="1:26" x14ac:dyDescent="0.3">
      <c r="A383" s="17"/>
      <c r="B383" s="17"/>
      <c r="C383" s="17" t="s">
        <v>752</v>
      </c>
      <c r="D383" s="17"/>
      <c r="E383" s="17"/>
      <c r="F383" s="17"/>
      <c r="G383" s="17"/>
      <c r="H383" s="17"/>
      <c r="I383" s="17"/>
      <c r="J383" s="17"/>
      <c r="K383" s="17"/>
      <c r="L383" s="15"/>
      <c r="M383" s="15"/>
      <c r="N383" s="15"/>
      <c r="O383" s="15"/>
      <c r="P383" s="15"/>
      <c r="Q383" s="15"/>
      <c r="R383" s="15"/>
      <c r="S383" s="15"/>
      <c r="T383" s="15"/>
      <c r="U383" s="15"/>
      <c r="V383" s="15"/>
      <c r="W383" s="15"/>
      <c r="X383" s="15"/>
      <c r="Y383" s="15"/>
      <c r="Z383" s="15"/>
    </row>
    <row r="384" spans="1:26" x14ac:dyDescent="0.3">
      <c r="A384" s="17"/>
      <c r="B384" s="17"/>
      <c r="C384" s="17" t="s">
        <v>753</v>
      </c>
      <c r="D384" s="17"/>
      <c r="E384" s="17"/>
      <c r="F384" s="17"/>
      <c r="G384" s="17"/>
      <c r="H384" s="17"/>
      <c r="I384" s="17"/>
      <c r="J384" s="17"/>
      <c r="K384" s="17"/>
      <c r="L384" s="15"/>
      <c r="M384" s="15"/>
      <c r="N384" s="15"/>
      <c r="O384" s="15"/>
      <c r="P384" s="15"/>
      <c r="Q384" s="15"/>
      <c r="R384" s="15"/>
      <c r="S384" s="15"/>
      <c r="T384" s="15"/>
      <c r="U384" s="15"/>
      <c r="V384" s="15"/>
      <c r="W384" s="15"/>
      <c r="X384" s="15"/>
      <c r="Y384" s="15"/>
      <c r="Z384" s="15"/>
    </row>
    <row r="385" spans="1:26" x14ac:dyDescent="0.3">
      <c r="A385" s="17"/>
      <c r="B385" s="17"/>
      <c r="C385" s="17"/>
      <c r="D385" s="17"/>
      <c r="E385" s="17"/>
      <c r="F385" s="17"/>
      <c r="G385" s="17"/>
      <c r="H385" s="17"/>
      <c r="I385" s="17"/>
      <c r="J385" s="17"/>
      <c r="K385" s="17"/>
      <c r="L385" s="15"/>
      <c r="M385" s="15"/>
      <c r="N385" s="15"/>
      <c r="O385" s="15"/>
      <c r="P385" s="15"/>
      <c r="Q385" s="15"/>
      <c r="R385" s="15"/>
      <c r="S385" s="15"/>
      <c r="T385" s="15"/>
      <c r="U385" s="15"/>
      <c r="V385" s="15"/>
      <c r="W385" s="15"/>
      <c r="X385" s="15"/>
      <c r="Y385" s="15"/>
      <c r="Z385" s="15"/>
    </row>
    <row r="386" spans="1:26" x14ac:dyDescent="0.3">
      <c r="A386" s="25">
        <v>2.1</v>
      </c>
      <c r="B386" s="26" t="s">
        <v>754</v>
      </c>
      <c r="C386" s="27" t="s">
        <v>755</v>
      </c>
      <c r="D386" s="26" t="s">
        <v>756</v>
      </c>
      <c r="E386" s="26"/>
      <c r="F386" s="24">
        <v>1545</v>
      </c>
      <c r="G386" s="24"/>
      <c r="H386" s="24"/>
      <c r="I386" s="24"/>
      <c r="J386" s="24"/>
      <c r="K386" s="24"/>
      <c r="L386" s="15"/>
      <c r="M386" s="15"/>
      <c r="N386" s="15"/>
      <c r="O386" s="15"/>
      <c r="P386" s="15"/>
      <c r="Q386" s="15"/>
      <c r="R386" s="15"/>
      <c r="S386" s="15"/>
      <c r="T386" s="15"/>
      <c r="U386" s="15"/>
      <c r="V386" s="15"/>
      <c r="W386" s="15"/>
      <c r="X386" s="15"/>
      <c r="Y386" s="15"/>
      <c r="Z386" s="15"/>
    </row>
    <row r="387" spans="1:26" x14ac:dyDescent="0.3">
      <c r="A387" s="25">
        <v>2.2000000000000002</v>
      </c>
      <c r="B387" s="26" t="s">
        <v>757</v>
      </c>
      <c r="C387" s="27" t="s">
        <v>758</v>
      </c>
      <c r="D387" s="26" t="s">
        <v>759</v>
      </c>
      <c r="E387" s="26"/>
      <c r="F387" s="24">
        <v>50</v>
      </c>
      <c r="G387" s="24"/>
      <c r="H387" s="24"/>
      <c r="I387" s="24"/>
      <c r="J387" s="24"/>
      <c r="K387" s="24"/>
      <c r="L387" s="15"/>
      <c r="M387" s="15"/>
      <c r="N387" s="15"/>
      <c r="O387" s="15"/>
      <c r="P387" s="15"/>
      <c r="Q387" s="15"/>
      <c r="R387" s="15"/>
      <c r="S387" s="15"/>
      <c r="T387" s="15"/>
      <c r="U387" s="15"/>
      <c r="V387" s="15"/>
      <c r="W387" s="15"/>
      <c r="X387" s="15"/>
      <c r="Y387" s="15"/>
      <c r="Z387" s="15"/>
    </row>
    <row r="388" spans="1:26" x14ac:dyDescent="0.3">
      <c r="A388" s="25">
        <v>2.2999999999999998</v>
      </c>
      <c r="B388" s="26" t="s">
        <v>760</v>
      </c>
      <c r="C388" s="27" t="s">
        <v>761</v>
      </c>
      <c r="D388" s="26" t="s">
        <v>762</v>
      </c>
      <c r="E388" s="26"/>
      <c r="F388" s="24">
        <v>140</v>
      </c>
      <c r="G388" s="24"/>
      <c r="H388" s="24"/>
      <c r="I388" s="24"/>
      <c r="J388" s="24"/>
      <c r="K388" s="24"/>
      <c r="L388" s="15"/>
      <c r="M388" s="15"/>
      <c r="N388" s="15"/>
      <c r="O388" s="15"/>
      <c r="P388" s="15"/>
      <c r="Q388" s="15"/>
      <c r="R388" s="15"/>
      <c r="S388" s="15"/>
      <c r="T388" s="15"/>
      <c r="U388" s="15"/>
      <c r="V388" s="15"/>
      <c r="W388" s="15"/>
      <c r="X388" s="15"/>
      <c r="Y388" s="15"/>
      <c r="Z388" s="15"/>
    </row>
    <row r="389" spans="1:26" x14ac:dyDescent="0.3">
      <c r="A389" s="25">
        <v>2.4</v>
      </c>
      <c r="B389" s="26" t="s">
        <v>763</v>
      </c>
      <c r="C389" s="27" t="s">
        <v>764</v>
      </c>
      <c r="D389" s="26" t="s">
        <v>765</v>
      </c>
      <c r="E389" s="26"/>
      <c r="F389" s="24">
        <v>100</v>
      </c>
      <c r="G389" s="24"/>
      <c r="H389" s="24"/>
      <c r="I389" s="24"/>
      <c r="J389" s="24"/>
      <c r="K389" s="24"/>
      <c r="L389" s="15"/>
      <c r="M389" s="15"/>
      <c r="N389" s="15"/>
      <c r="O389" s="15"/>
      <c r="P389" s="15"/>
      <c r="Q389" s="15"/>
      <c r="R389" s="15"/>
      <c r="S389" s="15"/>
      <c r="T389" s="15"/>
      <c r="U389" s="15"/>
      <c r="V389" s="15"/>
      <c r="W389" s="15"/>
      <c r="X389" s="15"/>
      <c r="Y389" s="15"/>
      <c r="Z389" s="15"/>
    </row>
    <row r="390" spans="1:26" x14ac:dyDescent="0.3">
      <c r="A390" s="25">
        <v>2.5</v>
      </c>
      <c r="B390" s="26" t="s">
        <v>766</v>
      </c>
      <c r="C390" s="27" t="s">
        <v>767</v>
      </c>
      <c r="D390" s="26" t="s">
        <v>768</v>
      </c>
      <c r="E390" s="26"/>
      <c r="F390" s="24">
        <v>500</v>
      </c>
      <c r="G390" s="24"/>
      <c r="H390" s="24"/>
      <c r="I390" s="24"/>
      <c r="J390" s="24"/>
      <c r="K390" s="24"/>
      <c r="L390" s="15"/>
      <c r="M390" s="15"/>
      <c r="N390" s="15"/>
      <c r="O390" s="15"/>
      <c r="P390" s="15"/>
      <c r="Q390" s="15"/>
      <c r="R390" s="15"/>
      <c r="S390" s="15"/>
      <c r="T390" s="15"/>
      <c r="U390" s="15"/>
      <c r="V390" s="15"/>
      <c r="W390" s="15"/>
      <c r="X390" s="15"/>
      <c r="Y390" s="15"/>
      <c r="Z390" s="15"/>
    </row>
    <row r="391" spans="1:26" x14ac:dyDescent="0.3">
      <c r="A391" s="25">
        <v>2.6</v>
      </c>
      <c r="B391" s="26" t="s">
        <v>769</v>
      </c>
      <c r="C391" s="27" t="s">
        <v>770</v>
      </c>
      <c r="D391" s="26" t="s">
        <v>771</v>
      </c>
      <c r="E391" s="26"/>
      <c r="F391" s="24">
        <v>1270</v>
      </c>
      <c r="G391" s="24"/>
      <c r="H391" s="24"/>
      <c r="I391" s="24"/>
      <c r="J391" s="24"/>
      <c r="K391" s="24"/>
      <c r="L391" s="15"/>
      <c r="M391" s="15"/>
      <c r="N391" s="15"/>
      <c r="O391" s="15"/>
      <c r="P391" s="15"/>
      <c r="Q391" s="15"/>
      <c r="R391" s="15"/>
      <c r="S391" s="15"/>
      <c r="T391" s="15"/>
      <c r="U391" s="15"/>
      <c r="V391" s="15"/>
      <c r="W391" s="15"/>
      <c r="X391" s="15"/>
      <c r="Y391" s="15"/>
      <c r="Z391" s="15"/>
    </row>
    <row r="392" spans="1:26" x14ac:dyDescent="0.3">
      <c r="A392" s="25">
        <v>2.7</v>
      </c>
      <c r="B392" s="26" t="s">
        <v>772</v>
      </c>
      <c r="C392" s="27" t="s">
        <v>773</v>
      </c>
      <c r="D392" s="26" t="s">
        <v>774</v>
      </c>
      <c r="E392" s="26"/>
      <c r="F392" s="29">
        <v>39517.449999999997</v>
      </c>
      <c r="G392" s="29"/>
      <c r="H392" s="29"/>
      <c r="I392" s="29"/>
      <c r="J392" s="29"/>
      <c r="K392" s="29"/>
      <c r="L392" s="15"/>
      <c r="M392" s="15"/>
      <c r="N392" s="15"/>
      <c r="O392" s="15"/>
      <c r="P392" s="15"/>
      <c r="Q392" s="15"/>
      <c r="R392" s="15"/>
      <c r="S392" s="15"/>
      <c r="T392" s="15"/>
      <c r="U392" s="15"/>
      <c r="V392" s="15"/>
      <c r="W392" s="15"/>
      <c r="X392" s="15"/>
      <c r="Y392" s="15"/>
      <c r="Z392" s="15"/>
    </row>
    <row r="393" spans="1:26" x14ac:dyDescent="0.3">
      <c r="A393" s="17"/>
      <c r="B393" s="17"/>
      <c r="C393" s="17"/>
      <c r="D393" s="17"/>
      <c r="E393" s="17"/>
      <c r="F393" s="17"/>
      <c r="G393" s="17"/>
      <c r="H393" s="17"/>
      <c r="I393" s="17"/>
      <c r="J393" s="17"/>
      <c r="K393" s="17"/>
      <c r="L393" s="15"/>
      <c r="M393" s="15"/>
      <c r="N393" s="15"/>
      <c r="O393" s="15"/>
      <c r="P393" s="15"/>
      <c r="Q393" s="15"/>
      <c r="R393" s="15"/>
      <c r="S393" s="15"/>
      <c r="T393" s="15"/>
      <c r="U393" s="15"/>
      <c r="V393" s="15"/>
      <c r="W393" s="15"/>
      <c r="X393" s="15"/>
      <c r="Y393" s="15"/>
      <c r="Z393" s="15"/>
    </row>
    <row r="394" spans="1:26" x14ac:dyDescent="0.3">
      <c r="A394" s="24">
        <v>3</v>
      </c>
      <c r="B394" s="17"/>
      <c r="C394" s="35" t="s">
        <v>775</v>
      </c>
      <c r="D394" s="17"/>
      <c r="E394" s="17"/>
      <c r="F394" s="17"/>
      <c r="G394" s="17"/>
      <c r="H394" s="17"/>
      <c r="I394" s="17"/>
      <c r="J394" s="17"/>
      <c r="K394" s="17"/>
      <c r="L394" s="15"/>
      <c r="M394" s="15"/>
      <c r="N394" s="15"/>
      <c r="O394" s="15"/>
      <c r="P394" s="15"/>
      <c r="Q394" s="15"/>
      <c r="R394" s="15"/>
      <c r="S394" s="15"/>
      <c r="T394" s="15"/>
      <c r="U394" s="15"/>
      <c r="V394" s="15"/>
      <c r="W394" s="15"/>
      <c r="X394" s="15"/>
      <c r="Y394" s="15"/>
      <c r="Z394" s="15"/>
    </row>
    <row r="395" spans="1:26" x14ac:dyDescent="0.3">
      <c r="A395" s="17"/>
      <c r="B395" s="17"/>
      <c r="C395" s="17" t="s">
        <v>776</v>
      </c>
      <c r="D395" s="17"/>
      <c r="E395" s="17"/>
      <c r="F395" s="17"/>
      <c r="G395" s="17"/>
      <c r="H395" s="17"/>
      <c r="I395" s="17"/>
      <c r="J395" s="17"/>
      <c r="K395" s="17"/>
      <c r="L395" s="15"/>
      <c r="M395" s="15"/>
      <c r="N395" s="15"/>
      <c r="O395" s="15"/>
      <c r="P395" s="15"/>
      <c r="Q395" s="15"/>
      <c r="R395" s="15"/>
      <c r="S395" s="15"/>
      <c r="T395" s="15"/>
      <c r="U395" s="15"/>
      <c r="V395" s="15"/>
      <c r="W395" s="15"/>
      <c r="X395" s="15"/>
      <c r="Y395" s="15"/>
      <c r="Z395" s="15"/>
    </row>
    <row r="396" spans="1:26" x14ac:dyDescent="0.3">
      <c r="A396" s="17"/>
      <c r="B396" s="17"/>
      <c r="C396" s="17"/>
      <c r="D396" s="17"/>
      <c r="E396" s="17"/>
      <c r="F396" s="17"/>
      <c r="G396" s="17"/>
      <c r="H396" s="17"/>
      <c r="I396" s="17"/>
      <c r="J396" s="17"/>
      <c r="K396" s="17"/>
      <c r="L396" s="15"/>
      <c r="M396" s="15"/>
      <c r="N396" s="15"/>
      <c r="O396" s="15"/>
      <c r="P396" s="15"/>
      <c r="Q396" s="15"/>
      <c r="R396" s="15"/>
      <c r="S396" s="15"/>
      <c r="T396" s="15"/>
      <c r="U396" s="15"/>
      <c r="V396" s="15"/>
      <c r="W396" s="15"/>
      <c r="X396" s="15"/>
      <c r="Y396" s="15"/>
      <c r="Z396" s="15"/>
    </row>
    <row r="397" spans="1:26" x14ac:dyDescent="0.3">
      <c r="A397" s="25">
        <v>3.2</v>
      </c>
      <c r="B397" s="26" t="s">
        <v>777</v>
      </c>
      <c r="C397" s="27" t="s">
        <v>778</v>
      </c>
      <c r="D397" s="26" t="s">
        <v>779</v>
      </c>
      <c r="E397" s="26"/>
      <c r="F397" s="24">
        <v>20</v>
      </c>
      <c r="G397" s="24"/>
      <c r="H397" s="24"/>
      <c r="I397" s="24"/>
      <c r="J397" s="24"/>
      <c r="K397" s="24"/>
      <c r="L397" s="15"/>
      <c r="M397" s="15"/>
      <c r="N397" s="15"/>
      <c r="O397" s="15"/>
      <c r="P397" s="15"/>
      <c r="Q397" s="15"/>
      <c r="R397" s="15"/>
      <c r="S397" s="15"/>
      <c r="T397" s="15"/>
      <c r="U397" s="15"/>
      <c r="V397" s="15"/>
      <c r="W397" s="15"/>
      <c r="X397" s="15"/>
      <c r="Y397" s="15"/>
      <c r="Z397" s="15"/>
    </row>
    <row r="398" spans="1:26" x14ac:dyDescent="0.3">
      <c r="A398" s="25">
        <v>3.3</v>
      </c>
      <c r="B398" s="26" t="s">
        <v>780</v>
      </c>
      <c r="C398" s="27" t="s">
        <v>781</v>
      </c>
      <c r="D398" s="26" t="s">
        <v>782</v>
      </c>
      <c r="E398" s="26"/>
      <c r="F398" s="24">
        <v>160</v>
      </c>
      <c r="G398" s="24"/>
      <c r="H398" s="24"/>
      <c r="I398" s="24"/>
      <c r="J398" s="24"/>
      <c r="K398" s="24"/>
      <c r="L398" s="15"/>
      <c r="M398" s="15"/>
      <c r="N398" s="15"/>
      <c r="O398" s="15"/>
      <c r="P398" s="15"/>
      <c r="Q398" s="15"/>
      <c r="R398" s="15"/>
      <c r="S398" s="15"/>
      <c r="T398" s="15"/>
      <c r="U398" s="15"/>
      <c r="V398" s="15"/>
      <c r="W398" s="15"/>
      <c r="X398" s="15"/>
      <c r="Y398" s="15"/>
      <c r="Z398" s="15"/>
    </row>
    <row r="399" spans="1:26" x14ac:dyDescent="0.3">
      <c r="A399" s="25">
        <v>3.4</v>
      </c>
      <c r="B399" s="26" t="s">
        <v>783</v>
      </c>
      <c r="C399" s="27" t="s">
        <v>784</v>
      </c>
      <c r="D399" s="26" t="s">
        <v>785</v>
      </c>
      <c r="E399" s="26"/>
      <c r="F399" s="24">
        <v>160</v>
      </c>
      <c r="G399" s="24"/>
      <c r="H399" s="24"/>
      <c r="I399" s="24"/>
      <c r="J399" s="24"/>
      <c r="K399" s="24"/>
      <c r="L399" s="15"/>
      <c r="M399" s="15"/>
      <c r="N399" s="15"/>
      <c r="O399" s="15"/>
      <c r="P399" s="15"/>
      <c r="Q399" s="15"/>
      <c r="R399" s="15"/>
      <c r="S399" s="15"/>
      <c r="T399" s="15"/>
      <c r="U399" s="15"/>
      <c r="V399" s="15"/>
      <c r="W399" s="15"/>
      <c r="X399" s="15"/>
      <c r="Y399" s="15"/>
      <c r="Z399" s="15"/>
    </row>
    <row r="400" spans="1:26" x14ac:dyDescent="0.3">
      <c r="A400" s="25">
        <v>3.5</v>
      </c>
      <c r="B400" s="26" t="s">
        <v>786</v>
      </c>
      <c r="C400" s="27" t="s">
        <v>787</v>
      </c>
      <c r="D400" s="26" t="s">
        <v>788</v>
      </c>
      <c r="E400" s="26"/>
      <c r="F400" s="24">
        <v>375</v>
      </c>
      <c r="G400" s="24"/>
      <c r="H400" s="24"/>
      <c r="I400" s="24"/>
      <c r="J400" s="24"/>
      <c r="K400" s="24"/>
      <c r="L400" s="15"/>
      <c r="M400" s="15"/>
      <c r="N400" s="15"/>
      <c r="O400" s="15"/>
      <c r="P400" s="15"/>
      <c r="Q400" s="15"/>
      <c r="R400" s="15"/>
      <c r="S400" s="15"/>
      <c r="T400" s="15"/>
      <c r="U400" s="15"/>
      <c r="V400" s="15"/>
      <c r="W400" s="15"/>
      <c r="X400" s="15"/>
      <c r="Y400" s="15"/>
      <c r="Z400" s="15"/>
    </row>
    <row r="401" spans="1:26" x14ac:dyDescent="0.3">
      <c r="A401" s="17"/>
      <c r="B401" s="17"/>
      <c r="C401" s="17"/>
      <c r="D401" s="17"/>
      <c r="E401" s="17"/>
      <c r="F401" s="17"/>
      <c r="G401" s="17"/>
      <c r="H401" s="17"/>
      <c r="I401" s="17"/>
      <c r="J401" s="17"/>
      <c r="K401" s="17"/>
      <c r="L401" s="15"/>
      <c r="M401" s="15"/>
      <c r="N401" s="15"/>
      <c r="O401" s="15"/>
      <c r="P401" s="15"/>
      <c r="Q401" s="15"/>
      <c r="R401" s="15"/>
      <c r="S401" s="15"/>
      <c r="T401" s="15"/>
      <c r="U401" s="15"/>
      <c r="V401" s="15"/>
      <c r="W401" s="15"/>
      <c r="X401" s="15"/>
      <c r="Y401" s="15"/>
      <c r="Z401" s="15"/>
    </row>
    <row r="402" spans="1:26" x14ac:dyDescent="0.3">
      <c r="A402" s="24">
        <v>4</v>
      </c>
      <c r="B402" s="25">
        <v>10.8</v>
      </c>
      <c r="C402" s="27" t="s">
        <v>789</v>
      </c>
      <c r="D402" s="17"/>
      <c r="E402" s="17"/>
      <c r="F402" s="17"/>
      <c r="G402" s="17"/>
      <c r="H402" s="17"/>
      <c r="I402" s="17"/>
      <c r="J402" s="17"/>
      <c r="K402" s="17"/>
      <c r="L402" s="15"/>
      <c r="M402" s="15"/>
      <c r="N402" s="15"/>
      <c r="O402" s="15"/>
      <c r="P402" s="15"/>
      <c r="Q402" s="15"/>
      <c r="R402" s="15"/>
      <c r="S402" s="15"/>
      <c r="T402" s="15"/>
      <c r="U402" s="15"/>
      <c r="V402" s="15"/>
      <c r="W402" s="15"/>
      <c r="X402" s="15"/>
      <c r="Y402" s="15"/>
      <c r="Z402" s="15"/>
    </row>
    <row r="403" spans="1:26" x14ac:dyDescent="0.3">
      <c r="A403" s="17"/>
      <c r="B403" s="17"/>
      <c r="C403" s="17"/>
      <c r="D403" s="17"/>
      <c r="E403" s="17"/>
      <c r="F403" s="17"/>
      <c r="G403" s="17"/>
      <c r="H403" s="17"/>
      <c r="I403" s="17"/>
      <c r="J403" s="17"/>
      <c r="K403" s="17"/>
      <c r="L403" s="15"/>
      <c r="M403" s="15"/>
      <c r="N403" s="15"/>
      <c r="O403" s="15"/>
      <c r="P403" s="15"/>
      <c r="Q403" s="15"/>
      <c r="R403" s="15"/>
      <c r="S403" s="15"/>
      <c r="T403" s="15"/>
      <c r="U403" s="15"/>
      <c r="V403" s="15"/>
      <c r="W403" s="15"/>
      <c r="X403" s="15"/>
      <c r="Y403" s="15"/>
      <c r="Z403" s="15"/>
    </row>
    <row r="404" spans="1:26" x14ac:dyDescent="0.3">
      <c r="A404" s="25">
        <v>4.0999999999999996</v>
      </c>
      <c r="B404" s="38">
        <v>40391</v>
      </c>
      <c r="C404" s="27" t="s">
        <v>790</v>
      </c>
      <c r="D404" s="26" t="s">
        <v>791</v>
      </c>
      <c r="E404" s="26"/>
      <c r="F404" s="24">
        <v>33623</v>
      </c>
      <c r="G404" s="24"/>
      <c r="H404" s="24"/>
      <c r="I404" s="24"/>
      <c r="J404" s="24"/>
      <c r="K404" s="24"/>
      <c r="L404" s="15"/>
      <c r="M404" s="15"/>
      <c r="N404" s="15"/>
      <c r="O404" s="15"/>
      <c r="P404" s="15"/>
      <c r="Q404" s="15"/>
      <c r="R404" s="15"/>
      <c r="S404" s="15"/>
      <c r="T404" s="15"/>
      <c r="U404" s="15"/>
      <c r="V404" s="15"/>
      <c r="W404" s="15"/>
      <c r="X404" s="15"/>
      <c r="Y404" s="15"/>
      <c r="Z404" s="15"/>
    </row>
    <row r="405" spans="1:26" x14ac:dyDescent="0.3">
      <c r="A405" s="25">
        <v>4.2</v>
      </c>
      <c r="B405" s="38">
        <v>40392</v>
      </c>
      <c r="C405" s="27" t="s">
        <v>792</v>
      </c>
      <c r="D405" s="26" t="s">
        <v>793</v>
      </c>
      <c r="E405" s="26"/>
      <c r="F405" s="24">
        <v>2335</v>
      </c>
      <c r="G405" s="24"/>
      <c r="H405" s="24"/>
      <c r="I405" s="24"/>
      <c r="J405" s="24"/>
      <c r="K405" s="24"/>
      <c r="L405" s="15"/>
      <c r="M405" s="15"/>
      <c r="N405" s="15"/>
      <c r="O405" s="15"/>
      <c r="P405" s="15"/>
      <c r="Q405" s="15"/>
      <c r="R405" s="15"/>
      <c r="S405" s="15"/>
      <c r="T405" s="15"/>
      <c r="U405" s="15"/>
      <c r="V405" s="15"/>
      <c r="W405" s="15"/>
      <c r="X405" s="15"/>
      <c r="Y405" s="15"/>
      <c r="Z405" s="15"/>
    </row>
    <row r="406" spans="1:26" x14ac:dyDescent="0.3">
      <c r="A406" s="25">
        <v>4.3</v>
      </c>
      <c r="B406" s="38">
        <v>40393</v>
      </c>
      <c r="C406" s="27" t="s">
        <v>794</v>
      </c>
      <c r="D406" s="26" t="s">
        <v>795</v>
      </c>
      <c r="E406" s="26"/>
      <c r="F406" s="24">
        <v>2025</v>
      </c>
      <c r="G406" s="24"/>
      <c r="H406" s="24"/>
      <c r="I406" s="24"/>
      <c r="J406" s="24"/>
      <c r="K406" s="24"/>
      <c r="L406" s="15"/>
      <c r="M406" s="15"/>
      <c r="N406" s="15"/>
      <c r="O406" s="15"/>
      <c r="P406" s="15"/>
      <c r="Q406" s="15"/>
      <c r="R406" s="15"/>
      <c r="S406" s="15"/>
      <c r="T406" s="15"/>
      <c r="U406" s="15"/>
      <c r="V406" s="15"/>
      <c r="W406" s="15"/>
      <c r="X406" s="15"/>
      <c r="Y406" s="15"/>
      <c r="Z406" s="15"/>
    </row>
    <row r="407" spans="1:26" x14ac:dyDescent="0.3">
      <c r="A407" s="25">
        <v>4.4000000000000004</v>
      </c>
      <c r="B407" s="38">
        <v>40394</v>
      </c>
      <c r="C407" s="27" t="s">
        <v>796</v>
      </c>
      <c r="D407" s="26" t="s">
        <v>797</v>
      </c>
      <c r="E407" s="26"/>
      <c r="F407" s="24">
        <v>4050</v>
      </c>
      <c r="G407" s="24"/>
      <c r="H407" s="24"/>
      <c r="I407" s="24"/>
      <c r="J407" s="24"/>
      <c r="K407" s="24"/>
      <c r="L407" s="15"/>
      <c r="M407" s="15"/>
      <c r="N407" s="15"/>
      <c r="O407" s="15"/>
      <c r="P407" s="15"/>
      <c r="Q407" s="15"/>
      <c r="R407" s="15"/>
      <c r="S407" s="15"/>
      <c r="T407" s="15"/>
      <c r="U407" s="15"/>
      <c r="V407" s="15"/>
      <c r="W407" s="15"/>
      <c r="X407" s="15"/>
      <c r="Y407" s="15"/>
      <c r="Z407" s="15"/>
    </row>
    <row r="408" spans="1:26" x14ac:dyDescent="0.3">
      <c r="A408" s="17"/>
      <c r="B408" s="17"/>
      <c r="C408" s="17"/>
      <c r="D408" s="17"/>
      <c r="E408" s="17"/>
      <c r="F408" s="17"/>
      <c r="G408" s="17"/>
      <c r="H408" s="17"/>
      <c r="I408" s="17"/>
      <c r="J408" s="17"/>
      <c r="K408" s="17"/>
      <c r="L408" s="15"/>
      <c r="M408" s="15"/>
      <c r="N408" s="15"/>
      <c r="O408" s="15"/>
      <c r="P408" s="15"/>
      <c r="Q408" s="15"/>
      <c r="R408" s="15"/>
      <c r="S408" s="15"/>
      <c r="T408" s="15"/>
      <c r="U408" s="15"/>
      <c r="V408" s="15"/>
      <c r="W408" s="15"/>
      <c r="X408" s="15"/>
      <c r="Y408" s="15"/>
      <c r="Z408" s="15"/>
    </row>
    <row r="409" spans="1:26" x14ac:dyDescent="0.3">
      <c r="A409" s="17"/>
      <c r="B409" s="17"/>
      <c r="C409" s="17"/>
      <c r="D409" s="17"/>
      <c r="E409" s="17"/>
      <c r="F409" s="17"/>
      <c r="G409" s="17"/>
      <c r="H409" s="17"/>
      <c r="I409" s="17"/>
      <c r="J409" s="17"/>
      <c r="K409" s="17"/>
      <c r="L409" s="15"/>
      <c r="M409" s="15"/>
      <c r="N409" s="15"/>
      <c r="O409" s="15"/>
      <c r="P409" s="15"/>
      <c r="Q409" s="15"/>
      <c r="R409" s="15"/>
      <c r="S409" s="15"/>
      <c r="T409" s="15"/>
      <c r="U409" s="15"/>
      <c r="V409" s="15"/>
      <c r="W409" s="15"/>
      <c r="X409" s="15"/>
      <c r="Y409" s="15"/>
      <c r="Z409" s="15"/>
    </row>
    <row r="410" spans="1:26" x14ac:dyDescent="0.3">
      <c r="A410" s="22"/>
      <c r="B410" s="22"/>
      <c r="C410" s="21" t="s">
        <v>798</v>
      </c>
      <c r="D410" s="22"/>
      <c r="E410" s="22"/>
      <c r="F410" s="22"/>
      <c r="G410" s="22"/>
      <c r="H410" s="22"/>
      <c r="I410" s="22"/>
      <c r="J410" s="22"/>
      <c r="K410" s="22"/>
      <c r="L410" s="15"/>
      <c r="M410" s="15"/>
      <c r="N410" s="15"/>
      <c r="O410" s="15"/>
      <c r="P410" s="15"/>
      <c r="Q410" s="15"/>
      <c r="R410" s="15"/>
      <c r="S410" s="15"/>
      <c r="T410" s="15"/>
      <c r="U410" s="15"/>
      <c r="V410" s="15"/>
      <c r="W410" s="15"/>
      <c r="X410" s="15"/>
      <c r="Y410" s="15"/>
      <c r="Z410" s="15"/>
    </row>
    <row r="411" spans="1:26" x14ac:dyDescent="0.3">
      <c r="A411" s="17"/>
      <c r="B411" s="17"/>
      <c r="C411" s="17"/>
      <c r="D411" s="17"/>
      <c r="E411" s="17"/>
      <c r="F411" s="17"/>
      <c r="G411" s="17"/>
      <c r="H411" s="17"/>
      <c r="I411" s="17"/>
      <c r="J411" s="17"/>
      <c r="K411" s="17"/>
      <c r="L411" s="15"/>
      <c r="M411" s="15"/>
      <c r="N411" s="15"/>
      <c r="O411" s="15"/>
      <c r="P411" s="15"/>
      <c r="Q411" s="15"/>
      <c r="R411" s="15"/>
      <c r="S411" s="15"/>
      <c r="T411" s="15"/>
      <c r="U411" s="15"/>
      <c r="V411" s="15"/>
      <c r="W411" s="15"/>
      <c r="X411" s="15"/>
      <c r="Y411" s="15"/>
      <c r="Z411" s="15"/>
    </row>
    <row r="412" spans="1:26" x14ac:dyDescent="0.3">
      <c r="A412" s="20" t="s">
        <v>799</v>
      </c>
      <c r="B412" s="21" t="s">
        <v>800</v>
      </c>
      <c r="C412" s="21" t="s">
        <v>801</v>
      </c>
      <c r="D412" s="22"/>
      <c r="E412" s="22"/>
      <c r="F412" s="22"/>
      <c r="G412" s="22"/>
      <c r="H412" s="22"/>
      <c r="I412" s="22"/>
      <c r="J412" s="22"/>
      <c r="K412" s="22"/>
      <c r="L412" s="15"/>
      <c r="M412" s="15"/>
      <c r="N412" s="15"/>
      <c r="O412" s="15"/>
      <c r="P412" s="15"/>
      <c r="Q412" s="15"/>
      <c r="R412" s="15"/>
      <c r="S412" s="15"/>
      <c r="T412" s="15"/>
      <c r="U412" s="15"/>
      <c r="V412" s="15"/>
      <c r="W412" s="15"/>
      <c r="X412" s="15"/>
      <c r="Y412" s="15"/>
      <c r="Z412" s="15"/>
    </row>
    <row r="413" spans="1:26" x14ac:dyDescent="0.3">
      <c r="A413" s="17"/>
      <c r="B413" s="17"/>
      <c r="C413" s="17"/>
      <c r="D413" s="17"/>
      <c r="E413" s="17"/>
      <c r="F413" s="17"/>
      <c r="G413" s="17"/>
      <c r="H413" s="17"/>
      <c r="I413" s="17"/>
      <c r="J413" s="17"/>
      <c r="K413" s="17"/>
      <c r="L413" s="15"/>
      <c r="M413" s="15"/>
      <c r="N413" s="15"/>
      <c r="O413" s="15"/>
      <c r="P413" s="15"/>
      <c r="Q413" s="15"/>
      <c r="R413" s="15"/>
      <c r="S413" s="15"/>
      <c r="T413" s="15"/>
      <c r="U413" s="15"/>
      <c r="V413" s="15"/>
      <c r="W413" s="15"/>
      <c r="X413" s="15"/>
      <c r="Y413" s="15"/>
      <c r="Z413" s="15"/>
    </row>
    <row r="414" spans="1:26" x14ac:dyDescent="0.3">
      <c r="A414" s="24">
        <v>1</v>
      </c>
      <c r="B414" s="27" t="s">
        <v>802</v>
      </c>
      <c r="C414" s="27" t="s">
        <v>803</v>
      </c>
      <c r="D414" s="17"/>
      <c r="E414" s="17"/>
      <c r="F414" s="17"/>
      <c r="G414" s="17"/>
      <c r="H414" s="17"/>
      <c r="I414" s="17"/>
      <c r="J414" s="17"/>
      <c r="K414" s="17"/>
      <c r="L414" s="15"/>
      <c r="M414" s="15"/>
      <c r="N414" s="15"/>
      <c r="O414" s="15"/>
      <c r="P414" s="15"/>
      <c r="Q414" s="15"/>
      <c r="R414" s="15"/>
      <c r="S414" s="15"/>
      <c r="T414" s="15"/>
      <c r="U414" s="15"/>
      <c r="V414" s="15"/>
      <c r="W414" s="15"/>
      <c r="X414" s="15"/>
      <c r="Y414" s="15"/>
      <c r="Z414" s="15"/>
    </row>
    <row r="415" spans="1:26" x14ac:dyDescent="0.3">
      <c r="A415" s="17"/>
      <c r="B415" s="17"/>
      <c r="C415" s="17"/>
      <c r="D415" s="17"/>
      <c r="E415" s="17"/>
      <c r="F415" s="17"/>
      <c r="G415" s="17"/>
      <c r="H415" s="17"/>
      <c r="I415" s="17"/>
      <c r="J415" s="17"/>
      <c r="K415" s="17"/>
      <c r="L415" s="15"/>
      <c r="M415" s="15"/>
      <c r="N415" s="15"/>
      <c r="O415" s="15"/>
      <c r="P415" s="15"/>
      <c r="Q415" s="15"/>
      <c r="R415" s="15"/>
      <c r="S415" s="15"/>
      <c r="T415" s="15"/>
      <c r="U415" s="15"/>
      <c r="V415" s="15"/>
      <c r="W415" s="15"/>
      <c r="X415" s="15"/>
      <c r="Y415" s="15"/>
      <c r="Z415" s="15"/>
    </row>
    <row r="416" spans="1:26" x14ac:dyDescent="0.3">
      <c r="A416" s="25">
        <v>1.5</v>
      </c>
      <c r="B416" s="26" t="s">
        <v>804</v>
      </c>
      <c r="C416" s="27" t="s">
        <v>805</v>
      </c>
      <c r="D416" s="26" t="s">
        <v>806</v>
      </c>
      <c r="E416" s="26"/>
      <c r="F416" s="24">
        <v>4</v>
      </c>
      <c r="G416" s="24"/>
      <c r="H416" s="24"/>
      <c r="I416" s="24"/>
      <c r="J416" s="24"/>
      <c r="K416" s="24"/>
      <c r="L416" s="15"/>
      <c r="M416" s="15"/>
      <c r="N416" s="15"/>
      <c r="O416" s="15"/>
      <c r="P416" s="15"/>
      <c r="Q416" s="15"/>
      <c r="R416" s="15"/>
      <c r="S416" s="15"/>
      <c r="T416" s="15"/>
      <c r="U416" s="15"/>
      <c r="V416" s="15"/>
      <c r="W416" s="15"/>
      <c r="X416" s="15"/>
      <c r="Y416" s="15"/>
      <c r="Z416" s="15"/>
    </row>
    <row r="417" spans="1:26" x14ac:dyDescent="0.3">
      <c r="A417" s="25">
        <v>1.9</v>
      </c>
      <c r="B417" s="27" t="s">
        <v>807</v>
      </c>
      <c r="C417" s="27" t="s">
        <v>808</v>
      </c>
      <c r="D417" s="26" t="s">
        <v>809</v>
      </c>
      <c r="E417" s="26"/>
      <c r="F417" s="24">
        <v>4</v>
      </c>
      <c r="G417" s="24"/>
      <c r="H417" s="24"/>
      <c r="I417" s="24"/>
      <c r="J417" s="24"/>
      <c r="K417" s="24"/>
      <c r="L417" s="15"/>
      <c r="M417" s="15"/>
      <c r="N417" s="15"/>
      <c r="O417" s="15"/>
      <c r="P417" s="15"/>
      <c r="Q417" s="15"/>
      <c r="R417" s="15"/>
      <c r="S417" s="15"/>
      <c r="T417" s="15"/>
      <c r="U417" s="15"/>
      <c r="V417" s="15"/>
      <c r="W417" s="15"/>
      <c r="X417" s="15"/>
      <c r="Y417" s="15"/>
      <c r="Z417" s="15"/>
    </row>
    <row r="418" spans="1:26" x14ac:dyDescent="0.3">
      <c r="A418" s="29">
        <v>1.1000000000000001</v>
      </c>
      <c r="B418" s="27" t="s">
        <v>810</v>
      </c>
      <c r="C418" s="27" t="s">
        <v>811</v>
      </c>
      <c r="D418" s="26" t="s">
        <v>812</v>
      </c>
      <c r="E418" s="26"/>
      <c r="F418" s="24">
        <v>8</v>
      </c>
      <c r="G418" s="24"/>
      <c r="H418" s="24"/>
      <c r="I418" s="24"/>
      <c r="J418" s="24"/>
      <c r="K418" s="24"/>
      <c r="L418" s="15"/>
      <c r="M418" s="15"/>
      <c r="N418" s="15"/>
      <c r="O418" s="15"/>
      <c r="P418" s="15"/>
      <c r="Q418" s="15"/>
      <c r="R418" s="15"/>
      <c r="S418" s="15"/>
      <c r="T418" s="15"/>
      <c r="U418" s="15"/>
      <c r="V418" s="15"/>
      <c r="W418" s="15"/>
      <c r="X418" s="15"/>
      <c r="Y418" s="15"/>
      <c r="Z418" s="15"/>
    </row>
    <row r="419" spans="1:26" x14ac:dyDescent="0.3">
      <c r="A419" s="29">
        <v>1.1100000000000001</v>
      </c>
      <c r="B419" s="27" t="s">
        <v>813</v>
      </c>
      <c r="C419" s="27" t="s">
        <v>814</v>
      </c>
      <c r="D419" s="26" t="s">
        <v>815</v>
      </c>
      <c r="E419" s="26"/>
      <c r="F419" s="24">
        <v>16</v>
      </c>
      <c r="G419" s="24"/>
      <c r="H419" s="24"/>
      <c r="I419" s="24"/>
      <c r="J419" s="24"/>
      <c r="K419" s="24"/>
      <c r="L419" s="15"/>
      <c r="M419" s="15"/>
      <c r="N419" s="15"/>
      <c r="O419" s="15"/>
      <c r="P419" s="15"/>
      <c r="Q419" s="15"/>
      <c r="R419" s="15"/>
      <c r="S419" s="15"/>
      <c r="T419" s="15"/>
      <c r="U419" s="15"/>
      <c r="V419" s="15"/>
      <c r="W419" s="15"/>
      <c r="X419" s="15"/>
      <c r="Y419" s="15"/>
      <c r="Z419" s="15"/>
    </row>
    <row r="420" spans="1:26" x14ac:dyDescent="0.3">
      <c r="A420" s="29">
        <v>1.1200000000000001</v>
      </c>
      <c r="B420" s="27" t="s">
        <v>816</v>
      </c>
      <c r="C420" s="27" t="s">
        <v>817</v>
      </c>
      <c r="D420" s="26" t="s">
        <v>818</v>
      </c>
      <c r="E420" s="26"/>
      <c r="F420" s="24">
        <v>30</v>
      </c>
      <c r="G420" s="24"/>
      <c r="H420" s="24"/>
      <c r="I420" s="24"/>
      <c r="J420" s="24"/>
      <c r="K420" s="24"/>
      <c r="L420" s="15"/>
      <c r="M420" s="15"/>
      <c r="N420" s="15"/>
      <c r="O420" s="15"/>
      <c r="P420" s="15"/>
      <c r="Q420" s="15"/>
      <c r="R420" s="15"/>
      <c r="S420" s="15"/>
      <c r="T420" s="15"/>
      <c r="U420" s="15"/>
      <c r="V420" s="15"/>
      <c r="W420" s="15"/>
      <c r="X420" s="15"/>
      <c r="Y420" s="15"/>
      <c r="Z420" s="15"/>
    </row>
    <row r="421" spans="1:26" x14ac:dyDescent="0.3">
      <c r="A421" s="29">
        <v>1.1299999999999999</v>
      </c>
      <c r="B421" s="27" t="s">
        <v>819</v>
      </c>
      <c r="C421" s="27" t="s">
        <v>820</v>
      </c>
      <c r="D421" s="26" t="s">
        <v>821</v>
      </c>
      <c r="E421" s="26"/>
      <c r="F421" s="24">
        <v>20</v>
      </c>
      <c r="G421" s="24"/>
      <c r="H421" s="24"/>
      <c r="I421" s="24"/>
      <c r="J421" s="24"/>
      <c r="K421" s="24"/>
      <c r="L421" s="15"/>
      <c r="M421" s="15"/>
      <c r="N421" s="15"/>
      <c r="O421" s="15"/>
      <c r="P421" s="15"/>
      <c r="Q421" s="15"/>
      <c r="R421" s="15"/>
      <c r="S421" s="15"/>
      <c r="T421" s="15"/>
      <c r="U421" s="15"/>
      <c r="V421" s="15"/>
      <c r="W421" s="15"/>
      <c r="X421" s="15"/>
      <c r="Y421" s="15"/>
      <c r="Z421" s="15"/>
    </row>
    <row r="422" spans="1:26" x14ac:dyDescent="0.3">
      <c r="A422" s="29">
        <v>1.1399999999999999</v>
      </c>
      <c r="B422" s="27" t="s">
        <v>822</v>
      </c>
      <c r="C422" s="27" t="s">
        <v>823</v>
      </c>
      <c r="D422" s="26" t="s">
        <v>824</v>
      </c>
      <c r="E422" s="26"/>
      <c r="F422" s="24">
        <v>28</v>
      </c>
      <c r="G422" s="24"/>
      <c r="H422" s="24"/>
      <c r="I422" s="24"/>
      <c r="J422" s="24"/>
      <c r="K422" s="24"/>
      <c r="L422" s="15"/>
      <c r="M422" s="15"/>
      <c r="N422" s="15"/>
      <c r="O422" s="15"/>
      <c r="P422" s="15"/>
      <c r="Q422" s="15"/>
      <c r="R422" s="15"/>
      <c r="S422" s="15"/>
      <c r="T422" s="15"/>
      <c r="U422" s="15"/>
      <c r="V422" s="15"/>
      <c r="W422" s="15"/>
      <c r="X422" s="15"/>
      <c r="Y422" s="15"/>
      <c r="Z422" s="15"/>
    </row>
    <row r="423" spans="1:26" x14ac:dyDescent="0.3">
      <c r="A423" s="29">
        <v>1.1499999999999999</v>
      </c>
      <c r="B423" s="27" t="s">
        <v>825</v>
      </c>
      <c r="C423" s="27" t="s">
        <v>826</v>
      </c>
      <c r="D423" s="26" t="s">
        <v>827</v>
      </c>
      <c r="E423" s="26"/>
      <c r="F423" s="24">
        <v>2</v>
      </c>
      <c r="G423" s="24"/>
      <c r="H423" s="24"/>
      <c r="I423" s="24"/>
      <c r="J423" s="24"/>
      <c r="K423" s="24"/>
      <c r="L423" s="15"/>
      <c r="M423" s="15"/>
      <c r="N423" s="15"/>
      <c r="O423" s="15"/>
      <c r="P423" s="15"/>
      <c r="Q423" s="15"/>
      <c r="R423" s="15"/>
      <c r="S423" s="15"/>
      <c r="T423" s="15"/>
      <c r="U423" s="15"/>
      <c r="V423" s="15"/>
      <c r="W423" s="15"/>
      <c r="X423" s="15"/>
      <c r="Y423" s="15"/>
      <c r="Z423" s="15"/>
    </row>
    <row r="424" spans="1:26" x14ac:dyDescent="0.3">
      <c r="A424" s="29">
        <v>1.1599999999999999</v>
      </c>
      <c r="B424" s="27" t="s">
        <v>828</v>
      </c>
      <c r="C424" s="27" t="s">
        <v>829</v>
      </c>
      <c r="D424" s="26" t="s">
        <v>830</v>
      </c>
      <c r="E424" s="26"/>
      <c r="F424" s="24">
        <v>2</v>
      </c>
      <c r="G424" s="24"/>
      <c r="H424" s="24"/>
      <c r="I424" s="24"/>
      <c r="J424" s="24"/>
      <c r="K424" s="24"/>
      <c r="L424" s="15"/>
      <c r="M424" s="15"/>
      <c r="N424" s="15"/>
      <c r="O424" s="15"/>
      <c r="P424" s="15"/>
      <c r="Q424" s="15"/>
      <c r="R424" s="15"/>
      <c r="S424" s="15"/>
      <c r="T424" s="15"/>
      <c r="U424" s="15"/>
      <c r="V424" s="15"/>
      <c r="W424" s="15"/>
      <c r="X424" s="15"/>
      <c r="Y424" s="15"/>
      <c r="Z424" s="15"/>
    </row>
    <row r="425" spans="1:26" x14ac:dyDescent="0.3">
      <c r="A425" s="29">
        <v>1.17</v>
      </c>
      <c r="B425" s="27" t="s">
        <v>831</v>
      </c>
      <c r="C425" s="27" t="s">
        <v>832</v>
      </c>
      <c r="D425" s="26" t="s">
        <v>833</v>
      </c>
      <c r="E425" s="26"/>
      <c r="F425" s="24">
        <v>22</v>
      </c>
      <c r="G425" s="24"/>
      <c r="H425" s="24"/>
      <c r="I425" s="24"/>
      <c r="J425" s="24"/>
      <c r="K425" s="24"/>
      <c r="L425" s="15"/>
      <c r="M425" s="15"/>
      <c r="N425" s="15"/>
      <c r="O425" s="15"/>
      <c r="P425" s="15"/>
      <c r="Q425" s="15"/>
      <c r="R425" s="15"/>
      <c r="S425" s="15"/>
      <c r="T425" s="15"/>
      <c r="U425" s="15"/>
      <c r="V425" s="15"/>
      <c r="W425" s="15"/>
      <c r="X425" s="15"/>
      <c r="Y425" s="15"/>
      <c r="Z425" s="15"/>
    </row>
    <row r="426" spans="1:26" x14ac:dyDescent="0.3">
      <c r="A426" s="29">
        <v>1.18</v>
      </c>
      <c r="B426" s="27" t="s">
        <v>834</v>
      </c>
      <c r="C426" s="27" t="s">
        <v>835</v>
      </c>
      <c r="D426" s="26" t="s">
        <v>836</v>
      </c>
      <c r="E426" s="26"/>
      <c r="F426" s="24">
        <v>12</v>
      </c>
      <c r="G426" s="24"/>
      <c r="H426" s="24"/>
      <c r="I426" s="24"/>
      <c r="J426" s="24"/>
      <c r="K426" s="24"/>
      <c r="L426" s="15"/>
      <c r="M426" s="15"/>
      <c r="N426" s="15"/>
      <c r="O426" s="15"/>
      <c r="P426" s="15"/>
      <c r="Q426" s="15"/>
      <c r="R426" s="15"/>
      <c r="S426" s="15"/>
      <c r="T426" s="15"/>
      <c r="U426" s="15"/>
      <c r="V426" s="15"/>
      <c r="W426" s="15"/>
      <c r="X426" s="15"/>
      <c r="Y426" s="15"/>
      <c r="Z426" s="15"/>
    </row>
    <row r="427" spans="1:26" x14ac:dyDescent="0.3">
      <c r="A427" s="29">
        <v>1.19</v>
      </c>
      <c r="B427" s="27" t="s">
        <v>837</v>
      </c>
      <c r="C427" s="27" t="s">
        <v>838</v>
      </c>
      <c r="D427" s="26" t="s">
        <v>839</v>
      </c>
      <c r="E427" s="26"/>
      <c r="F427" s="24">
        <v>60</v>
      </c>
      <c r="G427" s="24"/>
      <c r="H427" s="24"/>
      <c r="I427" s="24"/>
      <c r="J427" s="24"/>
      <c r="K427" s="24"/>
      <c r="L427" s="15"/>
      <c r="M427" s="15"/>
      <c r="N427" s="15"/>
      <c r="O427" s="15"/>
      <c r="P427" s="15"/>
      <c r="Q427" s="15"/>
      <c r="R427" s="15"/>
      <c r="S427" s="15"/>
      <c r="T427" s="15"/>
      <c r="U427" s="15"/>
      <c r="V427" s="15"/>
      <c r="W427" s="15"/>
      <c r="X427" s="15"/>
      <c r="Y427" s="15"/>
      <c r="Z427" s="15"/>
    </row>
    <row r="428" spans="1:26" x14ac:dyDescent="0.3">
      <c r="A428" s="29">
        <v>1.22</v>
      </c>
      <c r="B428" s="27" t="s">
        <v>840</v>
      </c>
      <c r="C428" s="27" t="s">
        <v>841</v>
      </c>
      <c r="D428" s="26" t="s">
        <v>842</v>
      </c>
      <c r="E428" s="26"/>
      <c r="F428" s="24">
        <v>48</v>
      </c>
      <c r="G428" s="24"/>
      <c r="H428" s="24"/>
      <c r="I428" s="24"/>
      <c r="J428" s="24"/>
      <c r="K428" s="24"/>
      <c r="L428" s="15"/>
      <c r="M428" s="15"/>
      <c r="N428" s="15"/>
      <c r="O428" s="15"/>
      <c r="P428" s="15"/>
      <c r="Q428" s="15"/>
      <c r="R428" s="15"/>
      <c r="S428" s="15"/>
      <c r="T428" s="15"/>
      <c r="U428" s="15"/>
      <c r="V428" s="15"/>
      <c r="W428" s="15"/>
      <c r="X428" s="15"/>
      <c r="Y428" s="15"/>
      <c r="Z428" s="15"/>
    </row>
    <row r="429" spans="1:26" x14ac:dyDescent="0.3">
      <c r="A429" s="17"/>
      <c r="B429" s="17"/>
      <c r="C429" s="17"/>
      <c r="D429" s="17"/>
      <c r="E429" s="17"/>
      <c r="F429" s="17"/>
      <c r="G429" s="17"/>
      <c r="H429" s="17"/>
      <c r="I429" s="17"/>
      <c r="J429" s="17"/>
      <c r="K429" s="17"/>
      <c r="L429" s="15"/>
      <c r="M429" s="15"/>
      <c r="N429" s="15"/>
      <c r="O429" s="15"/>
      <c r="P429" s="15"/>
      <c r="Q429" s="15"/>
      <c r="R429" s="15"/>
      <c r="S429" s="15"/>
      <c r="T429" s="15"/>
      <c r="U429" s="15"/>
      <c r="V429" s="15"/>
      <c r="W429" s="15"/>
      <c r="X429" s="15"/>
      <c r="Y429" s="15"/>
      <c r="Z429" s="15"/>
    </row>
    <row r="430" spans="1:26" x14ac:dyDescent="0.3">
      <c r="A430" s="24">
        <v>2</v>
      </c>
      <c r="B430" s="17"/>
      <c r="C430" s="35" t="s">
        <v>843</v>
      </c>
      <c r="D430" s="17"/>
      <c r="E430" s="17"/>
      <c r="F430" s="17"/>
      <c r="G430" s="17"/>
      <c r="H430" s="17"/>
      <c r="I430" s="17"/>
      <c r="J430" s="17"/>
      <c r="K430" s="17"/>
      <c r="L430" s="15"/>
      <c r="M430" s="15"/>
      <c r="N430" s="15"/>
      <c r="O430" s="15"/>
      <c r="P430" s="15"/>
      <c r="Q430" s="15"/>
      <c r="R430" s="15"/>
      <c r="S430" s="15"/>
      <c r="T430" s="15"/>
      <c r="U430" s="15"/>
      <c r="V430" s="15"/>
      <c r="W430" s="15"/>
      <c r="X430" s="15"/>
      <c r="Y430" s="15"/>
      <c r="Z430" s="15"/>
    </row>
    <row r="431" spans="1:26" x14ac:dyDescent="0.3">
      <c r="A431" s="17"/>
      <c r="B431" s="17"/>
      <c r="C431" s="17" t="s">
        <v>844</v>
      </c>
      <c r="D431" s="17"/>
      <c r="E431" s="17"/>
      <c r="F431" s="17"/>
      <c r="G431" s="17"/>
      <c r="H431" s="17"/>
      <c r="I431" s="17"/>
      <c r="J431" s="17"/>
      <c r="K431" s="17"/>
      <c r="L431" s="15"/>
      <c r="M431" s="15"/>
      <c r="N431" s="15"/>
      <c r="O431" s="15"/>
      <c r="P431" s="15"/>
      <c r="Q431" s="15"/>
      <c r="R431" s="15"/>
      <c r="S431" s="15"/>
      <c r="T431" s="15"/>
      <c r="U431" s="15"/>
      <c r="V431" s="15"/>
      <c r="W431" s="15"/>
      <c r="X431" s="15"/>
      <c r="Y431" s="15"/>
      <c r="Z431" s="15"/>
    </row>
    <row r="432" spans="1:26" x14ac:dyDescent="0.3">
      <c r="A432" s="17"/>
      <c r="B432" s="17"/>
      <c r="C432" s="17"/>
      <c r="D432" s="17"/>
      <c r="E432" s="17"/>
      <c r="F432" s="17"/>
      <c r="G432" s="17"/>
      <c r="H432" s="17"/>
      <c r="I432" s="17"/>
      <c r="J432" s="17"/>
      <c r="K432" s="17"/>
      <c r="L432" s="15"/>
      <c r="M432" s="15"/>
      <c r="N432" s="15"/>
      <c r="O432" s="15"/>
      <c r="P432" s="15"/>
      <c r="Q432" s="15"/>
      <c r="R432" s="15"/>
      <c r="S432" s="15"/>
      <c r="T432" s="15"/>
      <c r="U432" s="15"/>
      <c r="V432" s="15"/>
      <c r="W432" s="15"/>
      <c r="X432" s="15"/>
      <c r="Y432" s="15"/>
      <c r="Z432" s="15"/>
    </row>
    <row r="433" spans="1:26" x14ac:dyDescent="0.3">
      <c r="A433" s="25">
        <v>2.1</v>
      </c>
      <c r="B433" s="26" t="s">
        <v>845</v>
      </c>
      <c r="C433" s="27" t="s">
        <v>846</v>
      </c>
      <c r="D433" s="26" t="s">
        <v>847</v>
      </c>
      <c r="E433" s="26"/>
      <c r="F433" s="24">
        <v>10</v>
      </c>
      <c r="G433" s="24"/>
      <c r="H433" s="24"/>
      <c r="I433" s="24"/>
      <c r="J433" s="24"/>
      <c r="K433" s="24"/>
      <c r="L433" s="15"/>
      <c r="M433" s="15"/>
      <c r="N433" s="15"/>
      <c r="O433" s="15"/>
      <c r="P433" s="15"/>
      <c r="Q433" s="15"/>
      <c r="R433" s="15"/>
      <c r="S433" s="15"/>
      <c r="T433" s="15"/>
      <c r="U433" s="15"/>
      <c r="V433" s="15"/>
      <c r="W433" s="15"/>
      <c r="X433" s="15"/>
      <c r="Y433" s="15"/>
      <c r="Z433" s="15"/>
    </row>
    <row r="434" spans="1:26" x14ac:dyDescent="0.3">
      <c r="A434" s="25">
        <v>2.2000000000000002</v>
      </c>
      <c r="B434" s="26" t="s">
        <v>848</v>
      </c>
      <c r="C434" s="27" t="s">
        <v>849</v>
      </c>
      <c r="D434" s="26" t="s">
        <v>850</v>
      </c>
      <c r="E434" s="26"/>
      <c r="F434" s="24">
        <v>200</v>
      </c>
      <c r="G434" s="24"/>
      <c r="H434" s="24"/>
      <c r="I434" s="24"/>
      <c r="J434" s="24"/>
      <c r="K434" s="24"/>
      <c r="L434" s="15"/>
      <c r="M434" s="15"/>
      <c r="N434" s="15"/>
      <c r="O434" s="15"/>
      <c r="P434" s="15"/>
      <c r="Q434" s="15"/>
      <c r="R434" s="15"/>
      <c r="S434" s="15"/>
      <c r="T434" s="15"/>
      <c r="U434" s="15"/>
      <c r="V434" s="15"/>
      <c r="W434" s="15"/>
      <c r="X434" s="15"/>
      <c r="Y434" s="15"/>
      <c r="Z434" s="15"/>
    </row>
    <row r="435" spans="1:26" x14ac:dyDescent="0.3">
      <c r="A435" s="25">
        <v>2.2999999999999998</v>
      </c>
      <c r="B435" s="26" t="s">
        <v>851</v>
      </c>
      <c r="C435" s="27" t="s">
        <v>852</v>
      </c>
      <c r="D435" s="26" t="s">
        <v>853</v>
      </c>
      <c r="E435" s="26"/>
      <c r="F435" s="24">
        <v>22</v>
      </c>
      <c r="G435" s="24"/>
      <c r="H435" s="24"/>
      <c r="I435" s="24"/>
      <c r="J435" s="24"/>
      <c r="K435" s="24"/>
      <c r="L435" s="15"/>
      <c r="M435" s="15"/>
      <c r="N435" s="15"/>
      <c r="O435" s="15"/>
      <c r="P435" s="15"/>
      <c r="Q435" s="15"/>
      <c r="R435" s="15"/>
      <c r="S435" s="15"/>
      <c r="T435" s="15"/>
      <c r="U435" s="15"/>
      <c r="V435" s="15"/>
      <c r="W435" s="15"/>
      <c r="X435" s="15"/>
      <c r="Y435" s="15"/>
      <c r="Z435" s="15"/>
    </row>
    <row r="436" spans="1:26" x14ac:dyDescent="0.3">
      <c r="A436" s="25">
        <v>2.4</v>
      </c>
      <c r="B436" s="26" t="s">
        <v>854</v>
      </c>
      <c r="C436" s="27" t="s">
        <v>855</v>
      </c>
      <c r="D436" s="26" t="s">
        <v>856</v>
      </c>
      <c r="E436" s="26"/>
      <c r="F436" s="24">
        <v>20</v>
      </c>
      <c r="G436" s="24"/>
      <c r="H436" s="24"/>
      <c r="I436" s="24"/>
      <c r="J436" s="24"/>
      <c r="K436" s="24"/>
      <c r="L436" s="15"/>
      <c r="M436" s="15"/>
      <c r="N436" s="15"/>
      <c r="O436" s="15"/>
      <c r="P436" s="15"/>
      <c r="Q436" s="15"/>
      <c r="R436" s="15"/>
      <c r="S436" s="15"/>
      <c r="T436" s="15"/>
      <c r="U436" s="15"/>
      <c r="V436" s="15"/>
      <c r="W436" s="15"/>
      <c r="X436" s="15"/>
      <c r="Y436" s="15"/>
      <c r="Z436" s="15"/>
    </row>
    <row r="437" spans="1:26" x14ac:dyDescent="0.3">
      <c r="A437" s="25">
        <v>2.5</v>
      </c>
      <c r="B437" s="26" t="s">
        <v>857</v>
      </c>
      <c r="C437" s="27" t="s">
        <v>858</v>
      </c>
      <c r="D437" s="26" t="s">
        <v>859</v>
      </c>
      <c r="E437" s="26"/>
      <c r="F437" s="24">
        <v>196</v>
      </c>
      <c r="G437" s="24"/>
      <c r="H437" s="24"/>
      <c r="I437" s="24"/>
      <c r="J437" s="24"/>
      <c r="K437" s="24"/>
      <c r="L437" s="15"/>
      <c r="M437" s="15"/>
      <c r="N437" s="15"/>
      <c r="O437" s="15"/>
      <c r="P437" s="15"/>
      <c r="Q437" s="15"/>
      <c r="R437" s="15"/>
      <c r="S437" s="15"/>
      <c r="T437" s="15"/>
      <c r="U437" s="15"/>
      <c r="V437" s="15"/>
      <c r="W437" s="15"/>
      <c r="X437" s="15"/>
      <c r="Y437" s="15"/>
      <c r="Z437" s="15"/>
    </row>
    <row r="438" spans="1:26" x14ac:dyDescent="0.3">
      <c r="A438" s="25">
        <v>2.6</v>
      </c>
      <c r="B438" s="26" t="s">
        <v>860</v>
      </c>
      <c r="C438" s="27" t="s">
        <v>861</v>
      </c>
      <c r="D438" s="26" t="s">
        <v>862</v>
      </c>
      <c r="E438" s="26"/>
      <c r="F438" s="24">
        <v>148</v>
      </c>
      <c r="G438" s="24"/>
      <c r="H438" s="24"/>
      <c r="I438" s="24"/>
      <c r="J438" s="24"/>
      <c r="K438" s="24"/>
      <c r="L438" s="15"/>
      <c r="M438" s="15"/>
      <c r="N438" s="15"/>
      <c r="O438" s="15"/>
      <c r="P438" s="15"/>
      <c r="Q438" s="15"/>
      <c r="R438" s="15"/>
      <c r="S438" s="15"/>
      <c r="T438" s="15"/>
      <c r="U438" s="15"/>
      <c r="V438" s="15"/>
      <c r="W438" s="15"/>
      <c r="X438" s="15"/>
      <c r="Y438" s="15"/>
      <c r="Z438" s="15"/>
    </row>
    <row r="439" spans="1:26" x14ac:dyDescent="0.3">
      <c r="A439" s="25">
        <v>2.7</v>
      </c>
      <c r="B439" s="26" t="s">
        <v>863</v>
      </c>
      <c r="C439" s="27" t="s">
        <v>864</v>
      </c>
      <c r="D439" s="26" t="s">
        <v>865</v>
      </c>
      <c r="E439" s="26"/>
      <c r="F439" s="24">
        <v>90</v>
      </c>
      <c r="G439" s="24"/>
      <c r="H439" s="24"/>
      <c r="I439" s="24"/>
      <c r="J439" s="24"/>
      <c r="K439" s="24"/>
      <c r="L439" s="15"/>
      <c r="M439" s="15"/>
      <c r="N439" s="15"/>
      <c r="O439" s="15"/>
      <c r="P439" s="15"/>
      <c r="Q439" s="15"/>
      <c r="R439" s="15"/>
      <c r="S439" s="15"/>
      <c r="T439" s="15"/>
      <c r="U439" s="15"/>
      <c r="V439" s="15"/>
      <c r="W439" s="15"/>
      <c r="X439" s="15"/>
      <c r="Y439" s="15"/>
      <c r="Z439" s="15"/>
    </row>
    <row r="440" spans="1:26" x14ac:dyDescent="0.3">
      <c r="A440" s="25">
        <v>2.8</v>
      </c>
      <c r="B440" s="26" t="s">
        <v>866</v>
      </c>
      <c r="C440" s="27" t="s">
        <v>867</v>
      </c>
      <c r="D440" s="26" t="s">
        <v>868</v>
      </c>
      <c r="E440" s="26"/>
      <c r="F440" s="24">
        <v>218</v>
      </c>
      <c r="G440" s="24"/>
      <c r="H440" s="24"/>
      <c r="I440" s="24"/>
      <c r="J440" s="24"/>
      <c r="K440" s="24"/>
      <c r="L440" s="15"/>
      <c r="M440" s="15"/>
      <c r="N440" s="15"/>
      <c r="O440" s="15"/>
      <c r="P440" s="15"/>
      <c r="Q440" s="15"/>
      <c r="R440" s="15"/>
      <c r="S440" s="15"/>
      <c r="T440" s="15"/>
      <c r="U440" s="15"/>
      <c r="V440" s="15"/>
      <c r="W440" s="15"/>
      <c r="X440" s="15"/>
      <c r="Y440" s="15"/>
      <c r="Z440" s="15"/>
    </row>
    <row r="441" spans="1:26" x14ac:dyDescent="0.3">
      <c r="A441" s="25">
        <v>2.9</v>
      </c>
      <c r="B441" s="26" t="s">
        <v>869</v>
      </c>
      <c r="C441" s="27" t="s">
        <v>870</v>
      </c>
      <c r="D441" s="26" t="s">
        <v>871</v>
      </c>
      <c r="E441" s="26"/>
      <c r="F441" s="24">
        <v>156</v>
      </c>
      <c r="G441" s="24"/>
      <c r="H441" s="24"/>
      <c r="I441" s="24"/>
      <c r="J441" s="24"/>
      <c r="K441" s="24"/>
      <c r="L441" s="15"/>
      <c r="M441" s="15"/>
      <c r="N441" s="15"/>
      <c r="O441" s="15"/>
      <c r="P441" s="15"/>
      <c r="Q441" s="15"/>
      <c r="R441" s="15"/>
      <c r="S441" s="15"/>
      <c r="T441" s="15"/>
      <c r="U441" s="15"/>
      <c r="V441" s="15"/>
      <c r="W441" s="15"/>
      <c r="X441" s="15"/>
      <c r="Y441" s="15"/>
      <c r="Z441" s="15"/>
    </row>
    <row r="442" spans="1:26" x14ac:dyDescent="0.3">
      <c r="A442" s="29">
        <v>2.1</v>
      </c>
      <c r="B442" s="26" t="s">
        <v>872</v>
      </c>
      <c r="C442" s="27" t="s">
        <v>873</v>
      </c>
      <c r="D442" s="26" t="s">
        <v>874</v>
      </c>
      <c r="E442" s="26"/>
      <c r="F442" s="24">
        <v>658</v>
      </c>
      <c r="G442" s="24"/>
      <c r="H442" s="24"/>
      <c r="I442" s="24"/>
      <c r="J442" s="24"/>
      <c r="K442" s="24"/>
      <c r="L442" s="15"/>
      <c r="M442" s="15"/>
      <c r="N442" s="15"/>
      <c r="O442" s="15"/>
      <c r="P442" s="15"/>
      <c r="Q442" s="15"/>
      <c r="R442" s="15"/>
      <c r="S442" s="15"/>
      <c r="T442" s="15"/>
      <c r="U442" s="15"/>
      <c r="V442" s="15"/>
      <c r="W442" s="15"/>
      <c r="X442" s="15"/>
      <c r="Y442" s="15"/>
      <c r="Z442" s="15"/>
    </row>
    <row r="443" spans="1:26" x14ac:dyDescent="0.3">
      <c r="A443" s="29">
        <v>2.11</v>
      </c>
      <c r="B443" s="26" t="s">
        <v>875</v>
      </c>
      <c r="C443" s="27" t="s">
        <v>876</v>
      </c>
      <c r="D443" s="26" t="s">
        <v>877</v>
      </c>
      <c r="E443" s="26"/>
      <c r="F443" s="24">
        <v>4</v>
      </c>
      <c r="G443" s="24"/>
      <c r="H443" s="24"/>
      <c r="I443" s="24"/>
      <c r="J443" s="24"/>
      <c r="K443" s="24"/>
      <c r="L443" s="15"/>
      <c r="M443" s="15"/>
      <c r="N443" s="15"/>
      <c r="O443" s="15"/>
      <c r="P443" s="15"/>
      <c r="Q443" s="15"/>
      <c r="R443" s="15"/>
      <c r="S443" s="15"/>
      <c r="T443" s="15"/>
      <c r="U443" s="15"/>
      <c r="V443" s="15"/>
      <c r="W443" s="15"/>
      <c r="X443" s="15"/>
      <c r="Y443" s="15"/>
      <c r="Z443" s="15"/>
    </row>
    <row r="444" spans="1:26" x14ac:dyDescent="0.3">
      <c r="A444" s="29">
        <v>2.12</v>
      </c>
      <c r="B444" s="26" t="s">
        <v>878</v>
      </c>
      <c r="C444" s="27" t="s">
        <v>879</v>
      </c>
      <c r="D444" s="26" t="s">
        <v>880</v>
      </c>
      <c r="E444" s="26"/>
      <c r="F444" s="24">
        <v>28</v>
      </c>
      <c r="G444" s="24"/>
      <c r="H444" s="24"/>
      <c r="I444" s="24"/>
      <c r="J444" s="24"/>
      <c r="K444" s="24"/>
      <c r="L444" s="15"/>
      <c r="M444" s="15"/>
      <c r="N444" s="15"/>
      <c r="O444" s="15"/>
      <c r="P444" s="15"/>
      <c r="Q444" s="15"/>
      <c r="R444" s="15"/>
      <c r="S444" s="15"/>
      <c r="T444" s="15"/>
      <c r="U444" s="15"/>
      <c r="V444" s="15"/>
      <c r="W444" s="15"/>
      <c r="X444" s="15"/>
      <c r="Y444" s="15"/>
      <c r="Z444" s="15"/>
    </row>
    <row r="445" spans="1:26" x14ac:dyDescent="0.3">
      <c r="A445" s="29">
        <v>2.13</v>
      </c>
      <c r="B445" s="26" t="s">
        <v>881</v>
      </c>
      <c r="C445" s="27" t="s">
        <v>882</v>
      </c>
      <c r="D445" s="26" t="s">
        <v>883</v>
      </c>
      <c r="E445" s="26"/>
      <c r="F445" s="24">
        <v>40</v>
      </c>
      <c r="G445" s="24"/>
      <c r="H445" s="24"/>
      <c r="I445" s="24"/>
      <c r="J445" s="24"/>
      <c r="K445" s="24"/>
      <c r="L445" s="15"/>
      <c r="M445" s="15"/>
      <c r="N445" s="15"/>
      <c r="O445" s="15"/>
      <c r="P445" s="15"/>
      <c r="Q445" s="15"/>
      <c r="R445" s="15"/>
      <c r="S445" s="15"/>
      <c r="T445" s="15"/>
      <c r="U445" s="15"/>
      <c r="V445" s="15"/>
      <c r="W445" s="15"/>
      <c r="X445" s="15"/>
      <c r="Y445" s="15"/>
      <c r="Z445" s="15"/>
    </row>
    <row r="446" spans="1:26" x14ac:dyDescent="0.3">
      <c r="A446" s="29">
        <v>2.14</v>
      </c>
      <c r="B446" s="26" t="s">
        <v>884</v>
      </c>
      <c r="C446" s="27" t="s">
        <v>885</v>
      </c>
      <c r="D446" s="26" t="s">
        <v>886</v>
      </c>
      <c r="E446" s="26"/>
      <c r="F446" s="24">
        <v>4</v>
      </c>
      <c r="G446" s="24"/>
      <c r="H446" s="24"/>
      <c r="I446" s="24"/>
      <c r="J446" s="24"/>
      <c r="K446" s="24"/>
      <c r="L446" s="15"/>
      <c r="M446" s="15"/>
      <c r="N446" s="15"/>
      <c r="O446" s="15"/>
      <c r="P446" s="15"/>
      <c r="Q446" s="15"/>
      <c r="R446" s="15"/>
      <c r="S446" s="15"/>
      <c r="T446" s="15"/>
      <c r="U446" s="15"/>
      <c r="V446" s="15"/>
      <c r="W446" s="15"/>
      <c r="X446" s="15"/>
      <c r="Y446" s="15"/>
      <c r="Z446" s="15"/>
    </row>
    <row r="447" spans="1:26" x14ac:dyDescent="0.3">
      <c r="A447" s="29">
        <v>2.15</v>
      </c>
      <c r="B447" s="26" t="s">
        <v>887</v>
      </c>
      <c r="C447" s="27" t="s">
        <v>888</v>
      </c>
      <c r="D447" s="26" t="s">
        <v>889</v>
      </c>
      <c r="E447" s="26"/>
      <c r="F447" s="24">
        <v>30</v>
      </c>
      <c r="G447" s="24"/>
      <c r="H447" s="24"/>
      <c r="I447" s="24"/>
      <c r="J447" s="24"/>
      <c r="K447" s="24"/>
      <c r="L447" s="15"/>
      <c r="M447" s="15"/>
      <c r="N447" s="15"/>
      <c r="O447" s="15"/>
      <c r="P447" s="15"/>
      <c r="Q447" s="15"/>
      <c r="R447" s="15"/>
      <c r="S447" s="15"/>
      <c r="T447" s="15"/>
      <c r="U447" s="15"/>
      <c r="V447" s="15"/>
      <c r="W447" s="15"/>
      <c r="X447" s="15"/>
      <c r="Y447" s="15"/>
      <c r="Z447" s="15"/>
    </row>
    <row r="448" spans="1:26" x14ac:dyDescent="0.3">
      <c r="A448" s="29">
        <v>2.16</v>
      </c>
      <c r="B448" s="26" t="s">
        <v>890</v>
      </c>
      <c r="C448" s="27" t="s">
        <v>891</v>
      </c>
      <c r="D448" s="26" t="s">
        <v>892</v>
      </c>
      <c r="E448" s="26"/>
      <c r="F448" s="24">
        <v>496</v>
      </c>
      <c r="G448" s="24"/>
      <c r="H448" s="24"/>
      <c r="I448" s="24"/>
      <c r="J448" s="24"/>
      <c r="K448" s="24"/>
      <c r="L448" s="15"/>
      <c r="M448" s="15"/>
      <c r="N448" s="15"/>
      <c r="O448" s="15"/>
      <c r="P448" s="15"/>
      <c r="Q448" s="15"/>
      <c r="R448" s="15"/>
      <c r="S448" s="15"/>
      <c r="T448" s="15"/>
      <c r="U448" s="15"/>
      <c r="V448" s="15"/>
      <c r="W448" s="15"/>
      <c r="X448" s="15"/>
      <c r="Y448" s="15"/>
      <c r="Z448" s="15"/>
    </row>
    <row r="449" spans="1:26" x14ac:dyDescent="0.3">
      <c r="A449" s="29">
        <v>2.17</v>
      </c>
      <c r="B449" s="26" t="s">
        <v>893</v>
      </c>
      <c r="C449" s="27" t="s">
        <v>894</v>
      </c>
      <c r="D449" s="26" t="s">
        <v>895</v>
      </c>
      <c r="E449" s="26"/>
      <c r="F449" s="24">
        <v>4</v>
      </c>
      <c r="G449" s="24"/>
      <c r="H449" s="24"/>
      <c r="I449" s="24"/>
      <c r="J449" s="24"/>
      <c r="K449" s="24"/>
      <c r="L449" s="15"/>
      <c r="M449" s="15"/>
      <c r="N449" s="15"/>
      <c r="O449" s="15"/>
      <c r="P449" s="15"/>
      <c r="Q449" s="15"/>
      <c r="R449" s="15"/>
      <c r="S449" s="15"/>
      <c r="T449" s="15"/>
      <c r="U449" s="15"/>
      <c r="V449" s="15"/>
      <c r="W449" s="15"/>
      <c r="X449" s="15"/>
      <c r="Y449" s="15"/>
      <c r="Z449" s="15"/>
    </row>
    <row r="450" spans="1:26" x14ac:dyDescent="0.3">
      <c r="A450" s="29">
        <v>2.1800000000000002</v>
      </c>
      <c r="B450" s="26" t="s">
        <v>896</v>
      </c>
      <c r="C450" s="27" t="s">
        <v>897</v>
      </c>
      <c r="D450" s="26" t="s">
        <v>898</v>
      </c>
      <c r="E450" s="26"/>
      <c r="F450" s="24">
        <v>28</v>
      </c>
      <c r="G450" s="24"/>
      <c r="H450" s="24"/>
      <c r="I450" s="24"/>
      <c r="J450" s="24"/>
      <c r="K450" s="24"/>
      <c r="L450" s="15"/>
      <c r="M450" s="15"/>
      <c r="N450" s="15"/>
      <c r="O450" s="15"/>
      <c r="P450" s="15"/>
      <c r="Q450" s="15"/>
      <c r="R450" s="15"/>
      <c r="S450" s="15"/>
      <c r="T450" s="15"/>
      <c r="U450" s="15"/>
      <c r="V450" s="15"/>
      <c r="W450" s="15"/>
      <c r="X450" s="15"/>
      <c r="Y450" s="15"/>
      <c r="Z450" s="15"/>
    </row>
    <row r="451" spans="1:26" x14ac:dyDescent="0.3">
      <c r="A451" s="29">
        <v>2.19</v>
      </c>
      <c r="B451" s="26" t="s">
        <v>899</v>
      </c>
      <c r="C451" s="27" t="s">
        <v>900</v>
      </c>
      <c r="D451" s="26" t="s">
        <v>901</v>
      </c>
      <c r="E451" s="26"/>
      <c r="F451" s="24">
        <v>40</v>
      </c>
      <c r="G451" s="24"/>
      <c r="H451" s="24"/>
      <c r="I451" s="24"/>
      <c r="J451" s="24"/>
      <c r="K451" s="24"/>
      <c r="L451" s="15"/>
      <c r="M451" s="15"/>
      <c r="N451" s="15"/>
      <c r="O451" s="15"/>
      <c r="P451" s="15"/>
      <c r="Q451" s="15"/>
      <c r="R451" s="15"/>
      <c r="S451" s="15"/>
      <c r="T451" s="15"/>
      <c r="U451" s="15"/>
      <c r="V451" s="15"/>
      <c r="W451" s="15"/>
      <c r="X451" s="15"/>
      <c r="Y451" s="15"/>
      <c r="Z451" s="15"/>
    </row>
    <row r="452" spans="1:26" x14ac:dyDescent="0.3">
      <c r="A452" s="29">
        <v>2.2000000000000002</v>
      </c>
      <c r="B452" s="26" t="s">
        <v>902</v>
      </c>
      <c r="C452" s="27" t="s">
        <v>903</v>
      </c>
      <c r="D452" s="26" t="s">
        <v>904</v>
      </c>
      <c r="E452" s="26"/>
      <c r="F452" s="24">
        <v>4</v>
      </c>
      <c r="G452" s="24"/>
      <c r="H452" s="24"/>
      <c r="I452" s="24"/>
      <c r="J452" s="24"/>
      <c r="K452" s="24"/>
      <c r="L452" s="15"/>
      <c r="M452" s="15"/>
      <c r="N452" s="15"/>
      <c r="O452" s="15"/>
      <c r="P452" s="15"/>
      <c r="Q452" s="15"/>
      <c r="R452" s="15"/>
      <c r="S452" s="15"/>
      <c r="T452" s="15"/>
      <c r="U452" s="15"/>
      <c r="V452" s="15"/>
      <c r="W452" s="15"/>
      <c r="X452" s="15"/>
      <c r="Y452" s="15"/>
      <c r="Z452" s="15"/>
    </row>
    <row r="453" spans="1:26" x14ac:dyDescent="0.3">
      <c r="A453" s="29">
        <v>2.2200000000000002</v>
      </c>
      <c r="B453" s="26" t="s">
        <v>905</v>
      </c>
      <c r="C453" s="27" t="s">
        <v>906</v>
      </c>
      <c r="D453" s="26" t="s">
        <v>907</v>
      </c>
      <c r="E453" s="26"/>
      <c r="F453" s="24">
        <v>20</v>
      </c>
      <c r="G453" s="24"/>
      <c r="H453" s="24"/>
      <c r="I453" s="24"/>
      <c r="J453" s="24"/>
      <c r="K453" s="24"/>
      <c r="L453" s="15"/>
      <c r="M453" s="15"/>
      <c r="N453" s="15"/>
      <c r="O453" s="15"/>
      <c r="P453" s="15"/>
      <c r="Q453" s="15"/>
      <c r="R453" s="15"/>
      <c r="S453" s="15"/>
      <c r="T453" s="15"/>
      <c r="U453" s="15"/>
      <c r="V453" s="15"/>
      <c r="W453" s="15"/>
      <c r="X453" s="15"/>
      <c r="Y453" s="15"/>
      <c r="Z453" s="15"/>
    </row>
    <row r="454" spans="1:26" x14ac:dyDescent="0.3">
      <c r="A454" s="29">
        <v>2.23</v>
      </c>
      <c r="B454" s="26" t="s">
        <v>908</v>
      </c>
      <c r="C454" s="27" t="s">
        <v>909</v>
      </c>
      <c r="D454" s="26" t="s">
        <v>910</v>
      </c>
      <c r="E454" s="26"/>
      <c r="F454" s="24">
        <v>2000</v>
      </c>
      <c r="G454" s="24"/>
      <c r="H454" s="24"/>
      <c r="I454" s="24"/>
      <c r="J454" s="24"/>
      <c r="K454" s="24"/>
      <c r="L454" s="15"/>
      <c r="M454" s="15"/>
      <c r="N454" s="15"/>
      <c r="O454" s="15"/>
      <c r="P454" s="15"/>
      <c r="Q454" s="15"/>
      <c r="R454" s="15"/>
      <c r="S454" s="15"/>
      <c r="T454" s="15"/>
      <c r="U454" s="15"/>
      <c r="V454" s="15"/>
      <c r="W454" s="15"/>
      <c r="X454" s="15"/>
      <c r="Y454" s="15"/>
      <c r="Z454" s="15"/>
    </row>
    <row r="455" spans="1:26" x14ac:dyDescent="0.3">
      <c r="A455" s="17"/>
      <c r="B455" s="17"/>
      <c r="C455" s="17"/>
      <c r="D455" s="17"/>
      <c r="E455" s="17"/>
      <c r="F455" s="17"/>
      <c r="G455" s="17"/>
      <c r="H455" s="17"/>
      <c r="I455" s="17"/>
      <c r="J455" s="17"/>
      <c r="K455" s="17"/>
      <c r="L455" s="15"/>
      <c r="M455" s="15"/>
      <c r="N455" s="15"/>
      <c r="O455" s="15"/>
      <c r="P455" s="15"/>
      <c r="Q455" s="15"/>
      <c r="R455" s="15"/>
      <c r="S455" s="15"/>
      <c r="T455" s="15"/>
      <c r="U455" s="15"/>
      <c r="V455" s="15"/>
      <c r="W455" s="15"/>
      <c r="X455" s="15"/>
      <c r="Y455" s="15"/>
      <c r="Z455" s="15"/>
    </row>
    <row r="456" spans="1:26" x14ac:dyDescent="0.3">
      <c r="A456" s="22"/>
      <c r="B456" s="22"/>
      <c r="C456" s="21" t="s">
        <v>911</v>
      </c>
      <c r="D456" s="22"/>
      <c r="E456" s="22"/>
      <c r="F456" s="22"/>
      <c r="G456" s="22"/>
      <c r="H456" s="22"/>
      <c r="I456" s="22"/>
      <c r="J456" s="22"/>
      <c r="K456" s="22"/>
      <c r="L456" s="15"/>
      <c r="M456" s="15"/>
      <c r="N456" s="15"/>
      <c r="O456" s="15"/>
      <c r="P456" s="15"/>
      <c r="Q456" s="15"/>
      <c r="R456" s="15"/>
      <c r="S456" s="15"/>
      <c r="T456" s="15"/>
      <c r="U456" s="15"/>
      <c r="V456" s="15"/>
      <c r="W456" s="15"/>
      <c r="X456" s="15"/>
      <c r="Y456" s="15"/>
      <c r="Z456" s="15"/>
    </row>
    <row r="457" spans="1:26" x14ac:dyDescent="0.3">
      <c r="A457" s="17"/>
      <c r="B457" s="17"/>
      <c r="C457" s="17"/>
      <c r="D457" s="17"/>
      <c r="E457" s="17"/>
      <c r="F457" s="17"/>
      <c r="G457" s="17"/>
      <c r="H457" s="17"/>
      <c r="I457" s="17"/>
      <c r="J457" s="17"/>
      <c r="K457" s="17"/>
      <c r="L457" s="15"/>
      <c r="M457" s="15"/>
      <c r="N457" s="15"/>
      <c r="O457" s="15"/>
      <c r="P457" s="15"/>
      <c r="Q457" s="15"/>
      <c r="R457" s="15"/>
      <c r="S457" s="15"/>
      <c r="T457" s="15"/>
      <c r="U457" s="15"/>
      <c r="V457" s="15"/>
      <c r="W457" s="15"/>
      <c r="X457" s="15"/>
      <c r="Y457" s="15"/>
      <c r="Z457" s="15"/>
    </row>
    <row r="458" spans="1:26" x14ac:dyDescent="0.3">
      <c r="A458" s="21" t="s">
        <v>912</v>
      </c>
      <c r="B458" s="22"/>
      <c r="C458" s="21" t="s">
        <v>913</v>
      </c>
      <c r="D458" s="22"/>
      <c r="E458" s="22"/>
      <c r="F458" s="22"/>
      <c r="G458" s="22"/>
      <c r="H458" s="22"/>
      <c r="I458" s="22"/>
      <c r="J458" s="22"/>
      <c r="K458" s="22"/>
      <c r="L458" s="15"/>
      <c r="M458" s="15"/>
      <c r="N458" s="15"/>
      <c r="O458" s="15"/>
      <c r="P458" s="15"/>
      <c r="Q458" s="15"/>
      <c r="R458" s="15"/>
      <c r="S458" s="15"/>
      <c r="T458" s="15"/>
      <c r="U458" s="15"/>
      <c r="V458" s="15"/>
      <c r="W458" s="15"/>
      <c r="X458" s="15"/>
      <c r="Y458" s="15"/>
      <c r="Z458" s="15"/>
    </row>
    <row r="459" spans="1:26" x14ac:dyDescent="0.3">
      <c r="A459" s="17"/>
      <c r="B459" s="17"/>
      <c r="C459" s="17"/>
      <c r="D459" s="17"/>
      <c r="E459" s="17"/>
      <c r="F459" s="17"/>
      <c r="G459" s="17"/>
      <c r="H459" s="17"/>
      <c r="I459" s="17"/>
      <c r="J459" s="17"/>
      <c r="K459" s="17"/>
      <c r="L459" s="15"/>
      <c r="M459" s="15"/>
      <c r="N459" s="15"/>
      <c r="O459" s="15"/>
      <c r="P459" s="15"/>
      <c r="Q459" s="15"/>
      <c r="R459" s="15"/>
      <c r="S459" s="15"/>
      <c r="T459" s="15"/>
      <c r="U459" s="15"/>
      <c r="V459" s="15"/>
      <c r="W459" s="15"/>
      <c r="X459" s="15"/>
      <c r="Y459" s="15"/>
      <c r="Z459" s="15"/>
    </row>
    <row r="460" spans="1:26" x14ac:dyDescent="0.3">
      <c r="A460" s="17"/>
      <c r="B460" s="17"/>
      <c r="C460" s="17"/>
      <c r="D460" s="17"/>
      <c r="E460" s="17"/>
      <c r="F460" s="17"/>
      <c r="G460" s="17"/>
      <c r="H460" s="17"/>
      <c r="I460" s="17"/>
      <c r="J460" s="17"/>
      <c r="K460" s="17"/>
      <c r="L460" s="15"/>
      <c r="M460" s="15"/>
      <c r="N460" s="15"/>
      <c r="O460" s="15"/>
      <c r="P460" s="15"/>
      <c r="Q460" s="15"/>
      <c r="R460" s="15"/>
      <c r="S460" s="15"/>
      <c r="T460" s="15"/>
      <c r="U460" s="15"/>
      <c r="V460" s="15"/>
      <c r="W460" s="15"/>
      <c r="X460" s="15"/>
      <c r="Y460" s="15"/>
      <c r="Z460" s="15"/>
    </row>
    <row r="461" spans="1:26" x14ac:dyDescent="0.3">
      <c r="A461" s="17"/>
      <c r="B461" s="17"/>
      <c r="C461" s="17" t="s">
        <v>914</v>
      </c>
      <c r="D461" s="17"/>
      <c r="E461" s="17"/>
      <c r="F461" s="17"/>
      <c r="G461" s="17"/>
      <c r="H461" s="17"/>
      <c r="I461" s="17"/>
      <c r="J461" s="17"/>
      <c r="K461" s="17"/>
      <c r="L461" s="15"/>
      <c r="M461" s="15"/>
      <c r="N461" s="15"/>
      <c r="O461" s="15"/>
      <c r="P461" s="15"/>
      <c r="Q461" s="15"/>
      <c r="R461" s="15"/>
      <c r="S461" s="15"/>
      <c r="T461" s="15"/>
      <c r="U461" s="15"/>
      <c r="V461" s="15"/>
      <c r="W461" s="15"/>
      <c r="X461" s="15"/>
      <c r="Y461" s="15"/>
      <c r="Z461" s="15"/>
    </row>
    <row r="462" spans="1:26" x14ac:dyDescent="0.3">
      <c r="A462" s="17"/>
      <c r="B462" s="17"/>
      <c r="C462" s="35" t="s">
        <v>915</v>
      </c>
      <c r="D462" s="17"/>
      <c r="E462" s="17"/>
      <c r="F462" s="17"/>
      <c r="G462" s="17"/>
      <c r="H462" s="17"/>
      <c r="I462" s="17"/>
      <c r="J462" s="17"/>
      <c r="K462" s="17"/>
      <c r="L462" s="15"/>
      <c r="M462" s="15"/>
      <c r="N462" s="15"/>
      <c r="O462" s="15"/>
      <c r="P462" s="15"/>
      <c r="Q462" s="15"/>
      <c r="R462" s="15"/>
      <c r="S462" s="15"/>
      <c r="T462" s="15"/>
      <c r="U462" s="15"/>
      <c r="V462" s="15"/>
      <c r="W462" s="15"/>
      <c r="X462" s="15"/>
      <c r="Y462" s="15"/>
      <c r="Z462" s="15"/>
    </row>
    <row r="463" spans="1:26" x14ac:dyDescent="0.3">
      <c r="A463" s="17"/>
      <c r="B463" s="17"/>
      <c r="C463" s="17"/>
      <c r="D463" s="17"/>
      <c r="E463" s="17"/>
      <c r="F463" s="17"/>
      <c r="G463" s="17"/>
      <c r="H463" s="17"/>
      <c r="I463" s="17"/>
      <c r="J463" s="17"/>
      <c r="K463" s="17"/>
      <c r="L463" s="15"/>
      <c r="M463" s="15"/>
      <c r="N463" s="15"/>
      <c r="O463" s="15"/>
      <c r="P463" s="15"/>
      <c r="Q463" s="15"/>
      <c r="R463" s="15"/>
      <c r="S463" s="15"/>
      <c r="T463" s="15"/>
      <c r="U463" s="15"/>
      <c r="V463" s="15"/>
      <c r="W463" s="15"/>
      <c r="X463" s="15"/>
      <c r="Y463" s="15"/>
      <c r="Z463" s="15"/>
    </row>
    <row r="464" spans="1:26" x14ac:dyDescent="0.3">
      <c r="A464" s="17"/>
      <c r="B464" s="17"/>
      <c r="C464" s="35" t="s">
        <v>916</v>
      </c>
      <c r="D464" s="17"/>
      <c r="E464" s="17"/>
      <c r="F464" s="17"/>
      <c r="G464" s="17"/>
      <c r="H464" s="17"/>
      <c r="I464" s="17"/>
      <c r="J464" s="17"/>
      <c r="K464" s="17"/>
      <c r="L464" s="15"/>
      <c r="M464" s="15"/>
      <c r="N464" s="15"/>
      <c r="O464" s="15"/>
      <c r="P464" s="15"/>
      <c r="Q464" s="15"/>
      <c r="R464" s="15"/>
      <c r="S464" s="15"/>
      <c r="T464" s="15"/>
      <c r="U464" s="15"/>
      <c r="V464" s="15"/>
      <c r="W464" s="15"/>
      <c r="X464" s="15"/>
      <c r="Y464" s="15"/>
      <c r="Z464" s="15"/>
    </row>
    <row r="465" spans="1:26" x14ac:dyDescent="0.3">
      <c r="A465" s="17"/>
      <c r="B465" s="17"/>
      <c r="C465" s="27" t="s">
        <v>917</v>
      </c>
      <c r="D465" s="17"/>
      <c r="E465" s="17"/>
      <c r="F465" s="17"/>
      <c r="G465" s="17"/>
      <c r="H465" s="17"/>
      <c r="I465" s="17"/>
      <c r="J465" s="17"/>
      <c r="K465" s="17"/>
      <c r="L465" s="15"/>
      <c r="M465" s="15"/>
      <c r="N465" s="15"/>
      <c r="O465" s="15"/>
      <c r="P465" s="15"/>
      <c r="Q465" s="15"/>
      <c r="R465" s="15"/>
      <c r="S465" s="15"/>
      <c r="T465" s="15"/>
      <c r="U465" s="15"/>
      <c r="V465" s="15"/>
      <c r="W465" s="15"/>
      <c r="X465" s="15"/>
      <c r="Y465" s="15"/>
      <c r="Z465" s="15"/>
    </row>
    <row r="466" spans="1:26" x14ac:dyDescent="0.3">
      <c r="A466" s="17"/>
      <c r="B466" s="17"/>
      <c r="C466" s="27" t="s">
        <v>918</v>
      </c>
      <c r="D466" s="17"/>
      <c r="E466" s="17"/>
      <c r="F466" s="17"/>
      <c r="G466" s="17"/>
      <c r="H466" s="17"/>
      <c r="I466" s="17"/>
      <c r="J466" s="17"/>
      <c r="K466" s="17"/>
      <c r="L466" s="15"/>
      <c r="M466" s="15"/>
      <c r="N466" s="15"/>
      <c r="O466" s="15"/>
      <c r="P466" s="15"/>
      <c r="Q466" s="15"/>
      <c r="R466" s="15"/>
      <c r="S466" s="15"/>
      <c r="T466" s="15"/>
      <c r="U466" s="15"/>
      <c r="V466" s="15"/>
      <c r="W466" s="15"/>
      <c r="X466" s="15"/>
      <c r="Y466" s="15"/>
      <c r="Z466" s="15"/>
    </row>
    <row r="467" spans="1:26" x14ac:dyDescent="0.3">
      <c r="A467" s="17"/>
      <c r="B467" s="17"/>
      <c r="C467" s="27" t="s">
        <v>919</v>
      </c>
      <c r="D467" s="17"/>
      <c r="E467" s="17"/>
      <c r="F467" s="17"/>
      <c r="G467" s="17"/>
      <c r="H467" s="17"/>
      <c r="I467" s="17"/>
      <c r="J467" s="17"/>
      <c r="K467" s="17"/>
      <c r="L467" s="15"/>
      <c r="M467" s="15"/>
      <c r="N467" s="15"/>
      <c r="O467" s="15"/>
      <c r="P467" s="15"/>
      <c r="Q467" s="15"/>
      <c r="R467" s="15"/>
      <c r="S467" s="15"/>
      <c r="T467" s="15"/>
      <c r="U467" s="15"/>
      <c r="V467" s="15"/>
      <c r="W467" s="15"/>
      <c r="X467" s="15"/>
      <c r="Y467" s="15"/>
      <c r="Z467" s="15"/>
    </row>
    <row r="468" spans="1:26" x14ac:dyDescent="0.3">
      <c r="A468" s="17"/>
      <c r="B468" s="17"/>
      <c r="C468" s="27" t="s">
        <v>920</v>
      </c>
      <c r="D468" s="17"/>
      <c r="E468" s="17"/>
      <c r="F468" s="17"/>
      <c r="G468" s="17"/>
      <c r="H468" s="17"/>
      <c r="I468" s="17"/>
      <c r="J468" s="17"/>
      <c r="K468" s="17"/>
      <c r="L468" s="15"/>
      <c r="M468" s="15"/>
      <c r="N468" s="15"/>
      <c r="O468" s="15"/>
      <c r="P468" s="15"/>
      <c r="Q468" s="15"/>
      <c r="R468" s="15"/>
      <c r="S468" s="15"/>
      <c r="T468" s="15"/>
      <c r="U468" s="15"/>
      <c r="V468" s="15"/>
      <c r="W468" s="15"/>
      <c r="X468" s="15"/>
      <c r="Y468" s="15"/>
      <c r="Z468" s="15"/>
    </row>
    <row r="469" spans="1:26" x14ac:dyDescent="0.3">
      <c r="A469" s="17"/>
      <c r="B469" s="17"/>
      <c r="C469" s="17"/>
      <c r="D469" s="17"/>
      <c r="E469" s="17"/>
      <c r="F469" s="17"/>
      <c r="G469" s="17"/>
      <c r="H469" s="17"/>
      <c r="I469" s="17"/>
      <c r="J469" s="17"/>
      <c r="K469" s="17"/>
      <c r="L469" s="15"/>
      <c r="M469" s="15"/>
      <c r="N469" s="15"/>
      <c r="O469" s="15"/>
      <c r="P469" s="15"/>
      <c r="Q469" s="15"/>
      <c r="R469" s="15"/>
      <c r="S469" s="15"/>
      <c r="T469" s="15"/>
      <c r="U469" s="15"/>
      <c r="V469" s="15"/>
      <c r="W469" s="15"/>
      <c r="X469" s="15"/>
      <c r="Y469" s="15"/>
      <c r="Z469" s="15"/>
    </row>
    <row r="470" spans="1:26" x14ac:dyDescent="0.3">
      <c r="A470" s="17"/>
      <c r="B470" s="17"/>
      <c r="C470" s="27" t="s">
        <v>921</v>
      </c>
      <c r="D470" s="17"/>
      <c r="E470" s="17"/>
      <c r="F470" s="17"/>
      <c r="G470" s="17"/>
      <c r="H470" s="17"/>
      <c r="I470" s="17"/>
      <c r="J470" s="17"/>
      <c r="K470" s="17"/>
      <c r="L470" s="15"/>
      <c r="M470" s="15"/>
      <c r="N470" s="15"/>
      <c r="O470" s="15"/>
      <c r="P470" s="15"/>
      <c r="Q470" s="15"/>
      <c r="R470" s="15"/>
      <c r="S470" s="15"/>
      <c r="T470" s="15"/>
      <c r="U470" s="15"/>
      <c r="V470" s="15"/>
      <c r="W470" s="15"/>
      <c r="X470" s="15"/>
      <c r="Y470" s="15"/>
      <c r="Z470" s="15"/>
    </row>
    <row r="471" spans="1:26" x14ac:dyDescent="0.3">
      <c r="A471" s="17"/>
      <c r="B471" s="17"/>
      <c r="C471" s="27" t="s">
        <v>922</v>
      </c>
      <c r="D471" s="17"/>
      <c r="E471" s="17"/>
      <c r="F471" s="17"/>
      <c r="G471" s="17"/>
      <c r="H471" s="17"/>
      <c r="I471" s="17"/>
      <c r="J471" s="17"/>
      <c r="K471" s="17"/>
      <c r="L471" s="15"/>
      <c r="M471" s="15"/>
      <c r="N471" s="15"/>
      <c r="O471" s="15"/>
      <c r="P471" s="15"/>
      <c r="Q471" s="15"/>
      <c r="R471" s="15"/>
      <c r="S471" s="15"/>
      <c r="T471" s="15"/>
      <c r="U471" s="15"/>
      <c r="V471" s="15"/>
      <c r="W471" s="15"/>
      <c r="X471" s="15"/>
      <c r="Y471" s="15"/>
      <c r="Z471" s="15"/>
    </row>
    <row r="472" spans="1:26" x14ac:dyDescent="0.3">
      <c r="A472" s="17"/>
      <c r="B472" s="17"/>
      <c r="C472" s="27" t="s">
        <v>923</v>
      </c>
      <c r="D472" s="17"/>
      <c r="E472" s="17"/>
      <c r="F472" s="17"/>
      <c r="G472" s="17"/>
      <c r="H472" s="17"/>
      <c r="I472" s="17"/>
      <c r="J472" s="17"/>
      <c r="K472" s="17"/>
      <c r="L472" s="15"/>
      <c r="M472" s="15"/>
      <c r="N472" s="15"/>
      <c r="O472" s="15"/>
      <c r="P472" s="15"/>
      <c r="Q472" s="15"/>
      <c r="R472" s="15"/>
      <c r="S472" s="15"/>
      <c r="T472" s="15"/>
      <c r="U472" s="15"/>
      <c r="V472" s="15"/>
      <c r="W472" s="15"/>
      <c r="X472" s="15"/>
      <c r="Y472" s="15"/>
      <c r="Z472" s="15"/>
    </row>
    <row r="473" spans="1:26" x14ac:dyDescent="0.3">
      <c r="A473" s="17"/>
      <c r="B473" s="17"/>
      <c r="C473" s="27" t="s">
        <v>924</v>
      </c>
      <c r="D473" s="17"/>
      <c r="E473" s="17"/>
      <c r="F473" s="17"/>
      <c r="G473" s="17"/>
      <c r="H473" s="17"/>
      <c r="I473" s="17"/>
      <c r="J473" s="17"/>
      <c r="K473" s="17"/>
      <c r="L473" s="15"/>
      <c r="M473" s="15"/>
      <c r="N473" s="15"/>
      <c r="O473" s="15"/>
      <c r="P473" s="15"/>
      <c r="Q473" s="15"/>
      <c r="R473" s="15"/>
      <c r="S473" s="15"/>
      <c r="T473" s="15"/>
      <c r="U473" s="15"/>
      <c r="V473" s="15"/>
      <c r="W473" s="15"/>
      <c r="X473" s="15"/>
      <c r="Y473" s="15"/>
      <c r="Z473" s="15"/>
    </row>
    <row r="474" spans="1:26" x14ac:dyDescent="0.3">
      <c r="A474" s="17"/>
      <c r="B474" s="17"/>
      <c r="C474" s="27" t="s">
        <v>925</v>
      </c>
      <c r="D474" s="17"/>
      <c r="E474" s="17"/>
      <c r="F474" s="17"/>
      <c r="G474" s="17"/>
      <c r="H474" s="17"/>
      <c r="I474" s="17"/>
      <c r="J474" s="17"/>
      <c r="K474" s="17"/>
      <c r="L474" s="15"/>
      <c r="M474" s="15"/>
      <c r="N474" s="15"/>
      <c r="O474" s="15"/>
      <c r="P474" s="15"/>
      <c r="Q474" s="15"/>
      <c r="R474" s="15"/>
      <c r="S474" s="15"/>
      <c r="T474" s="15"/>
      <c r="U474" s="15"/>
      <c r="V474" s="15"/>
      <c r="W474" s="15"/>
      <c r="X474" s="15"/>
      <c r="Y474" s="15"/>
      <c r="Z474" s="15"/>
    </row>
    <row r="475" spans="1:26" x14ac:dyDescent="0.3">
      <c r="A475" s="17"/>
      <c r="B475" s="17"/>
      <c r="C475" s="27" t="s">
        <v>926</v>
      </c>
      <c r="D475" s="17"/>
      <c r="E475" s="17"/>
      <c r="F475" s="17"/>
      <c r="G475" s="17"/>
      <c r="H475" s="17"/>
      <c r="I475" s="17"/>
      <c r="J475" s="17"/>
      <c r="K475" s="17"/>
      <c r="L475" s="15"/>
      <c r="M475" s="15"/>
      <c r="N475" s="15"/>
      <c r="O475" s="15"/>
      <c r="P475" s="15"/>
      <c r="Q475" s="15"/>
      <c r="R475" s="15"/>
      <c r="S475" s="15"/>
      <c r="T475" s="15"/>
      <c r="U475" s="15"/>
      <c r="V475" s="15"/>
      <c r="W475" s="15"/>
      <c r="X475" s="15"/>
      <c r="Y475" s="15"/>
      <c r="Z475" s="15"/>
    </row>
    <row r="476" spans="1:26" x14ac:dyDescent="0.3">
      <c r="A476" s="17"/>
      <c r="B476" s="17"/>
      <c r="C476" s="27" t="s">
        <v>927</v>
      </c>
      <c r="D476" s="17"/>
      <c r="E476" s="17"/>
      <c r="F476" s="17"/>
      <c r="G476" s="17"/>
      <c r="H476" s="17"/>
      <c r="I476" s="17"/>
      <c r="J476" s="17"/>
      <c r="K476" s="17"/>
      <c r="L476" s="15"/>
      <c r="M476" s="15"/>
      <c r="N476" s="15"/>
      <c r="O476" s="15"/>
      <c r="P476" s="15"/>
      <c r="Q476" s="15"/>
      <c r="R476" s="15"/>
      <c r="S476" s="15"/>
      <c r="T476" s="15"/>
      <c r="U476" s="15"/>
      <c r="V476" s="15"/>
      <c r="W476" s="15"/>
      <c r="X476" s="15"/>
      <c r="Y476" s="15"/>
      <c r="Z476" s="15"/>
    </row>
    <row r="477" spans="1:26" x14ac:dyDescent="0.3">
      <c r="A477" s="17"/>
      <c r="B477" s="17"/>
      <c r="C477" s="17" t="s">
        <v>928</v>
      </c>
      <c r="D477" s="17"/>
      <c r="E477" s="17"/>
      <c r="F477" s="17"/>
      <c r="G477" s="17"/>
      <c r="H477" s="17"/>
      <c r="I477" s="17"/>
      <c r="J477" s="17"/>
      <c r="K477" s="17"/>
      <c r="L477" s="15"/>
      <c r="M477" s="15"/>
      <c r="N477" s="15"/>
      <c r="O477" s="15"/>
      <c r="P477" s="15"/>
      <c r="Q477" s="15"/>
      <c r="R477" s="15"/>
      <c r="S477" s="15"/>
      <c r="T477" s="15"/>
      <c r="U477" s="15"/>
      <c r="V477" s="15"/>
      <c r="W477" s="15"/>
      <c r="X477" s="15"/>
      <c r="Y477" s="15"/>
      <c r="Z477" s="15"/>
    </row>
    <row r="478" spans="1:26" x14ac:dyDescent="0.3">
      <c r="A478" s="17"/>
      <c r="B478" s="17"/>
      <c r="C478" s="27" t="s">
        <v>929</v>
      </c>
      <c r="D478" s="17"/>
      <c r="E478" s="17"/>
      <c r="F478" s="17"/>
      <c r="G478" s="17"/>
      <c r="H478" s="17"/>
      <c r="I478" s="17"/>
      <c r="J478" s="17"/>
      <c r="K478" s="17"/>
      <c r="L478" s="15"/>
      <c r="M478" s="15"/>
      <c r="N478" s="15"/>
      <c r="O478" s="15"/>
      <c r="P478" s="15"/>
      <c r="Q478" s="15"/>
      <c r="R478" s="15"/>
      <c r="S478" s="15"/>
      <c r="T478" s="15"/>
      <c r="U478" s="15"/>
      <c r="V478" s="15"/>
      <c r="W478" s="15"/>
      <c r="X478" s="15"/>
      <c r="Y478" s="15"/>
      <c r="Z478" s="15"/>
    </row>
    <row r="479" spans="1:26" x14ac:dyDescent="0.3">
      <c r="A479" s="17"/>
      <c r="B479" s="17"/>
      <c r="C479" s="27" t="s">
        <v>930</v>
      </c>
      <c r="D479" s="17"/>
      <c r="E479" s="17"/>
      <c r="F479" s="17"/>
      <c r="G479" s="17"/>
      <c r="H479" s="17"/>
      <c r="I479" s="17"/>
      <c r="J479" s="17"/>
      <c r="K479" s="17"/>
      <c r="L479" s="15"/>
      <c r="M479" s="15"/>
      <c r="N479" s="15"/>
      <c r="O479" s="15"/>
      <c r="P479" s="15"/>
      <c r="Q479" s="15"/>
      <c r="R479" s="15"/>
      <c r="S479" s="15"/>
      <c r="T479" s="15"/>
      <c r="U479" s="15"/>
      <c r="V479" s="15"/>
      <c r="W479" s="15"/>
      <c r="X479" s="15"/>
      <c r="Y479" s="15"/>
      <c r="Z479" s="15"/>
    </row>
    <row r="480" spans="1:26" x14ac:dyDescent="0.3">
      <c r="A480" s="17"/>
      <c r="B480" s="17"/>
      <c r="C480" s="27" t="s">
        <v>931</v>
      </c>
      <c r="D480" s="17"/>
      <c r="E480" s="17"/>
      <c r="F480" s="17"/>
      <c r="G480" s="17"/>
      <c r="H480" s="17"/>
      <c r="I480" s="17"/>
      <c r="J480" s="17"/>
      <c r="K480" s="17"/>
      <c r="L480" s="15"/>
      <c r="M480" s="15"/>
      <c r="N480" s="15"/>
      <c r="O480" s="15"/>
      <c r="P480" s="15"/>
      <c r="Q480" s="15"/>
      <c r="R480" s="15"/>
      <c r="S480" s="15"/>
      <c r="T480" s="15"/>
      <c r="U480" s="15"/>
      <c r="V480" s="15"/>
      <c r="W480" s="15"/>
      <c r="X480" s="15"/>
      <c r="Y480" s="15"/>
      <c r="Z480" s="15"/>
    </row>
    <row r="481" spans="1:26" x14ac:dyDescent="0.3">
      <c r="A481" s="17"/>
      <c r="B481" s="17"/>
      <c r="C481" s="27" t="s">
        <v>932</v>
      </c>
      <c r="D481" s="17"/>
      <c r="E481" s="17"/>
      <c r="F481" s="17"/>
      <c r="G481" s="17"/>
      <c r="H481" s="17"/>
      <c r="I481" s="17"/>
      <c r="J481" s="17"/>
      <c r="K481" s="17"/>
      <c r="L481" s="15"/>
      <c r="M481" s="15"/>
      <c r="N481" s="15"/>
      <c r="O481" s="15"/>
      <c r="P481" s="15"/>
      <c r="Q481" s="15"/>
      <c r="R481" s="15"/>
      <c r="S481" s="15"/>
      <c r="T481" s="15"/>
      <c r="U481" s="15"/>
      <c r="V481" s="15"/>
      <c r="W481" s="15"/>
      <c r="X481" s="15"/>
      <c r="Y481" s="15"/>
      <c r="Z481" s="15"/>
    </row>
    <row r="482" spans="1:26" x14ac:dyDescent="0.3">
      <c r="A482" s="17"/>
      <c r="B482" s="17"/>
      <c r="C482" s="27" t="s">
        <v>933</v>
      </c>
      <c r="D482" s="17"/>
      <c r="E482" s="17"/>
      <c r="F482" s="17"/>
      <c r="G482" s="17"/>
      <c r="H482" s="17"/>
      <c r="I482" s="17"/>
      <c r="J482" s="17"/>
      <c r="K482" s="17"/>
      <c r="L482" s="15"/>
      <c r="M482" s="15"/>
      <c r="N482" s="15"/>
      <c r="O482" s="15"/>
      <c r="P482" s="15"/>
      <c r="Q482" s="15"/>
      <c r="R482" s="15"/>
      <c r="S482" s="15"/>
      <c r="T482" s="15"/>
      <c r="U482" s="15"/>
      <c r="V482" s="15"/>
      <c r="W482" s="15"/>
      <c r="X482" s="15"/>
      <c r="Y482" s="15"/>
      <c r="Z482" s="15"/>
    </row>
    <row r="483" spans="1:26" x14ac:dyDescent="0.3">
      <c r="A483" s="17"/>
      <c r="B483" s="17"/>
      <c r="C483" s="17" t="s">
        <v>934</v>
      </c>
      <c r="D483" s="17"/>
      <c r="E483" s="17"/>
      <c r="F483" s="17"/>
      <c r="G483" s="17"/>
      <c r="H483" s="17"/>
      <c r="I483" s="17"/>
      <c r="J483" s="17"/>
      <c r="K483" s="17"/>
      <c r="L483" s="15"/>
      <c r="M483" s="15"/>
      <c r="N483" s="15"/>
      <c r="O483" s="15"/>
      <c r="P483" s="15"/>
      <c r="Q483" s="15"/>
      <c r="R483" s="15"/>
      <c r="S483" s="15"/>
      <c r="T483" s="15"/>
      <c r="U483" s="15"/>
      <c r="V483" s="15"/>
      <c r="W483" s="15"/>
      <c r="X483" s="15"/>
      <c r="Y483" s="15"/>
      <c r="Z483" s="15"/>
    </row>
    <row r="484" spans="1:26" x14ac:dyDescent="0.3">
      <c r="A484" s="17"/>
      <c r="B484" s="17"/>
      <c r="C484" s="17" t="s">
        <v>935</v>
      </c>
      <c r="D484" s="17"/>
      <c r="E484" s="17"/>
      <c r="F484" s="17"/>
      <c r="G484" s="17"/>
      <c r="H484" s="17"/>
      <c r="I484" s="17"/>
      <c r="J484" s="17"/>
      <c r="K484" s="17"/>
      <c r="L484" s="15"/>
      <c r="M484" s="15"/>
      <c r="N484" s="15"/>
      <c r="O484" s="15"/>
      <c r="P484" s="15"/>
      <c r="Q484" s="15"/>
      <c r="R484" s="15"/>
      <c r="S484" s="15"/>
      <c r="T484" s="15"/>
      <c r="U484" s="15"/>
      <c r="V484" s="15"/>
      <c r="W484" s="15"/>
      <c r="X484" s="15"/>
      <c r="Y484" s="15"/>
      <c r="Z484" s="15"/>
    </row>
    <row r="485" spans="1:26" x14ac:dyDescent="0.3">
      <c r="A485" s="17"/>
      <c r="B485" s="17"/>
      <c r="C485" s="17" t="s">
        <v>936</v>
      </c>
      <c r="D485" s="17"/>
      <c r="E485" s="17"/>
      <c r="F485" s="17"/>
      <c r="G485" s="17"/>
      <c r="H485" s="17"/>
      <c r="I485" s="17"/>
      <c r="J485" s="17"/>
      <c r="K485" s="17"/>
      <c r="L485" s="15"/>
      <c r="M485" s="15"/>
      <c r="N485" s="15"/>
      <c r="O485" s="15"/>
      <c r="P485" s="15"/>
      <c r="Q485" s="15"/>
      <c r="R485" s="15"/>
      <c r="S485" s="15"/>
      <c r="T485" s="15"/>
      <c r="U485" s="15"/>
      <c r="V485" s="15"/>
      <c r="W485" s="15"/>
      <c r="X485" s="15"/>
      <c r="Y485" s="15"/>
      <c r="Z485" s="15"/>
    </row>
    <row r="486" spans="1:26" x14ac:dyDescent="0.3">
      <c r="A486" s="17"/>
      <c r="B486" s="17"/>
      <c r="C486" s="17" t="s">
        <v>937</v>
      </c>
      <c r="D486" s="17"/>
      <c r="E486" s="17"/>
      <c r="F486" s="17"/>
      <c r="G486" s="17"/>
      <c r="H486" s="17"/>
      <c r="I486" s="17"/>
      <c r="J486" s="17"/>
      <c r="K486" s="17"/>
      <c r="L486" s="15"/>
      <c r="M486" s="15"/>
      <c r="N486" s="15"/>
      <c r="O486" s="15"/>
      <c r="P486" s="15"/>
      <c r="Q486" s="15"/>
      <c r="R486" s="15"/>
      <c r="S486" s="15"/>
      <c r="T486" s="15"/>
      <c r="U486" s="15"/>
      <c r="V486" s="15"/>
      <c r="W486" s="15"/>
      <c r="X486" s="15"/>
      <c r="Y486" s="15"/>
      <c r="Z486" s="15"/>
    </row>
    <row r="487" spans="1:26" x14ac:dyDescent="0.3">
      <c r="A487" s="17"/>
      <c r="B487" s="17"/>
      <c r="C487" s="27" t="s">
        <v>938</v>
      </c>
      <c r="D487" s="17"/>
      <c r="E487" s="17"/>
      <c r="F487" s="17"/>
      <c r="G487" s="17"/>
      <c r="H487" s="17"/>
      <c r="I487" s="17"/>
      <c r="J487" s="17"/>
      <c r="K487" s="17"/>
      <c r="L487" s="15"/>
      <c r="M487" s="15"/>
      <c r="N487" s="15"/>
      <c r="O487" s="15"/>
      <c r="P487" s="15"/>
      <c r="Q487" s="15"/>
      <c r="R487" s="15"/>
      <c r="S487" s="15"/>
      <c r="T487" s="15"/>
      <c r="U487" s="15"/>
      <c r="V487" s="15"/>
      <c r="W487" s="15"/>
      <c r="X487" s="15"/>
      <c r="Y487" s="15"/>
      <c r="Z487" s="15"/>
    </row>
    <row r="488" spans="1:26" x14ac:dyDescent="0.3">
      <c r="A488" s="17"/>
      <c r="B488" s="17"/>
      <c r="C488" s="35" t="s">
        <v>939</v>
      </c>
      <c r="D488" s="17"/>
      <c r="E488" s="17"/>
      <c r="F488" s="17"/>
      <c r="G488" s="17"/>
      <c r="H488" s="17"/>
      <c r="I488" s="17"/>
      <c r="J488" s="17"/>
      <c r="K488" s="17"/>
      <c r="L488" s="15"/>
      <c r="M488" s="15"/>
      <c r="N488" s="15"/>
      <c r="O488" s="15"/>
      <c r="P488" s="15"/>
      <c r="Q488" s="15"/>
      <c r="R488" s="15"/>
      <c r="S488" s="15"/>
      <c r="T488" s="15"/>
      <c r="U488" s="15"/>
      <c r="V488" s="15"/>
      <c r="W488" s="15"/>
      <c r="X488" s="15"/>
      <c r="Y488" s="15"/>
      <c r="Z488" s="15"/>
    </row>
    <row r="489" spans="1:26" x14ac:dyDescent="0.3">
      <c r="A489" s="17"/>
      <c r="B489" s="17"/>
      <c r="C489" s="27" t="s">
        <v>940</v>
      </c>
      <c r="D489" s="17"/>
      <c r="E489" s="17"/>
      <c r="F489" s="17"/>
      <c r="G489" s="17"/>
      <c r="H489" s="17"/>
      <c r="I489" s="17"/>
      <c r="J489" s="17"/>
      <c r="K489" s="17"/>
      <c r="L489" s="15"/>
      <c r="M489" s="15"/>
      <c r="N489" s="15"/>
      <c r="O489" s="15"/>
      <c r="P489" s="15"/>
      <c r="Q489" s="15"/>
      <c r="R489" s="15"/>
      <c r="S489" s="15"/>
      <c r="T489" s="15"/>
      <c r="U489" s="15"/>
      <c r="V489" s="15"/>
      <c r="W489" s="15"/>
      <c r="X489" s="15"/>
      <c r="Y489" s="15"/>
      <c r="Z489" s="15"/>
    </row>
    <row r="490" spans="1:26" x14ac:dyDescent="0.3">
      <c r="A490" s="17"/>
      <c r="B490" s="17"/>
      <c r="C490" s="17" t="s">
        <v>941</v>
      </c>
      <c r="D490" s="17"/>
      <c r="E490" s="17"/>
      <c r="F490" s="17"/>
      <c r="G490" s="17"/>
      <c r="H490" s="17"/>
      <c r="I490" s="17"/>
      <c r="J490" s="17"/>
      <c r="K490" s="17"/>
      <c r="L490" s="15"/>
      <c r="M490" s="15"/>
      <c r="N490" s="15"/>
      <c r="O490" s="15"/>
      <c r="P490" s="15"/>
      <c r="Q490" s="15"/>
      <c r="R490" s="15"/>
      <c r="S490" s="15"/>
      <c r="T490" s="15"/>
      <c r="U490" s="15"/>
      <c r="V490" s="15"/>
      <c r="W490" s="15"/>
      <c r="X490" s="15"/>
      <c r="Y490" s="15"/>
      <c r="Z490" s="15"/>
    </row>
    <row r="491" spans="1:26" x14ac:dyDescent="0.3">
      <c r="A491" s="17"/>
      <c r="B491" s="17"/>
      <c r="C491" s="27" t="s">
        <v>942</v>
      </c>
      <c r="D491" s="17"/>
      <c r="E491" s="17"/>
      <c r="F491" s="17"/>
      <c r="G491" s="17"/>
      <c r="H491" s="17"/>
      <c r="I491" s="17"/>
      <c r="J491" s="17"/>
      <c r="K491" s="17"/>
      <c r="L491" s="15"/>
      <c r="M491" s="15"/>
      <c r="N491" s="15"/>
      <c r="O491" s="15"/>
      <c r="P491" s="15"/>
      <c r="Q491" s="15"/>
      <c r="R491" s="15"/>
      <c r="S491" s="15"/>
      <c r="T491" s="15"/>
      <c r="U491" s="15"/>
      <c r="V491" s="15"/>
      <c r="W491" s="15"/>
      <c r="X491" s="15"/>
      <c r="Y491" s="15"/>
      <c r="Z491" s="15"/>
    </row>
    <row r="492" spans="1:26" x14ac:dyDescent="0.3">
      <c r="A492" s="17"/>
      <c r="B492" s="17"/>
      <c r="C492" s="27" t="s">
        <v>943</v>
      </c>
      <c r="D492" s="17"/>
      <c r="E492" s="17"/>
      <c r="F492" s="17"/>
      <c r="G492" s="17"/>
      <c r="H492" s="17"/>
      <c r="I492" s="17"/>
      <c r="J492" s="17"/>
      <c r="K492" s="17"/>
      <c r="L492" s="15"/>
      <c r="M492" s="15"/>
      <c r="N492" s="15"/>
      <c r="O492" s="15"/>
      <c r="P492" s="15"/>
      <c r="Q492" s="15"/>
      <c r="R492" s="15"/>
      <c r="S492" s="15"/>
      <c r="T492" s="15"/>
      <c r="U492" s="15"/>
      <c r="V492" s="15"/>
      <c r="W492" s="15"/>
      <c r="X492" s="15"/>
      <c r="Y492" s="15"/>
      <c r="Z492" s="15"/>
    </row>
    <row r="493" spans="1:26" x14ac:dyDescent="0.3">
      <c r="A493" s="17"/>
      <c r="B493" s="17"/>
      <c r="C493" s="27" t="s">
        <v>944</v>
      </c>
      <c r="D493" s="17"/>
      <c r="E493" s="17"/>
      <c r="F493" s="17"/>
      <c r="G493" s="17"/>
      <c r="H493" s="17"/>
      <c r="I493" s="17"/>
      <c r="J493" s="17"/>
      <c r="K493" s="17"/>
      <c r="L493" s="15"/>
      <c r="M493" s="15"/>
      <c r="N493" s="15"/>
      <c r="O493" s="15"/>
      <c r="P493" s="15"/>
      <c r="Q493" s="15"/>
      <c r="R493" s="15"/>
      <c r="S493" s="15"/>
      <c r="T493" s="15"/>
      <c r="U493" s="15"/>
      <c r="V493" s="15"/>
      <c r="W493" s="15"/>
      <c r="X493" s="15"/>
      <c r="Y493" s="15"/>
      <c r="Z493" s="15"/>
    </row>
    <row r="494" spans="1:26" x14ac:dyDescent="0.3">
      <c r="A494" s="17"/>
      <c r="B494" s="17"/>
      <c r="C494" s="27" t="s">
        <v>945</v>
      </c>
      <c r="D494" s="17"/>
      <c r="E494" s="17"/>
      <c r="F494" s="17"/>
      <c r="G494" s="17"/>
      <c r="H494" s="17"/>
      <c r="I494" s="17"/>
      <c r="J494" s="17"/>
      <c r="K494" s="17"/>
      <c r="L494" s="15"/>
      <c r="M494" s="15"/>
      <c r="N494" s="15"/>
      <c r="O494" s="15"/>
      <c r="P494" s="15"/>
      <c r="Q494" s="15"/>
      <c r="R494" s="15"/>
      <c r="S494" s="15"/>
      <c r="T494" s="15"/>
      <c r="U494" s="15"/>
      <c r="V494" s="15"/>
      <c r="W494" s="15"/>
      <c r="X494" s="15"/>
      <c r="Y494" s="15"/>
      <c r="Z494" s="15"/>
    </row>
    <row r="495" spans="1:26" x14ac:dyDescent="0.3">
      <c r="A495" s="17"/>
      <c r="B495" s="17"/>
      <c r="C495" s="27" t="s">
        <v>946</v>
      </c>
      <c r="D495" s="17"/>
      <c r="E495" s="17"/>
      <c r="F495" s="17"/>
      <c r="G495" s="17"/>
      <c r="H495" s="17"/>
      <c r="I495" s="17"/>
      <c r="J495" s="17"/>
      <c r="K495" s="17"/>
      <c r="L495" s="15"/>
      <c r="M495" s="15"/>
      <c r="N495" s="15"/>
      <c r="O495" s="15"/>
      <c r="P495" s="15"/>
      <c r="Q495" s="15"/>
      <c r="R495" s="15"/>
      <c r="S495" s="15"/>
      <c r="T495" s="15"/>
      <c r="U495" s="15"/>
      <c r="V495" s="15"/>
      <c r="W495" s="15"/>
      <c r="X495" s="15"/>
      <c r="Y495" s="15"/>
      <c r="Z495" s="15"/>
    </row>
    <row r="496" spans="1:26" x14ac:dyDescent="0.3">
      <c r="A496" s="17"/>
      <c r="B496" s="17"/>
      <c r="C496" s="27" t="s">
        <v>947</v>
      </c>
      <c r="D496" s="17"/>
      <c r="E496" s="17"/>
      <c r="F496" s="17"/>
      <c r="G496" s="17"/>
      <c r="H496" s="17"/>
      <c r="I496" s="17"/>
      <c r="J496" s="17"/>
      <c r="K496" s="17"/>
      <c r="L496" s="15"/>
      <c r="M496" s="15"/>
      <c r="N496" s="15"/>
      <c r="O496" s="15"/>
      <c r="P496" s="15"/>
      <c r="Q496" s="15"/>
      <c r="R496" s="15"/>
      <c r="S496" s="15"/>
      <c r="T496" s="15"/>
      <c r="U496" s="15"/>
      <c r="V496" s="15"/>
      <c r="W496" s="15"/>
      <c r="X496" s="15"/>
      <c r="Y496" s="15"/>
      <c r="Z496" s="15"/>
    </row>
    <row r="497" spans="1:26" x14ac:dyDescent="0.3">
      <c r="A497" s="17"/>
      <c r="B497" s="17"/>
      <c r="C497" s="35" t="s">
        <v>948</v>
      </c>
      <c r="D497" s="17"/>
      <c r="E497" s="17"/>
      <c r="F497" s="17"/>
      <c r="G497" s="17"/>
      <c r="H497" s="17"/>
      <c r="I497" s="17"/>
      <c r="J497" s="17"/>
      <c r="K497" s="17"/>
      <c r="L497" s="15"/>
      <c r="M497" s="15"/>
      <c r="N497" s="15"/>
      <c r="O497" s="15"/>
      <c r="P497" s="15"/>
      <c r="Q497" s="15"/>
      <c r="R497" s="15"/>
      <c r="S497" s="15"/>
      <c r="T497" s="15"/>
      <c r="U497" s="15"/>
      <c r="V497" s="15"/>
      <c r="W497" s="15"/>
      <c r="X497" s="15"/>
      <c r="Y497" s="15"/>
      <c r="Z497" s="15"/>
    </row>
    <row r="498" spans="1:26" x14ac:dyDescent="0.3">
      <c r="A498" s="17"/>
      <c r="B498" s="17"/>
      <c r="C498" s="27" t="s">
        <v>949</v>
      </c>
      <c r="D498" s="17"/>
      <c r="E498" s="17"/>
      <c r="F498" s="17"/>
      <c r="G498" s="17"/>
      <c r="H498" s="17"/>
      <c r="I498" s="17"/>
      <c r="J498" s="17"/>
      <c r="K498" s="17"/>
      <c r="L498" s="15"/>
      <c r="M498" s="15"/>
      <c r="N498" s="15"/>
      <c r="O498" s="15"/>
      <c r="P498" s="15"/>
      <c r="Q498" s="15"/>
      <c r="R498" s="15"/>
      <c r="S498" s="15"/>
      <c r="T498" s="15"/>
      <c r="U498" s="15"/>
      <c r="V498" s="15"/>
      <c r="W498" s="15"/>
      <c r="X498" s="15"/>
      <c r="Y498" s="15"/>
      <c r="Z498" s="15"/>
    </row>
    <row r="499" spans="1:26" x14ac:dyDescent="0.3">
      <c r="A499" s="17"/>
      <c r="B499" s="17"/>
      <c r="C499" s="17" t="s">
        <v>950</v>
      </c>
      <c r="D499" s="17"/>
      <c r="E499" s="17"/>
      <c r="F499" s="17"/>
      <c r="G499" s="17"/>
      <c r="H499" s="17"/>
      <c r="I499" s="17"/>
      <c r="J499" s="17"/>
      <c r="K499" s="17"/>
      <c r="L499" s="15"/>
      <c r="M499" s="15"/>
      <c r="N499" s="15"/>
      <c r="O499" s="15"/>
      <c r="P499" s="15"/>
      <c r="Q499" s="15"/>
      <c r="R499" s="15"/>
      <c r="S499" s="15"/>
      <c r="T499" s="15"/>
      <c r="U499" s="15"/>
      <c r="V499" s="15"/>
      <c r="W499" s="15"/>
      <c r="X499" s="15"/>
      <c r="Y499" s="15"/>
      <c r="Z499" s="15"/>
    </row>
    <row r="500" spans="1:26" x14ac:dyDescent="0.3">
      <c r="A500" s="17"/>
      <c r="B500" s="17"/>
      <c r="C500" s="27" t="s">
        <v>951</v>
      </c>
      <c r="D500" s="17"/>
      <c r="E500" s="17"/>
      <c r="F500" s="17"/>
      <c r="G500" s="17"/>
      <c r="H500" s="17"/>
      <c r="I500" s="17"/>
      <c r="J500" s="17"/>
      <c r="K500" s="17"/>
      <c r="L500" s="15"/>
      <c r="M500" s="15"/>
      <c r="N500" s="15"/>
      <c r="O500" s="15"/>
      <c r="P500" s="15"/>
      <c r="Q500" s="15"/>
      <c r="R500" s="15"/>
      <c r="S500" s="15"/>
      <c r="T500" s="15"/>
      <c r="U500" s="15"/>
      <c r="V500" s="15"/>
      <c r="W500" s="15"/>
      <c r="X500" s="15"/>
      <c r="Y500" s="15"/>
      <c r="Z500" s="15"/>
    </row>
    <row r="501" spans="1:26" x14ac:dyDescent="0.3">
      <c r="A501" s="17"/>
      <c r="B501" s="17"/>
      <c r="C501" s="27" t="s">
        <v>952</v>
      </c>
      <c r="D501" s="17"/>
      <c r="E501" s="17"/>
      <c r="F501" s="17"/>
      <c r="G501" s="17"/>
      <c r="H501" s="17"/>
      <c r="I501" s="17"/>
      <c r="J501" s="17"/>
      <c r="K501" s="17"/>
      <c r="L501" s="15"/>
      <c r="M501" s="15"/>
      <c r="N501" s="15"/>
      <c r="O501" s="15"/>
      <c r="P501" s="15"/>
      <c r="Q501" s="15"/>
      <c r="R501" s="15"/>
      <c r="S501" s="15"/>
      <c r="T501" s="15"/>
      <c r="U501" s="15"/>
      <c r="V501" s="15"/>
      <c r="W501" s="15"/>
      <c r="X501" s="15"/>
      <c r="Y501" s="15"/>
      <c r="Z501" s="15"/>
    </row>
    <row r="502" spans="1:26" x14ac:dyDescent="0.3">
      <c r="A502" s="17"/>
      <c r="B502" s="17"/>
      <c r="C502" s="27" t="s">
        <v>953</v>
      </c>
      <c r="D502" s="17"/>
      <c r="E502" s="17"/>
      <c r="F502" s="17"/>
      <c r="G502" s="17"/>
      <c r="H502" s="17"/>
      <c r="I502" s="17"/>
      <c r="J502" s="17"/>
      <c r="K502" s="17"/>
      <c r="L502" s="15"/>
      <c r="M502" s="15"/>
      <c r="N502" s="15"/>
      <c r="O502" s="15"/>
      <c r="P502" s="15"/>
      <c r="Q502" s="15"/>
      <c r="R502" s="15"/>
      <c r="S502" s="15"/>
      <c r="T502" s="15"/>
      <c r="U502" s="15"/>
      <c r="V502" s="15"/>
      <c r="W502" s="15"/>
      <c r="X502" s="15"/>
      <c r="Y502" s="15"/>
      <c r="Z502" s="15"/>
    </row>
    <row r="503" spans="1:26" x14ac:dyDescent="0.3">
      <c r="A503" s="17"/>
      <c r="B503" s="17"/>
      <c r="C503" s="27" t="s">
        <v>954</v>
      </c>
      <c r="D503" s="17"/>
      <c r="E503" s="17"/>
      <c r="F503" s="17"/>
      <c r="G503" s="17"/>
      <c r="H503" s="17"/>
      <c r="I503" s="17"/>
      <c r="J503" s="17"/>
      <c r="K503" s="17"/>
      <c r="L503" s="15"/>
      <c r="M503" s="15"/>
      <c r="N503" s="15"/>
      <c r="O503" s="15"/>
      <c r="P503" s="15"/>
      <c r="Q503" s="15"/>
      <c r="R503" s="15"/>
      <c r="S503" s="15"/>
      <c r="T503" s="15"/>
      <c r="U503" s="15"/>
      <c r="V503" s="15"/>
      <c r="W503" s="15"/>
      <c r="X503" s="15"/>
      <c r="Y503" s="15"/>
      <c r="Z503" s="15"/>
    </row>
    <row r="504" spans="1:26" x14ac:dyDescent="0.3">
      <c r="A504" s="17"/>
      <c r="B504" s="17"/>
      <c r="C504" s="17" t="s">
        <v>955</v>
      </c>
      <c r="D504" s="17"/>
      <c r="E504" s="17"/>
      <c r="F504" s="17"/>
      <c r="G504" s="17"/>
      <c r="H504" s="17"/>
      <c r="I504" s="17"/>
      <c r="J504" s="17"/>
      <c r="K504" s="17"/>
      <c r="L504" s="15"/>
      <c r="M504" s="15"/>
      <c r="N504" s="15"/>
      <c r="O504" s="15"/>
      <c r="P504" s="15"/>
      <c r="Q504" s="15"/>
      <c r="R504" s="15"/>
      <c r="S504" s="15"/>
      <c r="T504" s="15"/>
      <c r="U504" s="15"/>
      <c r="V504" s="15"/>
      <c r="W504" s="15"/>
      <c r="X504" s="15"/>
      <c r="Y504" s="15"/>
      <c r="Z504" s="15"/>
    </row>
    <row r="505" spans="1:26" x14ac:dyDescent="0.3">
      <c r="A505" s="17"/>
      <c r="B505" s="17"/>
      <c r="C505" s="27" t="s">
        <v>956</v>
      </c>
      <c r="D505" s="17"/>
      <c r="E505" s="17"/>
      <c r="F505" s="17"/>
      <c r="G505" s="17"/>
      <c r="H505" s="17"/>
      <c r="I505" s="17"/>
      <c r="J505" s="17"/>
      <c r="K505" s="17"/>
      <c r="L505" s="15"/>
      <c r="M505" s="15"/>
      <c r="N505" s="15"/>
      <c r="O505" s="15"/>
      <c r="P505" s="15"/>
      <c r="Q505" s="15"/>
      <c r="R505" s="15"/>
      <c r="S505" s="15"/>
      <c r="T505" s="15"/>
      <c r="U505" s="15"/>
      <c r="V505" s="15"/>
      <c r="W505" s="15"/>
      <c r="X505" s="15"/>
      <c r="Y505" s="15"/>
      <c r="Z505" s="15"/>
    </row>
    <row r="506" spans="1:26" x14ac:dyDescent="0.3">
      <c r="A506" s="17"/>
      <c r="B506" s="17"/>
      <c r="C506" s="27" t="s">
        <v>957</v>
      </c>
      <c r="D506" s="17"/>
      <c r="E506" s="17"/>
      <c r="F506" s="17"/>
      <c r="G506" s="17"/>
      <c r="H506" s="17"/>
      <c r="I506" s="17"/>
      <c r="J506" s="17"/>
      <c r="K506" s="17"/>
      <c r="L506" s="15"/>
      <c r="M506" s="15"/>
      <c r="N506" s="15"/>
      <c r="O506" s="15"/>
      <c r="P506" s="15"/>
      <c r="Q506" s="15"/>
      <c r="R506" s="15"/>
      <c r="S506" s="15"/>
      <c r="T506" s="15"/>
      <c r="U506" s="15"/>
      <c r="V506" s="15"/>
      <c r="W506" s="15"/>
      <c r="X506" s="15"/>
      <c r="Y506" s="15"/>
      <c r="Z506" s="15"/>
    </row>
    <row r="507" spans="1:26" x14ac:dyDescent="0.3">
      <c r="A507" s="17"/>
      <c r="B507" s="17"/>
      <c r="C507" s="35" t="s">
        <v>958</v>
      </c>
      <c r="D507" s="17"/>
      <c r="E507" s="17"/>
      <c r="F507" s="17"/>
      <c r="G507" s="17"/>
      <c r="H507" s="17"/>
      <c r="I507" s="17"/>
      <c r="J507" s="17"/>
      <c r="K507" s="17"/>
      <c r="L507" s="15"/>
      <c r="M507" s="15"/>
      <c r="N507" s="15"/>
      <c r="O507" s="15"/>
      <c r="P507" s="15"/>
      <c r="Q507" s="15"/>
      <c r="R507" s="15"/>
      <c r="S507" s="15"/>
      <c r="T507" s="15"/>
      <c r="U507" s="15"/>
      <c r="V507" s="15"/>
      <c r="W507" s="15"/>
      <c r="X507" s="15"/>
      <c r="Y507" s="15"/>
      <c r="Z507" s="15"/>
    </row>
    <row r="508" spans="1:26" x14ac:dyDescent="0.3">
      <c r="A508" s="17"/>
      <c r="B508" s="17"/>
      <c r="C508" s="17" t="s">
        <v>959</v>
      </c>
      <c r="D508" s="17"/>
      <c r="E508" s="17"/>
      <c r="F508" s="17"/>
      <c r="G508" s="17"/>
      <c r="H508" s="17"/>
      <c r="I508" s="17"/>
      <c r="J508" s="17"/>
      <c r="K508" s="17"/>
      <c r="L508" s="15"/>
      <c r="M508" s="15"/>
      <c r="N508" s="15"/>
      <c r="O508" s="15"/>
      <c r="P508" s="15"/>
      <c r="Q508" s="15"/>
      <c r="R508" s="15"/>
      <c r="S508" s="15"/>
      <c r="T508" s="15"/>
      <c r="U508" s="15"/>
      <c r="V508" s="15"/>
      <c r="W508" s="15"/>
      <c r="X508" s="15"/>
      <c r="Y508" s="15"/>
      <c r="Z508" s="15"/>
    </row>
    <row r="509" spans="1:26" x14ac:dyDescent="0.3">
      <c r="A509" s="17"/>
      <c r="B509" s="17"/>
      <c r="C509" s="27" t="s">
        <v>960</v>
      </c>
      <c r="D509" s="17"/>
      <c r="E509" s="17"/>
      <c r="F509" s="17"/>
      <c r="G509" s="17"/>
      <c r="H509" s="17"/>
      <c r="I509" s="17"/>
      <c r="J509" s="17"/>
      <c r="K509" s="17"/>
      <c r="L509" s="15"/>
      <c r="M509" s="15"/>
      <c r="N509" s="15"/>
      <c r="O509" s="15"/>
      <c r="P509" s="15"/>
      <c r="Q509" s="15"/>
      <c r="R509" s="15"/>
      <c r="S509" s="15"/>
      <c r="T509" s="15"/>
      <c r="U509" s="15"/>
      <c r="V509" s="15"/>
      <c r="W509" s="15"/>
      <c r="X509" s="15"/>
      <c r="Y509" s="15"/>
      <c r="Z509" s="15"/>
    </row>
    <row r="510" spans="1:26" x14ac:dyDescent="0.3">
      <c r="A510" s="17"/>
      <c r="B510" s="17"/>
      <c r="C510" s="27" t="s">
        <v>961</v>
      </c>
      <c r="D510" s="17"/>
      <c r="E510" s="17"/>
      <c r="F510" s="17"/>
      <c r="G510" s="17"/>
      <c r="H510" s="17"/>
      <c r="I510" s="17"/>
      <c r="J510" s="17"/>
      <c r="K510" s="17"/>
      <c r="L510" s="15"/>
      <c r="M510" s="15"/>
      <c r="N510" s="15"/>
      <c r="O510" s="15"/>
      <c r="P510" s="15"/>
      <c r="Q510" s="15"/>
      <c r="R510" s="15"/>
      <c r="S510" s="15"/>
      <c r="T510" s="15"/>
      <c r="U510" s="15"/>
      <c r="V510" s="15"/>
      <c r="W510" s="15"/>
      <c r="X510" s="15"/>
      <c r="Y510" s="15"/>
      <c r="Z510" s="15"/>
    </row>
    <row r="511" spans="1:26" x14ac:dyDescent="0.3">
      <c r="A511" s="17"/>
      <c r="B511" s="17"/>
      <c r="C511" s="27" t="s">
        <v>962</v>
      </c>
      <c r="D511" s="17"/>
      <c r="E511" s="17"/>
      <c r="F511" s="17"/>
      <c r="G511" s="17"/>
      <c r="H511" s="17"/>
      <c r="I511" s="17"/>
      <c r="J511" s="17"/>
      <c r="K511" s="17"/>
      <c r="L511" s="15"/>
      <c r="M511" s="15"/>
      <c r="N511" s="15"/>
      <c r="O511" s="15"/>
      <c r="P511" s="15"/>
      <c r="Q511" s="15"/>
      <c r="R511" s="15"/>
      <c r="S511" s="15"/>
      <c r="T511" s="15"/>
      <c r="U511" s="15"/>
      <c r="V511" s="15"/>
      <c r="W511" s="15"/>
      <c r="X511" s="15"/>
      <c r="Y511" s="15"/>
      <c r="Z511" s="15"/>
    </row>
    <row r="512" spans="1:26" x14ac:dyDescent="0.3">
      <c r="A512" s="17"/>
      <c r="B512" s="17"/>
      <c r="C512" s="27" t="s">
        <v>963</v>
      </c>
      <c r="D512" s="17"/>
      <c r="E512" s="17"/>
      <c r="F512" s="17"/>
      <c r="G512" s="17"/>
      <c r="H512" s="17"/>
      <c r="I512" s="17"/>
      <c r="J512" s="17"/>
      <c r="K512" s="17"/>
      <c r="L512" s="15"/>
      <c r="M512" s="15"/>
      <c r="N512" s="15"/>
      <c r="O512" s="15"/>
      <c r="P512" s="15"/>
      <c r="Q512" s="15"/>
      <c r="R512" s="15"/>
      <c r="S512" s="15"/>
      <c r="T512" s="15"/>
      <c r="U512" s="15"/>
      <c r="V512" s="15"/>
      <c r="W512" s="15"/>
      <c r="X512" s="15"/>
      <c r="Y512" s="15"/>
      <c r="Z512" s="15"/>
    </row>
    <row r="513" spans="1:26" x14ac:dyDescent="0.3">
      <c r="A513" s="17"/>
      <c r="B513" s="17"/>
      <c r="C513" s="27" t="s">
        <v>964</v>
      </c>
      <c r="D513" s="17"/>
      <c r="E513" s="17"/>
      <c r="F513" s="17"/>
      <c r="G513" s="17"/>
      <c r="H513" s="17"/>
      <c r="I513" s="17"/>
      <c r="J513" s="17"/>
      <c r="K513" s="17"/>
      <c r="L513" s="15"/>
      <c r="M513" s="15"/>
      <c r="N513" s="15"/>
      <c r="O513" s="15"/>
      <c r="P513" s="15"/>
      <c r="Q513" s="15"/>
      <c r="R513" s="15"/>
      <c r="S513" s="15"/>
      <c r="T513" s="15"/>
      <c r="U513" s="15"/>
      <c r="V513" s="15"/>
      <c r="W513" s="15"/>
      <c r="X513" s="15"/>
      <c r="Y513" s="15"/>
      <c r="Z513" s="15"/>
    </row>
    <row r="514" spans="1:26" x14ac:dyDescent="0.3">
      <c r="A514" s="17"/>
      <c r="B514" s="17"/>
      <c r="C514" s="17"/>
      <c r="D514" s="17"/>
      <c r="E514" s="17"/>
      <c r="F514" s="17"/>
      <c r="G514" s="17"/>
      <c r="H514" s="17"/>
      <c r="I514" s="17"/>
      <c r="J514" s="17"/>
      <c r="K514" s="17"/>
      <c r="L514" s="15"/>
      <c r="M514" s="15"/>
      <c r="N514" s="15"/>
      <c r="O514" s="15"/>
      <c r="P514" s="15"/>
      <c r="Q514" s="15"/>
      <c r="R514" s="15"/>
      <c r="S514" s="15"/>
      <c r="T514" s="15"/>
      <c r="U514" s="15"/>
      <c r="V514" s="15"/>
      <c r="W514" s="15"/>
      <c r="X514" s="15"/>
      <c r="Y514" s="15"/>
      <c r="Z514" s="15"/>
    </row>
    <row r="515" spans="1:26" x14ac:dyDescent="0.3">
      <c r="A515" s="17"/>
      <c r="B515" s="17"/>
      <c r="C515" s="35" t="s">
        <v>965</v>
      </c>
      <c r="D515" s="17"/>
      <c r="E515" s="17"/>
      <c r="F515" s="17"/>
      <c r="G515" s="17"/>
      <c r="H515" s="17"/>
      <c r="I515" s="17"/>
      <c r="J515" s="17"/>
      <c r="K515" s="17"/>
      <c r="L515" s="15"/>
      <c r="M515" s="15"/>
      <c r="N515" s="15"/>
      <c r="O515" s="15"/>
      <c r="P515" s="15"/>
      <c r="Q515" s="15"/>
      <c r="R515" s="15"/>
      <c r="S515" s="15"/>
      <c r="T515" s="15"/>
      <c r="U515" s="15"/>
      <c r="V515" s="15"/>
      <c r="W515" s="15"/>
      <c r="X515" s="15"/>
      <c r="Y515" s="15"/>
      <c r="Z515" s="15"/>
    </row>
    <row r="516" spans="1:26" x14ac:dyDescent="0.3">
      <c r="A516" s="17"/>
      <c r="B516" s="17"/>
      <c r="C516" s="27" t="s">
        <v>966</v>
      </c>
      <c r="D516" s="17"/>
      <c r="E516" s="17"/>
      <c r="F516" s="17"/>
      <c r="G516" s="17"/>
      <c r="H516" s="17"/>
      <c r="I516" s="17"/>
      <c r="J516" s="17"/>
      <c r="K516" s="17"/>
      <c r="L516" s="15"/>
      <c r="M516" s="15"/>
      <c r="N516" s="15"/>
      <c r="O516" s="15"/>
      <c r="P516" s="15"/>
      <c r="Q516" s="15"/>
      <c r="R516" s="15"/>
      <c r="S516" s="15"/>
      <c r="T516" s="15"/>
      <c r="U516" s="15"/>
      <c r="V516" s="15"/>
      <c r="W516" s="15"/>
      <c r="X516" s="15"/>
      <c r="Y516" s="15"/>
      <c r="Z516" s="15"/>
    </row>
    <row r="517" spans="1:26" x14ac:dyDescent="0.3">
      <c r="A517" s="17"/>
      <c r="B517" s="17"/>
      <c r="C517" s="27" t="s">
        <v>967</v>
      </c>
      <c r="D517" s="17"/>
      <c r="E517" s="17"/>
      <c r="F517" s="17"/>
      <c r="G517" s="17"/>
      <c r="H517" s="17"/>
      <c r="I517" s="17"/>
      <c r="J517" s="17"/>
      <c r="K517" s="17"/>
      <c r="L517" s="15"/>
      <c r="M517" s="15"/>
      <c r="N517" s="15"/>
      <c r="O517" s="15"/>
      <c r="P517" s="15"/>
      <c r="Q517" s="15"/>
      <c r="R517" s="15"/>
      <c r="S517" s="15"/>
      <c r="T517" s="15"/>
      <c r="U517" s="15"/>
      <c r="V517" s="15"/>
      <c r="W517" s="15"/>
      <c r="X517" s="15"/>
      <c r="Y517" s="15"/>
      <c r="Z517" s="15"/>
    </row>
    <row r="518" spans="1:26" x14ac:dyDescent="0.3">
      <c r="A518" s="17"/>
      <c r="B518" s="17"/>
      <c r="C518" s="27" t="s">
        <v>968</v>
      </c>
      <c r="D518" s="17"/>
      <c r="E518" s="17"/>
      <c r="F518" s="17"/>
      <c r="G518" s="17"/>
      <c r="H518" s="17"/>
      <c r="I518" s="17"/>
      <c r="J518" s="17"/>
      <c r="K518" s="17"/>
      <c r="L518" s="15"/>
      <c r="M518" s="15"/>
      <c r="N518" s="15"/>
      <c r="O518" s="15"/>
      <c r="P518" s="15"/>
      <c r="Q518" s="15"/>
      <c r="R518" s="15"/>
      <c r="S518" s="15"/>
      <c r="T518" s="15"/>
      <c r="U518" s="15"/>
      <c r="V518" s="15"/>
      <c r="W518" s="15"/>
      <c r="X518" s="15"/>
      <c r="Y518" s="15"/>
      <c r="Z518" s="15"/>
    </row>
    <row r="519" spans="1:26" x14ac:dyDescent="0.3">
      <c r="A519" s="17"/>
      <c r="B519" s="17"/>
      <c r="C519" s="17" t="s">
        <v>969</v>
      </c>
      <c r="D519" s="17"/>
      <c r="E519" s="17"/>
      <c r="F519" s="17"/>
      <c r="G519" s="17"/>
      <c r="H519" s="17"/>
      <c r="I519" s="17"/>
      <c r="J519" s="17"/>
      <c r="K519" s="17"/>
      <c r="L519" s="15"/>
      <c r="M519" s="15"/>
      <c r="N519" s="15"/>
      <c r="O519" s="15"/>
      <c r="P519" s="15"/>
      <c r="Q519" s="15"/>
      <c r="R519" s="15"/>
      <c r="S519" s="15"/>
      <c r="T519" s="15"/>
      <c r="U519" s="15"/>
      <c r="V519" s="15"/>
      <c r="W519" s="15"/>
      <c r="X519" s="15"/>
      <c r="Y519" s="15"/>
      <c r="Z519" s="15"/>
    </row>
    <row r="520" spans="1:26" x14ac:dyDescent="0.3">
      <c r="A520" s="17"/>
      <c r="B520" s="17"/>
      <c r="C520" s="27" t="s">
        <v>970</v>
      </c>
      <c r="D520" s="17"/>
      <c r="E520" s="17"/>
      <c r="F520" s="17"/>
      <c r="G520" s="17"/>
      <c r="H520" s="17"/>
      <c r="I520" s="17"/>
      <c r="J520" s="17"/>
      <c r="K520" s="17"/>
      <c r="L520" s="15"/>
      <c r="M520" s="15"/>
      <c r="N520" s="15"/>
      <c r="O520" s="15"/>
      <c r="P520" s="15"/>
      <c r="Q520" s="15"/>
      <c r="R520" s="15"/>
      <c r="S520" s="15"/>
      <c r="T520" s="15"/>
      <c r="U520" s="15"/>
      <c r="V520" s="15"/>
      <c r="W520" s="15"/>
      <c r="X520" s="15"/>
      <c r="Y520" s="15"/>
      <c r="Z520" s="15"/>
    </row>
    <row r="521" spans="1:26" x14ac:dyDescent="0.3">
      <c r="A521" s="17"/>
      <c r="B521" s="17"/>
      <c r="C521" s="27" t="s">
        <v>971</v>
      </c>
      <c r="D521" s="17"/>
      <c r="E521" s="17"/>
      <c r="F521" s="17"/>
      <c r="G521" s="17"/>
      <c r="H521" s="17"/>
      <c r="I521" s="17"/>
      <c r="J521" s="17"/>
      <c r="K521" s="17"/>
      <c r="L521" s="15"/>
      <c r="M521" s="15"/>
      <c r="N521" s="15"/>
      <c r="O521" s="15"/>
      <c r="P521" s="15"/>
      <c r="Q521" s="15"/>
      <c r="R521" s="15"/>
      <c r="S521" s="15"/>
      <c r="T521" s="15"/>
      <c r="U521" s="15"/>
      <c r="V521" s="15"/>
      <c r="W521" s="15"/>
      <c r="X521" s="15"/>
      <c r="Y521" s="15"/>
      <c r="Z521" s="15"/>
    </row>
    <row r="522" spans="1:26" x14ac:dyDescent="0.3">
      <c r="A522" s="17"/>
      <c r="B522" s="17"/>
      <c r="C522" s="27" t="s">
        <v>972</v>
      </c>
      <c r="D522" s="17"/>
      <c r="E522" s="17"/>
      <c r="F522" s="17"/>
      <c r="G522" s="17"/>
      <c r="H522" s="17"/>
      <c r="I522" s="17"/>
      <c r="J522" s="17"/>
      <c r="K522" s="17"/>
      <c r="L522" s="15"/>
      <c r="M522" s="15"/>
      <c r="N522" s="15"/>
      <c r="O522" s="15"/>
      <c r="P522" s="15"/>
      <c r="Q522" s="15"/>
      <c r="R522" s="15"/>
      <c r="S522" s="15"/>
      <c r="T522" s="15"/>
      <c r="U522" s="15"/>
      <c r="V522" s="15"/>
      <c r="W522" s="15"/>
      <c r="X522" s="15"/>
      <c r="Y522" s="15"/>
      <c r="Z522" s="15"/>
    </row>
    <row r="523" spans="1:26" x14ac:dyDescent="0.3">
      <c r="A523" s="17"/>
      <c r="B523" s="17"/>
      <c r="C523" s="27" t="s">
        <v>973</v>
      </c>
      <c r="D523" s="17"/>
      <c r="E523" s="17"/>
      <c r="F523" s="17"/>
      <c r="G523" s="17"/>
      <c r="H523" s="17"/>
      <c r="I523" s="17"/>
      <c r="J523" s="17"/>
      <c r="K523" s="17"/>
      <c r="L523" s="15"/>
      <c r="M523" s="15"/>
      <c r="N523" s="15"/>
      <c r="O523" s="15"/>
      <c r="P523" s="15"/>
      <c r="Q523" s="15"/>
      <c r="R523" s="15"/>
      <c r="S523" s="15"/>
      <c r="T523" s="15"/>
      <c r="U523" s="15"/>
      <c r="V523" s="15"/>
      <c r="W523" s="15"/>
      <c r="X523" s="15"/>
      <c r="Y523" s="15"/>
      <c r="Z523" s="15"/>
    </row>
    <row r="524" spans="1:26" x14ac:dyDescent="0.3">
      <c r="A524" s="17"/>
      <c r="B524" s="17"/>
      <c r="C524" s="27" t="s">
        <v>974</v>
      </c>
      <c r="D524" s="17"/>
      <c r="E524" s="17"/>
      <c r="F524" s="17"/>
      <c r="G524" s="17"/>
      <c r="H524" s="17"/>
      <c r="I524" s="17"/>
      <c r="J524" s="17"/>
      <c r="K524" s="17"/>
      <c r="L524" s="15"/>
      <c r="M524" s="15"/>
      <c r="N524" s="15"/>
      <c r="O524" s="15"/>
      <c r="P524" s="15"/>
      <c r="Q524" s="15"/>
      <c r="R524" s="15"/>
      <c r="S524" s="15"/>
      <c r="T524" s="15"/>
      <c r="U524" s="15"/>
      <c r="V524" s="15"/>
      <c r="W524" s="15"/>
      <c r="X524" s="15"/>
      <c r="Y524" s="15"/>
      <c r="Z524" s="15"/>
    </row>
    <row r="525" spans="1:26" x14ac:dyDescent="0.3">
      <c r="A525" s="17"/>
      <c r="B525" s="17"/>
      <c r="C525" s="27" t="s">
        <v>975</v>
      </c>
      <c r="D525" s="17"/>
      <c r="E525" s="17"/>
      <c r="F525" s="17"/>
      <c r="G525" s="17"/>
      <c r="H525" s="17"/>
      <c r="I525" s="17"/>
      <c r="J525" s="17"/>
      <c r="K525" s="17"/>
      <c r="L525" s="15"/>
      <c r="M525" s="15"/>
      <c r="N525" s="15"/>
      <c r="O525" s="15"/>
      <c r="P525" s="15"/>
      <c r="Q525" s="15"/>
      <c r="R525" s="15"/>
      <c r="S525" s="15"/>
      <c r="T525" s="15"/>
      <c r="U525" s="15"/>
      <c r="V525" s="15"/>
      <c r="W525" s="15"/>
      <c r="X525" s="15"/>
      <c r="Y525" s="15"/>
      <c r="Z525" s="15"/>
    </row>
    <row r="526" spans="1:26" x14ac:dyDescent="0.3">
      <c r="A526" s="17"/>
      <c r="B526" s="17"/>
      <c r="C526" s="17"/>
      <c r="D526" s="17"/>
      <c r="E526" s="17"/>
      <c r="F526" s="17"/>
      <c r="G526" s="17"/>
      <c r="H526" s="17"/>
      <c r="I526" s="17"/>
      <c r="J526" s="17"/>
      <c r="K526" s="17"/>
      <c r="L526" s="15"/>
      <c r="M526" s="15"/>
      <c r="N526" s="15"/>
      <c r="O526" s="15"/>
      <c r="P526" s="15"/>
      <c r="Q526" s="15"/>
      <c r="R526" s="15"/>
      <c r="S526" s="15"/>
      <c r="T526" s="15"/>
      <c r="U526" s="15"/>
      <c r="V526" s="15"/>
      <c r="W526" s="15"/>
      <c r="X526" s="15"/>
      <c r="Y526" s="15"/>
      <c r="Z526" s="15"/>
    </row>
    <row r="527" spans="1:26" x14ac:dyDescent="0.3">
      <c r="A527" s="17"/>
      <c r="B527" s="17"/>
      <c r="C527" s="17" t="s">
        <v>976</v>
      </c>
      <c r="D527" s="17"/>
      <c r="E527" s="17"/>
      <c r="F527" s="17"/>
      <c r="G527" s="17"/>
      <c r="H527" s="17"/>
      <c r="I527" s="17"/>
      <c r="J527" s="17"/>
      <c r="K527" s="17"/>
      <c r="L527" s="15"/>
      <c r="M527" s="15"/>
      <c r="N527" s="15"/>
      <c r="O527" s="15"/>
      <c r="P527" s="15"/>
      <c r="Q527" s="15"/>
      <c r="R527" s="15"/>
      <c r="S527" s="15"/>
      <c r="T527" s="15"/>
      <c r="U527" s="15"/>
      <c r="V527" s="15"/>
      <c r="W527" s="15"/>
      <c r="X527" s="15"/>
      <c r="Y527" s="15"/>
      <c r="Z527" s="15"/>
    </row>
    <row r="528" spans="1:26" x14ac:dyDescent="0.3">
      <c r="A528" s="17"/>
      <c r="B528" s="17"/>
      <c r="C528" s="27" t="s">
        <v>977</v>
      </c>
      <c r="D528" s="17"/>
      <c r="E528" s="17"/>
      <c r="F528" s="17"/>
      <c r="G528" s="17"/>
      <c r="H528" s="17"/>
      <c r="I528" s="17"/>
      <c r="J528" s="17"/>
      <c r="K528" s="17"/>
      <c r="L528" s="15"/>
      <c r="M528" s="15"/>
      <c r="N528" s="15"/>
      <c r="O528" s="15"/>
      <c r="P528" s="15"/>
      <c r="Q528" s="15"/>
      <c r="R528" s="15"/>
      <c r="S528" s="15"/>
      <c r="T528" s="15"/>
      <c r="U528" s="15"/>
      <c r="V528" s="15"/>
      <c r="W528" s="15"/>
      <c r="X528" s="15"/>
      <c r="Y528" s="15"/>
      <c r="Z528" s="15"/>
    </row>
    <row r="529" spans="1:26" x14ac:dyDescent="0.3">
      <c r="A529" s="17"/>
      <c r="B529" s="17"/>
      <c r="C529" s="27" t="s">
        <v>978</v>
      </c>
      <c r="D529" s="17"/>
      <c r="E529" s="17"/>
      <c r="F529" s="17"/>
      <c r="G529" s="17"/>
      <c r="H529" s="17"/>
      <c r="I529" s="17"/>
      <c r="J529" s="17"/>
      <c r="K529" s="17"/>
      <c r="L529" s="15"/>
      <c r="M529" s="15"/>
      <c r="N529" s="15"/>
      <c r="O529" s="15"/>
      <c r="P529" s="15"/>
      <c r="Q529" s="15"/>
      <c r="R529" s="15"/>
      <c r="S529" s="15"/>
      <c r="T529" s="15"/>
      <c r="U529" s="15"/>
      <c r="V529" s="15"/>
      <c r="W529" s="15"/>
      <c r="X529" s="15"/>
      <c r="Y529" s="15"/>
      <c r="Z529" s="15"/>
    </row>
    <row r="530" spans="1:26" x14ac:dyDescent="0.3">
      <c r="A530" s="17"/>
      <c r="B530" s="17"/>
      <c r="C530" s="27" t="s">
        <v>979</v>
      </c>
      <c r="D530" s="17"/>
      <c r="E530" s="17"/>
      <c r="F530" s="17"/>
      <c r="G530" s="17"/>
      <c r="H530" s="17"/>
      <c r="I530" s="17"/>
      <c r="J530" s="17"/>
      <c r="K530" s="17"/>
      <c r="L530" s="15"/>
      <c r="M530" s="15"/>
      <c r="N530" s="15"/>
      <c r="O530" s="15"/>
      <c r="P530" s="15"/>
      <c r="Q530" s="15"/>
      <c r="R530" s="15"/>
      <c r="S530" s="15"/>
      <c r="T530" s="15"/>
      <c r="U530" s="15"/>
      <c r="V530" s="15"/>
      <c r="W530" s="15"/>
      <c r="X530" s="15"/>
      <c r="Y530" s="15"/>
      <c r="Z530" s="15"/>
    </row>
    <row r="531" spans="1:26" x14ac:dyDescent="0.3">
      <c r="A531" s="17"/>
      <c r="B531" s="17"/>
      <c r="C531" s="17" t="s">
        <v>980</v>
      </c>
      <c r="D531" s="17"/>
      <c r="E531" s="17"/>
      <c r="F531" s="17"/>
      <c r="G531" s="17"/>
      <c r="H531" s="17"/>
      <c r="I531" s="17"/>
      <c r="J531" s="17"/>
      <c r="K531" s="17"/>
      <c r="L531" s="15"/>
      <c r="M531" s="15"/>
      <c r="N531" s="15"/>
      <c r="O531" s="15"/>
      <c r="P531" s="15"/>
      <c r="Q531" s="15"/>
      <c r="R531" s="15"/>
      <c r="S531" s="15"/>
      <c r="T531" s="15"/>
      <c r="U531" s="15"/>
      <c r="V531" s="15"/>
      <c r="W531" s="15"/>
      <c r="X531" s="15"/>
      <c r="Y531" s="15"/>
      <c r="Z531" s="15"/>
    </row>
    <row r="532" spans="1:26" x14ac:dyDescent="0.3">
      <c r="A532" s="17"/>
      <c r="B532" s="17"/>
      <c r="C532" s="27" t="s">
        <v>981</v>
      </c>
      <c r="D532" s="17"/>
      <c r="E532" s="17"/>
      <c r="F532" s="17"/>
      <c r="G532" s="17"/>
      <c r="H532" s="17"/>
      <c r="I532" s="17"/>
      <c r="J532" s="17"/>
      <c r="K532" s="17"/>
      <c r="L532" s="15"/>
      <c r="M532" s="15"/>
      <c r="N532" s="15"/>
      <c r="O532" s="15"/>
      <c r="P532" s="15"/>
      <c r="Q532" s="15"/>
      <c r="R532" s="15"/>
      <c r="S532" s="15"/>
      <c r="T532" s="15"/>
      <c r="U532" s="15"/>
      <c r="V532" s="15"/>
      <c r="W532" s="15"/>
      <c r="X532" s="15"/>
      <c r="Y532" s="15"/>
      <c r="Z532" s="15"/>
    </row>
    <row r="533" spans="1:26" x14ac:dyDescent="0.3">
      <c r="A533" s="17"/>
      <c r="B533" s="17"/>
      <c r="C533" s="27" t="s">
        <v>982</v>
      </c>
      <c r="D533" s="17"/>
      <c r="E533" s="17"/>
      <c r="F533" s="17"/>
      <c r="G533" s="17"/>
      <c r="H533" s="17"/>
      <c r="I533" s="17"/>
      <c r="J533" s="17"/>
      <c r="K533" s="17"/>
      <c r="L533" s="15"/>
      <c r="M533" s="15"/>
      <c r="N533" s="15"/>
      <c r="O533" s="15"/>
      <c r="P533" s="15"/>
      <c r="Q533" s="15"/>
      <c r="R533" s="15"/>
      <c r="S533" s="15"/>
      <c r="T533" s="15"/>
      <c r="U533" s="15"/>
      <c r="V533" s="15"/>
      <c r="W533" s="15"/>
      <c r="X533" s="15"/>
      <c r="Y533" s="15"/>
      <c r="Z533" s="15"/>
    </row>
    <row r="534" spans="1:26" x14ac:dyDescent="0.3">
      <c r="A534" s="17"/>
      <c r="B534" s="17"/>
      <c r="C534" s="27" t="s">
        <v>983</v>
      </c>
      <c r="D534" s="17"/>
      <c r="E534" s="17"/>
      <c r="F534" s="17"/>
      <c r="G534" s="17"/>
      <c r="H534" s="17"/>
      <c r="I534" s="17"/>
      <c r="J534" s="17"/>
      <c r="K534" s="17"/>
      <c r="L534" s="15"/>
      <c r="M534" s="15"/>
      <c r="N534" s="15"/>
      <c r="O534" s="15"/>
      <c r="P534" s="15"/>
      <c r="Q534" s="15"/>
      <c r="R534" s="15"/>
      <c r="S534" s="15"/>
      <c r="T534" s="15"/>
      <c r="U534" s="15"/>
      <c r="V534" s="15"/>
      <c r="W534" s="15"/>
      <c r="X534" s="15"/>
      <c r="Y534" s="15"/>
      <c r="Z534" s="15"/>
    </row>
    <row r="535" spans="1:26" x14ac:dyDescent="0.3">
      <c r="A535" s="17"/>
      <c r="B535" s="17"/>
      <c r="C535" s="27" t="s">
        <v>984</v>
      </c>
      <c r="D535" s="17"/>
      <c r="E535" s="17"/>
      <c r="F535" s="17"/>
      <c r="G535" s="17"/>
      <c r="H535" s="17"/>
      <c r="I535" s="17"/>
      <c r="J535" s="17"/>
      <c r="K535" s="17"/>
      <c r="L535" s="15"/>
      <c r="M535" s="15"/>
      <c r="N535" s="15"/>
      <c r="O535" s="15"/>
      <c r="P535" s="15"/>
      <c r="Q535" s="15"/>
      <c r="R535" s="15"/>
      <c r="S535" s="15"/>
      <c r="T535" s="15"/>
      <c r="U535" s="15"/>
      <c r="V535" s="15"/>
      <c r="W535" s="15"/>
      <c r="X535" s="15"/>
      <c r="Y535" s="15"/>
      <c r="Z535" s="15"/>
    </row>
    <row r="536" spans="1:26" x14ac:dyDescent="0.3">
      <c r="A536" s="17"/>
      <c r="B536" s="17"/>
      <c r="C536" s="17" t="s">
        <v>985</v>
      </c>
      <c r="D536" s="17"/>
      <c r="E536" s="17"/>
      <c r="F536" s="17"/>
      <c r="G536" s="17"/>
      <c r="H536" s="17"/>
      <c r="I536" s="17"/>
      <c r="J536" s="17"/>
      <c r="K536" s="17"/>
      <c r="L536" s="15"/>
      <c r="M536" s="15"/>
      <c r="N536" s="15"/>
      <c r="O536" s="15"/>
      <c r="P536" s="15"/>
      <c r="Q536" s="15"/>
      <c r="R536" s="15"/>
      <c r="S536" s="15"/>
      <c r="T536" s="15"/>
      <c r="U536" s="15"/>
      <c r="V536" s="15"/>
      <c r="W536" s="15"/>
      <c r="X536" s="15"/>
      <c r="Y536" s="15"/>
      <c r="Z536" s="15"/>
    </row>
    <row r="537" spans="1:26" x14ac:dyDescent="0.3">
      <c r="A537" s="17"/>
      <c r="B537" s="17"/>
      <c r="C537" s="17" t="s">
        <v>986</v>
      </c>
      <c r="D537" s="17"/>
      <c r="E537" s="17"/>
      <c r="F537" s="17"/>
      <c r="G537" s="17"/>
      <c r="H537" s="17"/>
      <c r="I537" s="17"/>
      <c r="J537" s="17"/>
      <c r="K537" s="17"/>
      <c r="L537" s="15"/>
      <c r="M537" s="15"/>
      <c r="N537" s="15"/>
      <c r="O537" s="15"/>
      <c r="P537" s="15"/>
      <c r="Q537" s="15"/>
      <c r="R537" s="15"/>
      <c r="S537" s="15"/>
      <c r="T537" s="15"/>
      <c r="U537" s="15"/>
      <c r="V537" s="15"/>
      <c r="W537" s="15"/>
      <c r="X537" s="15"/>
      <c r="Y537" s="15"/>
      <c r="Z537" s="15"/>
    </row>
    <row r="538" spans="1:26" x14ac:dyDescent="0.3">
      <c r="A538" s="17"/>
      <c r="B538" s="17"/>
      <c r="C538" s="27" t="s">
        <v>987</v>
      </c>
      <c r="D538" s="17"/>
      <c r="E538" s="17"/>
      <c r="F538" s="17"/>
      <c r="G538" s="17"/>
      <c r="H538" s="17"/>
      <c r="I538" s="17"/>
      <c r="J538" s="17"/>
      <c r="K538" s="17"/>
      <c r="L538" s="15"/>
      <c r="M538" s="15"/>
      <c r="N538" s="15"/>
      <c r="O538" s="15"/>
      <c r="P538" s="15"/>
      <c r="Q538" s="15"/>
      <c r="R538" s="15"/>
      <c r="S538" s="15"/>
      <c r="T538" s="15"/>
      <c r="U538" s="15"/>
      <c r="V538" s="15"/>
      <c r="W538" s="15"/>
      <c r="X538" s="15"/>
      <c r="Y538" s="15"/>
      <c r="Z538" s="15"/>
    </row>
    <row r="539" spans="1:26" x14ac:dyDescent="0.3">
      <c r="A539" s="17"/>
      <c r="B539" s="17"/>
      <c r="C539" s="27" t="s">
        <v>988</v>
      </c>
      <c r="D539" s="17"/>
      <c r="E539" s="17"/>
      <c r="F539" s="17"/>
      <c r="G539" s="17"/>
      <c r="H539" s="17"/>
      <c r="I539" s="17"/>
      <c r="J539" s="17"/>
      <c r="K539" s="17"/>
      <c r="L539" s="15"/>
      <c r="M539" s="15"/>
      <c r="N539" s="15"/>
      <c r="O539" s="15"/>
      <c r="P539" s="15"/>
      <c r="Q539" s="15"/>
      <c r="R539" s="15"/>
      <c r="S539" s="15"/>
      <c r="T539" s="15"/>
      <c r="U539" s="15"/>
      <c r="V539" s="15"/>
      <c r="W539" s="15"/>
      <c r="X539" s="15"/>
      <c r="Y539" s="15"/>
      <c r="Z539" s="15"/>
    </row>
    <row r="540" spans="1:26" x14ac:dyDescent="0.3">
      <c r="A540" s="17"/>
      <c r="B540" s="17"/>
      <c r="C540" s="17" t="s">
        <v>989</v>
      </c>
      <c r="D540" s="17"/>
      <c r="E540" s="17"/>
      <c r="F540" s="17"/>
      <c r="G540" s="17"/>
      <c r="H540" s="17"/>
      <c r="I540" s="17"/>
      <c r="J540" s="17"/>
      <c r="K540" s="17"/>
      <c r="L540" s="15"/>
      <c r="M540" s="15"/>
      <c r="N540" s="15"/>
      <c r="O540" s="15"/>
      <c r="P540" s="15"/>
      <c r="Q540" s="15"/>
      <c r="R540" s="15"/>
      <c r="S540" s="15"/>
      <c r="T540" s="15"/>
      <c r="U540" s="15"/>
      <c r="V540" s="15"/>
      <c r="W540" s="15"/>
      <c r="X540" s="15"/>
      <c r="Y540" s="15"/>
      <c r="Z540" s="15"/>
    </row>
    <row r="541" spans="1:26" x14ac:dyDescent="0.3">
      <c r="A541" s="17"/>
      <c r="B541" s="17"/>
      <c r="C541" s="17" t="s">
        <v>990</v>
      </c>
      <c r="D541" s="17"/>
      <c r="E541" s="17"/>
      <c r="F541" s="17"/>
      <c r="G541" s="17"/>
      <c r="H541" s="17"/>
      <c r="I541" s="17"/>
      <c r="J541" s="17"/>
      <c r="K541" s="17"/>
      <c r="L541" s="15"/>
      <c r="M541" s="15"/>
      <c r="N541" s="15"/>
      <c r="O541" s="15"/>
      <c r="P541" s="15"/>
      <c r="Q541" s="15"/>
      <c r="R541" s="15"/>
      <c r="S541" s="15"/>
      <c r="T541" s="15"/>
      <c r="U541" s="15"/>
      <c r="V541" s="15"/>
      <c r="W541" s="15"/>
      <c r="X541" s="15"/>
      <c r="Y541" s="15"/>
      <c r="Z541" s="15"/>
    </row>
    <row r="542" spans="1:26" x14ac:dyDescent="0.3">
      <c r="A542" s="17"/>
      <c r="B542" s="17"/>
      <c r="C542" s="27" t="s">
        <v>991</v>
      </c>
      <c r="D542" s="17"/>
      <c r="E542" s="17"/>
      <c r="F542" s="17"/>
      <c r="G542" s="17"/>
      <c r="H542" s="17"/>
      <c r="I542" s="17"/>
      <c r="J542" s="17"/>
      <c r="K542" s="17"/>
      <c r="L542" s="15"/>
      <c r="M542" s="15"/>
      <c r="N542" s="15"/>
      <c r="O542" s="15"/>
      <c r="P542" s="15"/>
      <c r="Q542" s="15"/>
      <c r="R542" s="15"/>
      <c r="S542" s="15"/>
      <c r="T542" s="15"/>
      <c r="U542" s="15"/>
      <c r="V542" s="15"/>
      <c r="W542" s="15"/>
      <c r="X542" s="15"/>
      <c r="Y542" s="15"/>
      <c r="Z542" s="15"/>
    </row>
    <row r="543" spans="1:26" x14ac:dyDescent="0.3">
      <c r="A543" s="17"/>
      <c r="B543" s="17"/>
      <c r="C543" s="27" t="s">
        <v>992</v>
      </c>
      <c r="D543" s="17"/>
      <c r="E543" s="17"/>
      <c r="F543" s="17"/>
      <c r="G543" s="17"/>
      <c r="H543" s="17"/>
      <c r="I543" s="17"/>
      <c r="J543" s="17"/>
      <c r="K543" s="17"/>
      <c r="L543" s="15"/>
      <c r="M543" s="15"/>
      <c r="N543" s="15"/>
      <c r="O543" s="15"/>
      <c r="P543" s="15"/>
      <c r="Q543" s="15"/>
      <c r="R543" s="15"/>
      <c r="S543" s="15"/>
      <c r="T543" s="15"/>
      <c r="U543" s="15"/>
      <c r="V543" s="15"/>
      <c r="W543" s="15"/>
      <c r="X543" s="15"/>
      <c r="Y543" s="15"/>
      <c r="Z543" s="15"/>
    </row>
    <row r="544" spans="1:26" x14ac:dyDescent="0.3">
      <c r="A544" s="17"/>
      <c r="B544" s="17"/>
      <c r="C544" s="27" t="s">
        <v>993</v>
      </c>
      <c r="D544" s="17"/>
      <c r="E544" s="17"/>
      <c r="F544" s="17"/>
      <c r="G544" s="17"/>
      <c r="H544" s="17"/>
      <c r="I544" s="17"/>
      <c r="J544" s="17"/>
      <c r="K544" s="17"/>
      <c r="L544" s="15"/>
      <c r="M544" s="15"/>
      <c r="N544" s="15"/>
      <c r="O544" s="15"/>
      <c r="P544" s="15"/>
      <c r="Q544" s="15"/>
      <c r="R544" s="15"/>
      <c r="S544" s="15"/>
      <c r="T544" s="15"/>
      <c r="U544" s="15"/>
      <c r="V544" s="15"/>
      <c r="W544" s="15"/>
      <c r="X544" s="15"/>
      <c r="Y544" s="15"/>
      <c r="Z544" s="15"/>
    </row>
    <row r="545" spans="1:26" x14ac:dyDescent="0.3">
      <c r="A545" s="17"/>
      <c r="B545" s="17"/>
      <c r="C545" s="27" t="s">
        <v>994</v>
      </c>
      <c r="D545" s="17"/>
      <c r="E545" s="17"/>
      <c r="F545" s="17"/>
      <c r="G545" s="17"/>
      <c r="H545" s="17"/>
      <c r="I545" s="17"/>
      <c r="J545" s="17"/>
      <c r="K545" s="17"/>
      <c r="L545" s="15"/>
      <c r="M545" s="15"/>
      <c r="N545" s="15"/>
      <c r="O545" s="15"/>
      <c r="P545" s="15"/>
      <c r="Q545" s="15"/>
      <c r="R545" s="15"/>
      <c r="S545" s="15"/>
      <c r="T545" s="15"/>
      <c r="U545" s="15"/>
      <c r="V545" s="15"/>
      <c r="W545" s="15"/>
      <c r="X545" s="15"/>
      <c r="Y545" s="15"/>
      <c r="Z545" s="15"/>
    </row>
    <row r="546" spans="1:26" x14ac:dyDescent="0.3">
      <c r="A546" s="17"/>
      <c r="B546" s="17"/>
      <c r="C546" s="27" t="s">
        <v>995</v>
      </c>
      <c r="D546" s="17"/>
      <c r="E546" s="17"/>
      <c r="F546" s="17"/>
      <c r="G546" s="17"/>
      <c r="H546" s="17"/>
      <c r="I546" s="17"/>
      <c r="J546" s="17"/>
      <c r="K546" s="17"/>
      <c r="L546" s="15"/>
      <c r="M546" s="15"/>
      <c r="N546" s="15"/>
      <c r="O546" s="15"/>
      <c r="P546" s="15"/>
      <c r="Q546" s="15"/>
      <c r="R546" s="15"/>
      <c r="S546" s="15"/>
      <c r="T546" s="15"/>
      <c r="U546" s="15"/>
      <c r="V546" s="15"/>
      <c r="W546" s="15"/>
      <c r="X546" s="15"/>
      <c r="Y546" s="15"/>
      <c r="Z546" s="15"/>
    </row>
    <row r="547" spans="1:26" x14ac:dyDescent="0.3">
      <c r="A547" s="17"/>
      <c r="B547" s="17"/>
      <c r="C547" s="27" t="s">
        <v>996</v>
      </c>
      <c r="D547" s="17"/>
      <c r="E547" s="17"/>
      <c r="F547" s="17"/>
      <c r="G547" s="17"/>
      <c r="H547" s="17"/>
      <c r="I547" s="17"/>
      <c r="J547" s="17"/>
      <c r="K547" s="17"/>
      <c r="L547" s="15"/>
      <c r="M547" s="15"/>
      <c r="N547" s="15"/>
      <c r="O547" s="15"/>
      <c r="P547" s="15"/>
      <c r="Q547" s="15"/>
      <c r="R547" s="15"/>
      <c r="S547" s="15"/>
      <c r="T547" s="15"/>
      <c r="U547" s="15"/>
      <c r="V547" s="15"/>
      <c r="W547" s="15"/>
      <c r="X547" s="15"/>
      <c r="Y547" s="15"/>
      <c r="Z547" s="15"/>
    </row>
    <row r="548" spans="1:26" x14ac:dyDescent="0.3">
      <c r="A548" s="17"/>
      <c r="B548" s="17"/>
      <c r="C548" s="17" t="s">
        <v>997</v>
      </c>
      <c r="D548" s="17"/>
      <c r="E548" s="17"/>
      <c r="F548" s="17"/>
      <c r="G548" s="17"/>
      <c r="H548" s="17"/>
      <c r="I548" s="17"/>
      <c r="J548" s="17"/>
      <c r="K548" s="17"/>
      <c r="L548" s="15"/>
      <c r="M548" s="15"/>
      <c r="N548" s="15"/>
      <c r="O548" s="15"/>
      <c r="P548" s="15"/>
      <c r="Q548" s="15"/>
      <c r="R548" s="15"/>
      <c r="S548" s="15"/>
      <c r="T548" s="15"/>
      <c r="U548" s="15"/>
      <c r="V548" s="15"/>
      <c r="W548" s="15"/>
      <c r="X548" s="15"/>
      <c r="Y548" s="15"/>
      <c r="Z548" s="15"/>
    </row>
    <row r="549" spans="1:26" x14ac:dyDescent="0.3">
      <c r="A549" s="17"/>
      <c r="B549" s="17"/>
      <c r="C549" s="27" t="s">
        <v>998</v>
      </c>
      <c r="D549" s="17"/>
      <c r="E549" s="17"/>
      <c r="F549" s="17"/>
      <c r="G549" s="17"/>
      <c r="H549" s="17"/>
      <c r="I549" s="17"/>
      <c r="J549" s="17"/>
      <c r="K549" s="17"/>
      <c r="L549" s="15"/>
      <c r="M549" s="15"/>
      <c r="N549" s="15"/>
      <c r="O549" s="15"/>
      <c r="P549" s="15"/>
      <c r="Q549" s="15"/>
      <c r="R549" s="15"/>
      <c r="S549" s="15"/>
      <c r="T549" s="15"/>
      <c r="U549" s="15"/>
      <c r="V549" s="15"/>
      <c r="W549" s="15"/>
      <c r="X549" s="15"/>
      <c r="Y549" s="15"/>
      <c r="Z549" s="15"/>
    </row>
    <row r="550" spans="1:26" x14ac:dyDescent="0.3">
      <c r="A550" s="17"/>
      <c r="B550" s="17"/>
      <c r="C550" s="17" t="s">
        <v>999</v>
      </c>
      <c r="D550" s="17"/>
      <c r="E550" s="17"/>
      <c r="F550" s="17"/>
      <c r="G550" s="17"/>
      <c r="H550" s="17"/>
      <c r="I550" s="17"/>
      <c r="J550" s="17"/>
      <c r="K550" s="17"/>
      <c r="L550" s="15"/>
      <c r="M550" s="15"/>
      <c r="N550" s="15"/>
      <c r="O550" s="15"/>
      <c r="P550" s="15"/>
      <c r="Q550" s="15"/>
      <c r="R550" s="15"/>
      <c r="S550" s="15"/>
      <c r="T550" s="15"/>
      <c r="U550" s="15"/>
      <c r="V550" s="15"/>
      <c r="W550" s="15"/>
      <c r="X550" s="15"/>
      <c r="Y550" s="15"/>
      <c r="Z550" s="15"/>
    </row>
    <row r="551" spans="1:26" x14ac:dyDescent="0.3">
      <c r="A551" s="17"/>
      <c r="B551" s="17"/>
      <c r="C551" s="17" t="s">
        <v>1000</v>
      </c>
      <c r="D551" s="17"/>
      <c r="E551" s="17"/>
      <c r="F551" s="17"/>
      <c r="G551" s="17"/>
      <c r="H551" s="17"/>
      <c r="I551" s="17"/>
      <c r="J551" s="17"/>
      <c r="K551" s="17"/>
      <c r="L551" s="15"/>
      <c r="M551" s="15"/>
      <c r="N551" s="15"/>
      <c r="O551" s="15"/>
      <c r="P551" s="15"/>
      <c r="Q551" s="15"/>
      <c r="R551" s="15"/>
      <c r="S551" s="15"/>
      <c r="T551" s="15"/>
      <c r="U551" s="15"/>
      <c r="V551" s="15"/>
      <c r="W551" s="15"/>
      <c r="X551" s="15"/>
      <c r="Y551" s="15"/>
      <c r="Z551" s="15"/>
    </row>
    <row r="552" spans="1:26" x14ac:dyDescent="0.3">
      <c r="A552" s="17"/>
      <c r="B552" s="17"/>
      <c r="C552" s="35" t="s">
        <v>1001</v>
      </c>
      <c r="D552" s="17"/>
      <c r="E552" s="17"/>
      <c r="F552" s="17"/>
      <c r="G552" s="17"/>
      <c r="H552" s="17"/>
      <c r="I552" s="17"/>
      <c r="J552" s="17"/>
      <c r="K552" s="17"/>
      <c r="L552" s="15"/>
      <c r="M552" s="15"/>
      <c r="N552" s="15"/>
      <c r="O552" s="15"/>
      <c r="P552" s="15"/>
      <c r="Q552" s="15"/>
      <c r="R552" s="15"/>
      <c r="S552" s="15"/>
      <c r="T552" s="15"/>
      <c r="U552" s="15"/>
      <c r="V552" s="15"/>
      <c r="W552" s="15"/>
      <c r="X552" s="15"/>
      <c r="Y552" s="15"/>
      <c r="Z552" s="15"/>
    </row>
    <row r="553" spans="1:26" x14ac:dyDescent="0.3">
      <c r="A553" s="17"/>
      <c r="B553" s="17"/>
      <c r="C553" s="35" t="s">
        <v>1002</v>
      </c>
      <c r="D553" s="17"/>
      <c r="E553" s="17"/>
      <c r="F553" s="17"/>
      <c r="G553" s="17"/>
      <c r="H553" s="17"/>
      <c r="I553" s="17"/>
      <c r="J553" s="17"/>
      <c r="K553" s="17"/>
      <c r="L553" s="15"/>
      <c r="M553" s="15"/>
      <c r="N553" s="15"/>
      <c r="O553" s="15"/>
      <c r="P553" s="15"/>
      <c r="Q553" s="15"/>
      <c r="R553" s="15"/>
      <c r="S553" s="15"/>
      <c r="T553" s="15"/>
      <c r="U553" s="15"/>
      <c r="V553" s="15"/>
      <c r="W553" s="15"/>
      <c r="X553" s="15"/>
      <c r="Y553" s="15"/>
      <c r="Z553" s="15"/>
    </row>
    <row r="554" spans="1:26" x14ac:dyDescent="0.3">
      <c r="A554" s="17"/>
      <c r="B554" s="17"/>
      <c r="C554" s="27" t="s">
        <v>1003</v>
      </c>
      <c r="D554" s="17"/>
      <c r="E554" s="17"/>
      <c r="F554" s="17"/>
      <c r="G554" s="17"/>
      <c r="H554" s="17"/>
      <c r="I554" s="17"/>
      <c r="J554" s="17"/>
      <c r="K554" s="17"/>
      <c r="L554" s="15"/>
      <c r="M554" s="15"/>
      <c r="N554" s="15"/>
      <c r="O554" s="15"/>
      <c r="P554" s="15"/>
      <c r="Q554" s="15"/>
      <c r="R554" s="15"/>
      <c r="S554" s="15"/>
      <c r="T554" s="15"/>
      <c r="U554" s="15"/>
      <c r="V554" s="15"/>
      <c r="W554" s="15"/>
      <c r="X554" s="15"/>
      <c r="Y554" s="15"/>
      <c r="Z554" s="15"/>
    </row>
    <row r="555" spans="1:26" x14ac:dyDescent="0.3">
      <c r="A555" s="17"/>
      <c r="B555" s="17"/>
      <c r="C555" s="27" t="s">
        <v>1004</v>
      </c>
      <c r="D555" s="17"/>
      <c r="E555" s="17"/>
      <c r="F555" s="17"/>
      <c r="G555" s="17"/>
      <c r="H555" s="17"/>
      <c r="I555" s="17"/>
      <c r="J555" s="17"/>
      <c r="K555" s="17"/>
      <c r="L555" s="15"/>
      <c r="M555" s="15"/>
      <c r="N555" s="15"/>
      <c r="O555" s="15"/>
      <c r="P555" s="15"/>
      <c r="Q555" s="15"/>
      <c r="R555" s="15"/>
      <c r="S555" s="15"/>
      <c r="T555" s="15"/>
      <c r="U555" s="15"/>
      <c r="V555" s="15"/>
      <c r="W555" s="15"/>
      <c r="X555" s="15"/>
      <c r="Y555" s="15"/>
      <c r="Z555" s="15"/>
    </row>
    <row r="556" spans="1:26" x14ac:dyDescent="0.3">
      <c r="A556" s="17"/>
      <c r="B556" s="17"/>
      <c r="C556" s="27" t="s">
        <v>1005</v>
      </c>
      <c r="D556" s="17"/>
      <c r="E556" s="17"/>
      <c r="F556" s="17"/>
      <c r="G556" s="17"/>
      <c r="H556" s="17"/>
      <c r="I556" s="17"/>
      <c r="J556" s="17"/>
      <c r="K556" s="17"/>
      <c r="L556" s="15"/>
      <c r="M556" s="15"/>
      <c r="N556" s="15"/>
      <c r="O556" s="15"/>
      <c r="P556" s="15"/>
      <c r="Q556" s="15"/>
      <c r="R556" s="15"/>
      <c r="S556" s="15"/>
      <c r="T556" s="15"/>
      <c r="U556" s="15"/>
      <c r="V556" s="15"/>
      <c r="W556" s="15"/>
      <c r="X556" s="15"/>
      <c r="Y556" s="15"/>
      <c r="Z556" s="15"/>
    </row>
    <row r="557" spans="1:26" x14ac:dyDescent="0.3">
      <c r="A557" s="17"/>
      <c r="B557" s="17"/>
      <c r="C557" s="27" t="s">
        <v>1006</v>
      </c>
      <c r="D557" s="17"/>
      <c r="E557" s="17"/>
      <c r="F557" s="17"/>
      <c r="G557" s="17"/>
      <c r="H557" s="17"/>
      <c r="I557" s="17"/>
      <c r="J557" s="17"/>
      <c r="K557" s="17"/>
      <c r="L557" s="15"/>
      <c r="M557" s="15"/>
      <c r="N557" s="15"/>
      <c r="O557" s="15"/>
      <c r="P557" s="15"/>
      <c r="Q557" s="15"/>
      <c r="R557" s="15"/>
      <c r="S557" s="15"/>
      <c r="T557" s="15"/>
      <c r="U557" s="15"/>
      <c r="V557" s="15"/>
      <c r="W557" s="15"/>
      <c r="X557" s="15"/>
      <c r="Y557" s="15"/>
      <c r="Z557" s="15"/>
    </row>
    <row r="558" spans="1:26" x14ac:dyDescent="0.3">
      <c r="A558" s="17"/>
      <c r="B558" s="17"/>
      <c r="C558" s="27" t="s">
        <v>1007</v>
      </c>
      <c r="D558" s="17"/>
      <c r="E558" s="17"/>
      <c r="F558" s="17"/>
      <c r="G558" s="17"/>
      <c r="H558" s="17"/>
      <c r="I558" s="17"/>
      <c r="J558" s="17"/>
      <c r="K558" s="17"/>
      <c r="L558" s="15"/>
      <c r="M558" s="15"/>
      <c r="N558" s="15"/>
      <c r="O558" s="15"/>
      <c r="P558" s="15"/>
      <c r="Q558" s="15"/>
      <c r="R558" s="15"/>
      <c r="S558" s="15"/>
      <c r="T558" s="15"/>
      <c r="U558" s="15"/>
      <c r="V558" s="15"/>
      <c r="W558" s="15"/>
      <c r="X558" s="15"/>
      <c r="Y558" s="15"/>
      <c r="Z558" s="15"/>
    </row>
    <row r="559" spans="1:26" x14ac:dyDescent="0.3">
      <c r="A559" s="17"/>
      <c r="B559" s="17"/>
      <c r="C559" s="27" t="s">
        <v>1008</v>
      </c>
      <c r="D559" s="17"/>
      <c r="E559" s="17"/>
      <c r="F559" s="17"/>
      <c r="G559" s="17"/>
      <c r="H559" s="17"/>
      <c r="I559" s="17"/>
      <c r="J559" s="17"/>
      <c r="K559" s="17"/>
      <c r="L559" s="15"/>
      <c r="M559" s="15"/>
      <c r="N559" s="15"/>
      <c r="O559" s="15"/>
      <c r="P559" s="15"/>
      <c r="Q559" s="15"/>
      <c r="R559" s="15"/>
      <c r="S559" s="15"/>
      <c r="T559" s="15"/>
      <c r="U559" s="15"/>
      <c r="V559" s="15"/>
      <c r="W559" s="15"/>
      <c r="X559" s="15"/>
      <c r="Y559" s="15"/>
      <c r="Z559" s="15"/>
    </row>
    <row r="560" spans="1:26" x14ac:dyDescent="0.3">
      <c r="A560" s="17"/>
      <c r="B560" s="17"/>
      <c r="C560" s="27" t="s">
        <v>1009</v>
      </c>
      <c r="D560" s="17"/>
      <c r="E560" s="17"/>
      <c r="F560" s="17"/>
      <c r="G560" s="17"/>
      <c r="H560" s="17"/>
      <c r="I560" s="17"/>
      <c r="J560" s="17"/>
      <c r="K560" s="17"/>
      <c r="L560" s="15"/>
      <c r="M560" s="15"/>
      <c r="N560" s="15"/>
      <c r="O560" s="15"/>
      <c r="P560" s="15"/>
      <c r="Q560" s="15"/>
      <c r="R560" s="15"/>
      <c r="S560" s="15"/>
      <c r="T560" s="15"/>
      <c r="U560" s="15"/>
      <c r="V560" s="15"/>
      <c r="W560" s="15"/>
      <c r="X560" s="15"/>
      <c r="Y560" s="15"/>
      <c r="Z560" s="15"/>
    </row>
    <row r="561" spans="1:26" x14ac:dyDescent="0.3">
      <c r="A561" s="17"/>
      <c r="B561" s="17"/>
      <c r="C561" s="27" t="s">
        <v>1010</v>
      </c>
      <c r="D561" s="17"/>
      <c r="E561" s="17"/>
      <c r="F561" s="17"/>
      <c r="G561" s="17"/>
      <c r="H561" s="17"/>
      <c r="I561" s="17"/>
      <c r="J561" s="17"/>
      <c r="K561" s="17"/>
      <c r="L561" s="15"/>
      <c r="M561" s="15"/>
      <c r="N561" s="15"/>
      <c r="O561" s="15"/>
      <c r="P561" s="15"/>
      <c r="Q561" s="15"/>
      <c r="R561" s="15"/>
      <c r="S561" s="15"/>
      <c r="T561" s="15"/>
      <c r="U561" s="15"/>
      <c r="V561" s="15"/>
      <c r="W561" s="15"/>
      <c r="X561" s="15"/>
      <c r="Y561" s="15"/>
      <c r="Z561" s="15"/>
    </row>
    <row r="562" spans="1:26" x14ac:dyDescent="0.3">
      <c r="A562" s="17"/>
      <c r="B562" s="17"/>
      <c r="C562" s="27" t="s">
        <v>1011</v>
      </c>
      <c r="D562" s="17"/>
      <c r="E562" s="17"/>
      <c r="F562" s="17"/>
      <c r="G562" s="17"/>
      <c r="H562" s="17"/>
      <c r="I562" s="17"/>
      <c r="J562" s="17"/>
      <c r="K562" s="17"/>
      <c r="L562" s="15"/>
      <c r="M562" s="15"/>
      <c r="N562" s="15"/>
      <c r="O562" s="15"/>
      <c r="P562" s="15"/>
      <c r="Q562" s="15"/>
      <c r="R562" s="15"/>
      <c r="S562" s="15"/>
      <c r="T562" s="15"/>
      <c r="U562" s="15"/>
      <c r="V562" s="15"/>
      <c r="W562" s="15"/>
      <c r="X562" s="15"/>
      <c r="Y562" s="15"/>
      <c r="Z562" s="15"/>
    </row>
    <row r="563" spans="1:26" x14ac:dyDescent="0.3">
      <c r="A563" s="17"/>
      <c r="B563" s="17"/>
      <c r="C563" s="17"/>
      <c r="D563" s="17"/>
      <c r="E563" s="17"/>
      <c r="F563" s="17"/>
      <c r="G563" s="17"/>
      <c r="H563" s="17"/>
      <c r="I563" s="17"/>
      <c r="J563" s="17"/>
      <c r="K563" s="17"/>
      <c r="L563" s="15"/>
      <c r="M563" s="15"/>
      <c r="N563" s="15"/>
      <c r="O563" s="15"/>
      <c r="P563" s="15"/>
      <c r="Q563" s="15"/>
      <c r="R563" s="15"/>
      <c r="S563" s="15"/>
      <c r="T563" s="15"/>
      <c r="U563" s="15"/>
      <c r="V563" s="15"/>
      <c r="W563" s="15"/>
      <c r="X563" s="15"/>
      <c r="Y563" s="15"/>
      <c r="Z563" s="15"/>
    </row>
    <row r="564" spans="1:26" x14ac:dyDescent="0.3">
      <c r="A564" s="17"/>
      <c r="B564" s="17"/>
      <c r="C564" s="35" t="s">
        <v>1012</v>
      </c>
      <c r="D564" s="17"/>
      <c r="E564" s="17"/>
      <c r="F564" s="17"/>
      <c r="G564" s="17"/>
      <c r="H564" s="17"/>
      <c r="I564" s="17"/>
      <c r="J564" s="17"/>
      <c r="K564" s="17"/>
      <c r="L564" s="15"/>
      <c r="M564" s="15"/>
      <c r="N564" s="15"/>
      <c r="O564" s="15"/>
      <c r="P564" s="15"/>
      <c r="Q564" s="15"/>
      <c r="R564" s="15"/>
      <c r="S564" s="15"/>
      <c r="T564" s="15"/>
      <c r="U564" s="15"/>
      <c r="V564" s="15"/>
      <c r="W564" s="15"/>
      <c r="X564" s="15"/>
      <c r="Y564" s="15"/>
      <c r="Z564" s="15"/>
    </row>
    <row r="565" spans="1:26" x14ac:dyDescent="0.3">
      <c r="A565" s="17"/>
      <c r="B565" s="17"/>
      <c r="C565" s="27" t="s">
        <v>1013</v>
      </c>
      <c r="D565" s="17"/>
      <c r="E565" s="17"/>
      <c r="F565" s="17"/>
      <c r="G565" s="17"/>
      <c r="H565" s="17"/>
      <c r="I565" s="17"/>
      <c r="J565" s="17"/>
      <c r="K565" s="17"/>
      <c r="L565" s="15"/>
      <c r="M565" s="15"/>
      <c r="N565" s="15"/>
      <c r="O565" s="15"/>
      <c r="P565" s="15"/>
      <c r="Q565" s="15"/>
      <c r="R565" s="15"/>
      <c r="S565" s="15"/>
      <c r="T565" s="15"/>
      <c r="U565" s="15"/>
      <c r="V565" s="15"/>
      <c r="W565" s="15"/>
      <c r="X565" s="15"/>
      <c r="Y565" s="15"/>
      <c r="Z565" s="15"/>
    </row>
    <row r="566" spans="1:26" x14ac:dyDescent="0.3">
      <c r="A566" s="17"/>
      <c r="B566" s="17"/>
      <c r="C566" s="27" t="s">
        <v>1014</v>
      </c>
      <c r="D566" s="17"/>
      <c r="E566" s="17"/>
      <c r="F566" s="17"/>
      <c r="G566" s="17"/>
      <c r="H566" s="17"/>
      <c r="I566" s="17"/>
      <c r="J566" s="17"/>
      <c r="K566" s="17"/>
      <c r="L566" s="15"/>
      <c r="M566" s="15"/>
      <c r="N566" s="15"/>
      <c r="O566" s="15"/>
      <c r="P566" s="15"/>
      <c r="Q566" s="15"/>
      <c r="R566" s="15"/>
      <c r="S566" s="15"/>
      <c r="T566" s="15"/>
      <c r="U566" s="15"/>
      <c r="V566" s="15"/>
      <c r="W566" s="15"/>
      <c r="X566" s="15"/>
      <c r="Y566" s="15"/>
      <c r="Z566" s="15"/>
    </row>
    <row r="567" spans="1:26" x14ac:dyDescent="0.3">
      <c r="A567" s="17"/>
      <c r="B567" s="17"/>
      <c r="C567" s="27" t="s">
        <v>1015</v>
      </c>
      <c r="D567" s="17"/>
      <c r="E567" s="17"/>
      <c r="F567" s="17"/>
      <c r="G567" s="17"/>
      <c r="H567" s="17"/>
      <c r="I567" s="17"/>
      <c r="J567" s="17"/>
      <c r="K567" s="17"/>
      <c r="L567" s="15"/>
      <c r="M567" s="15"/>
      <c r="N567" s="15"/>
      <c r="O567" s="15"/>
      <c r="P567" s="15"/>
      <c r="Q567" s="15"/>
      <c r="R567" s="15"/>
      <c r="S567" s="15"/>
      <c r="T567" s="15"/>
      <c r="U567" s="15"/>
      <c r="V567" s="15"/>
      <c r="W567" s="15"/>
      <c r="X567" s="15"/>
      <c r="Y567" s="15"/>
      <c r="Z567" s="15"/>
    </row>
    <row r="568" spans="1:26" x14ac:dyDescent="0.3">
      <c r="A568" s="17"/>
      <c r="B568" s="17"/>
      <c r="C568" s="27" t="s">
        <v>1016</v>
      </c>
      <c r="D568" s="17"/>
      <c r="E568" s="17"/>
      <c r="F568" s="17"/>
      <c r="G568" s="17"/>
      <c r="H568" s="17"/>
      <c r="I568" s="17"/>
      <c r="J568" s="17"/>
      <c r="K568" s="17"/>
      <c r="L568" s="15"/>
      <c r="M568" s="15"/>
      <c r="N568" s="15"/>
      <c r="O568" s="15"/>
      <c r="P568" s="15"/>
      <c r="Q568" s="15"/>
      <c r="R568" s="15"/>
      <c r="S568" s="15"/>
      <c r="T568" s="15"/>
      <c r="U568" s="15"/>
      <c r="V568" s="15"/>
      <c r="W568" s="15"/>
      <c r="X568" s="15"/>
      <c r="Y568" s="15"/>
      <c r="Z568" s="15"/>
    </row>
    <row r="569" spans="1:26" x14ac:dyDescent="0.3">
      <c r="A569" s="17"/>
      <c r="B569" s="17"/>
      <c r="C569" s="27" t="s">
        <v>1017</v>
      </c>
      <c r="D569" s="17"/>
      <c r="E569" s="17"/>
      <c r="F569" s="17"/>
      <c r="G569" s="17"/>
      <c r="H569" s="17"/>
      <c r="I569" s="17"/>
      <c r="J569" s="17"/>
      <c r="K569" s="17"/>
      <c r="L569" s="15"/>
      <c r="M569" s="15"/>
      <c r="N569" s="15"/>
      <c r="O569" s="15"/>
      <c r="P569" s="15"/>
      <c r="Q569" s="15"/>
      <c r="R569" s="15"/>
      <c r="S569" s="15"/>
      <c r="T569" s="15"/>
      <c r="U569" s="15"/>
      <c r="V569" s="15"/>
      <c r="W569" s="15"/>
      <c r="X569" s="15"/>
      <c r="Y569" s="15"/>
      <c r="Z569" s="15"/>
    </row>
    <row r="570" spans="1:26" x14ac:dyDescent="0.3">
      <c r="A570" s="17"/>
      <c r="B570" s="17"/>
      <c r="C570" s="17"/>
      <c r="D570" s="17"/>
      <c r="E570" s="17"/>
      <c r="F570" s="17"/>
      <c r="G570" s="17"/>
      <c r="H570" s="17"/>
      <c r="I570" s="17"/>
      <c r="J570" s="17"/>
      <c r="K570" s="17"/>
      <c r="L570" s="15"/>
      <c r="M570" s="15"/>
      <c r="N570" s="15"/>
      <c r="O570" s="15"/>
      <c r="P570" s="15"/>
      <c r="Q570" s="15"/>
      <c r="R570" s="15"/>
      <c r="S570" s="15"/>
      <c r="T570" s="15"/>
      <c r="U570" s="15"/>
      <c r="V570" s="15"/>
      <c r="W570" s="15"/>
      <c r="X570" s="15"/>
      <c r="Y570" s="15"/>
      <c r="Z570" s="15"/>
    </row>
    <row r="571" spans="1:26" x14ac:dyDescent="0.3">
      <c r="A571" s="17"/>
      <c r="B571" s="17"/>
      <c r="C571" s="27" t="s">
        <v>1018</v>
      </c>
      <c r="D571" s="17"/>
      <c r="E571" s="17"/>
      <c r="F571" s="17"/>
      <c r="G571" s="17"/>
      <c r="H571" s="17"/>
      <c r="I571" s="17"/>
      <c r="J571" s="17"/>
      <c r="K571" s="17"/>
      <c r="L571" s="15"/>
      <c r="M571" s="15"/>
      <c r="N571" s="15"/>
      <c r="O571" s="15"/>
      <c r="P571" s="15"/>
      <c r="Q571" s="15"/>
      <c r="R571" s="15"/>
      <c r="S571" s="15"/>
      <c r="T571" s="15"/>
      <c r="U571" s="15"/>
      <c r="V571" s="15"/>
      <c r="W571" s="15"/>
      <c r="X571" s="15"/>
      <c r="Y571" s="15"/>
      <c r="Z571" s="15"/>
    </row>
    <row r="572" spans="1:26" x14ac:dyDescent="0.3">
      <c r="A572" s="17"/>
      <c r="B572" s="17"/>
      <c r="C572" s="17" t="s">
        <v>1019</v>
      </c>
      <c r="D572" s="17"/>
      <c r="E572" s="17"/>
      <c r="F572" s="17"/>
      <c r="G572" s="17"/>
      <c r="H572" s="17"/>
      <c r="I572" s="17"/>
      <c r="J572" s="17"/>
      <c r="K572" s="17"/>
      <c r="L572" s="15"/>
      <c r="M572" s="15"/>
      <c r="N572" s="15"/>
      <c r="O572" s="15"/>
      <c r="P572" s="15"/>
      <c r="Q572" s="15"/>
      <c r="R572" s="15"/>
      <c r="S572" s="15"/>
      <c r="T572" s="15"/>
      <c r="U572" s="15"/>
      <c r="V572" s="15"/>
      <c r="W572" s="15"/>
      <c r="X572" s="15"/>
      <c r="Y572" s="15"/>
      <c r="Z572" s="15"/>
    </row>
    <row r="573" spans="1:26" x14ac:dyDescent="0.3">
      <c r="A573" s="17"/>
      <c r="B573" s="17"/>
      <c r="C573" s="27" t="s">
        <v>1020</v>
      </c>
      <c r="D573" s="17"/>
      <c r="E573" s="17"/>
      <c r="F573" s="17"/>
      <c r="G573" s="17"/>
      <c r="H573" s="17"/>
      <c r="I573" s="17"/>
      <c r="J573" s="17"/>
      <c r="K573" s="17"/>
      <c r="L573" s="15"/>
      <c r="M573" s="15"/>
      <c r="N573" s="15"/>
      <c r="O573" s="15"/>
      <c r="P573" s="15"/>
      <c r="Q573" s="15"/>
      <c r="R573" s="15"/>
      <c r="S573" s="15"/>
      <c r="T573" s="15"/>
      <c r="U573" s="15"/>
      <c r="V573" s="15"/>
      <c r="W573" s="15"/>
      <c r="X573" s="15"/>
      <c r="Y573" s="15"/>
      <c r="Z573" s="15"/>
    </row>
    <row r="574" spans="1:26" x14ac:dyDescent="0.3">
      <c r="A574" s="17"/>
      <c r="B574" s="17"/>
      <c r="C574" s="27" t="s">
        <v>1021</v>
      </c>
      <c r="D574" s="17"/>
      <c r="E574" s="17"/>
      <c r="F574" s="17"/>
      <c r="G574" s="17"/>
      <c r="H574" s="17"/>
      <c r="I574" s="17"/>
      <c r="J574" s="17"/>
      <c r="K574" s="17"/>
      <c r="L574" s="15"/>
      <c r="M574" s="15"/>
      <c r="N574" s="15"/>
      <c r="O574" s="15"/>
      <c r="P574" s="15"/>
      <c r="Q574" s="15"/>
      <c r="R574" s="15"/>
      <c r="S574" s="15"/>
      <c r="T574" s="15"/>
      <c r="U574" s="15"/>
      <c r="V574" s="15"/>
      <c r="W574" s="15"/>
      <c r="X574" s="15"/>
      <c r="Y574" s="15"/>
      <c r="Z574" s="15"/>
    </row>
    <row r="575" spans="1:26" x14ac:dyDescent="0.3">
      <c r="A575" s="17"/>
      <c r="B575" s="17"/>
      <c r="C575" s="27" t="s">
        <v>1022</v>
      </c>
      <c r="D575" s="17"/>
      <c r="E575" s="17"/>
      <c r="F575" s="17"/>
      <c r="G575" s="17"/>
      <c r="H575" s="17"/>
      <c r="I575" s="17"/>
      <c r="J575" s="17"/>
      <c r="K575" s="17"/>
      <c r="L575" s="15"/>
      <c r="M575" s="15"/>
      <c r="N575" s="15"/>
      <c r="O575" s="15"/>
      <c r="P575" s="15"/>
      <c r="Q575" s="15"/>
      <c r="R575" s="15"/>
      <c r="S575" s="15"/>
      <c r="T575" s="15"/>
      <c r="U575" s="15"/>
      <c r="V575" s="15"/>
      <c r="W575" s="15"/>
      <c r="X575" s="15"/>
      <c r="Y575" s="15"/>
      <c r="Z575" s="15"/>
    </row>
    <row r="576" spans="1:26" x14ac:dyDescent="0.3">
      <c r="A576" s="17"/>
      <c r="B576" s="17"/>
      <c r="C576" s="27" t="s">
        <v>1023</v>
      </c>
      <c r="D576" s="17"/>
      <c r="E576" s="17"/>
      <c r="F576" s="17"/>
      <c r="G576" s="17"/>
      <c r="H576" s="17"/>
      <c r="I576" s="17"/>
      <c r="J576" s="17"/>
      <c r="K576" s="17"/>
      <c r="L576" s="15"/>
      <c r="M576" s="15"/>
      <c r="N576" s="15"/>
      <c r="O576" s="15"/>
      <c r="P576" s="15"/>
      <c r="Q576" s="15"/>
      <c r="R576" s="15"/>
      <c r="S576" s="15"/>
      <c r="T576" s="15"/>
      <c r="U576" s="15"/>
      <c r="V576" s="15"/>
      <c r="W576" s="15"/>
      <c r="X576" s="15"/>
      <c r="Y576" s="15"/>
      <c r="Z576" s="15"/>
    </row>
    <row r="577" spans="1:26" x14ac:dyDescent="0.3">
      <c r="A577" s="17"/>
      <c r="B577" s="17"/>
      <c r="C577" s="27" t="s">
        <v>1024</v>
      </c>
      <c r="D577" s="17"/>
      <c r="E577" s="17"/>
      <c r="F577" s="17"/>
      <c r="G577" s="17"/>
      <c r="H577" s="17"/>
      <c r="I577" s="17"/>
      <c r="J577" s="17"/>
      <c r="K577" s="17"/>
      <c r="L577" s="15"/>
      <c r="M577" s="15"/>
      <c r="N577" s="15"/>
      <c r="O577" s="15"/>
      <c r="P577" s="15"/>
      <c r="Q577" s="15"/>
      <c r="R577" s="15"/>
      <c r="S577" s="15"/>
      <c r="T577" s="15"/>
      <c r="U577" s="15"/>
      <c r="V577" s="15"/>
      <c r="W577" s="15"/>
      <c r="X577" s="15"/>
      <c r="Y577" s="15"/>
      <c r="Z577" s="15"/>
    </row>
    <row r="578" spans="1:26" x14ac:dyDescent="0.3">
      <c r="A578" s="17"/>
      <c r="B578" s="17"/>
      <c r="C578" s="27" t="s">
        <v>1025</v>
      </c>
      <c r="D578" s="17"/>
      <c r="E578" s="17"/>
      <c r="F578" s="17"/>
      <c r="G578" s="17"/>
      <c r="H578" s="17"/>
      <c r="I578" s="17"/>
      <c r="J578" s="17"/>
      <c r="K578" s="17"/>
      <c r="L578" s="15"/>
      <c r="M578" s="15"/>
      <c r="N578" s="15"/>
      <c r="O578" s="15"/>
      <c r="P578" s="15"/>
      <c r="Q578" s="15"/>
      <c r="R578" s="15"/>
      <c r="S578" s="15"/>
      <c r="T578" s="15"/>
      <c r="U578" s="15"/>
      <c r="V578" s="15"/>
      <c r="W578" s="15"/>
      <c r="X578" s="15"/>
      <c r="Y578" s="15"/>
      <c r="Z578" s="15"/>
    </row>
    <row r="579" spans="1:26" x14ac:dyDescent="0.3">
      <c r="A579" s="17"/>
      <c r="B579" s="17"/>
      <c r="C579" s="27" t="s">
        <v>1026</v>
      </c>
      <c r="D579" s="17"/>
      <c r="E579" s="17"/>
      <c r="F579" s="17"/>
      <c r="G579" s="17"/>
      <c r="H579" s="17"/>
      <c r="I579" s="17"/>
      <c r="J579" s="17"/>
      <c r="K579" s="17"/>
      <c r="L579" s="15"/>
      <c r="M579" s="15"/>
      <c r="N579" s="15"/>
      <c r="O579" s="15"/>
      <c r="P579" s="15"/>
      <c r="Q579" s="15"/>
      <c r="R579" s="15"/>
      <c r="S579" s="15"/>
      <c r="T579" s="15"/>
      <c r="U579" s="15"/>
      <c r="V579" s="15"/>
      <c r="W579" s="15"/>
      <c r="X579" s="15"/>
      <c r="Y579" s="15"/>
      <c r="Z579" s="15"/>
    </row>
    <row r="580" spans="1:26" x14ac:dyDescent="0.3">
      <c r="A580" s="17"/>
      <c r="B580" s="17"/>
      <c r="C580" s="27" t="s">
        <v>1027</v>
      </c>
      <c r="D580" s="17"/>
      <c r="E580" s="17"/>
      <c r="F580" s="17"/>
      <c r="G580" s="17"/>
      <c r="H580" s="17"/>
      <c r="I580" s="17"/>
      <c r="J580" s="17"/>
      <c r="K580" s="17"/>
      <c r="L580" s="15"/>
      <c r="M580" s="15"/>
      <c r="N580" s="15"/>
      <c r="O580" s="15"/>
      <c r="P580" s="15"/>
      <c r="Q580" s="15"/>
      <c r="R580" s="15"/>
      <c r="S580" s="15"/>
      <c r="T580" s="15"/>
      <c r="U580" s="15"/>
      <c r="V580" s="15"/>
      <c r="W580" s="15"/>
      <c r="X580" s="15"/>
      <c r="Y580" s="15"/>
      <c r="Z580" s="15"/>
    </row>
    <row r="581" spans="1:26" x14ac:dyDescent="0.3">
      <c r="A581" s="17"/>
      <c r="B581" s="17"/>
      <c r="C581" s="27" t="s">
        <v>1028</v>
      </c>
      <c r="D581" s="17"/>
      <c r="E581" s="17"/>
      <c r="F581" s="17"/>
      <c r="G581" s="17"/>
      <c r="H581" s="17"/>
      <c r="I581" s="17"/>
      <c r="J581" s="17"/>
      <c r="K581" s="17"/>
      <c r="L581" s="15"/>
      <c r="M581" s="15"/>
      <c r="N581" s="15"/>
      <c r="O581" s="15"/>
      <c r="P581" s="15"/>
      <c r="Q581" s="15"/>
      <c r="R581" s="15"/>
      <c r="S581" s="15"/>
      <c r="T581" s="15"/>
      <c r="U581" s="15"/>
      <c r="V581" s="15"/>
      <c r="W581" s="15"/>
      <c r="X581" s="15"/>
      <c r="Y581" s="15"/>
      <c r="Z581" s="15"/>
    </row>
    <row r="582" spans="1:26" x14ac:dyDescent="0.3">
      <c r="A582" s="17"/>
      <c r="B582" s="17"/>
      <c r="C582" s="27" t="s">
        <v>1029</v>
      </c>
      <c r="D582" s="17"/>
      <c r="E582" s="17"/>
      <c r="F582" s="17"/>
      <c r="G582" s="17"/>
      <c r="H582" s="17"/>
      <c r="I582" s="17"/>
      <c r="J582" s="17"/>
      <c r="K582" s="17"/>
      <c r="L582" s="15"/>
      <c r="M582" s="15"/>
      <c r="N582" s="15"/>
      <c r="O582" s="15"/>
      <c r="P582" s="15"/>
      <c r="Q582" s="15"/>
      <c r="R582" s="15"/>
      <c r="S582" s="15"/>
      <c r="T582" s="15"/>
      <c r="U582" s="15"/>
      <c r="V582" s="15"/>
      <c r="W582" s="15"/>
      <c r="X582" s="15"/>
      <c r="Y582" s="15"/>
      <c r="Z582" s="15"/>
    </row>
    <row r="583" spans="1:26" x14ac:dyDescent="0.3">
      <c r="A583" s="17"/>
      <c r="B583" s="17"/>
      <c r="C583" s="27" t="s">
        <v>1030</v>
      </c>
      <c r="D583" s="17"/>
      <c r="E583" s="17"/>
      <c r="F583" s="17"/>
      <c r="G583" s="17"/>
      <c r="H583" s="17"/>
      <c r="I583" s="17"/>
      <c r="J583" s="17"/>
      <c r="K583" s="17"/>
      <c r="L583" s="15"/>
      <c r="M583" s="15"/>
      <c r="N583" s="15"/>
      <c r="O583" s="15"/>
      <c r="P583" s="15"/>
      <c r="Q583" s="15"/>
      <c r="R583" s="15"/>
      <c r="S583" s="15"/>
      <c r="T583" s="15"/>
      <c r="U583" s="15"/>
      <c r="V583" s="15"/>
      <c r="W583" s="15"/>
      <c r="X583" s="15"/>
      <c r="Y583" s="15"/>
      <c r="Z583" s="15"/>
    </row>
    <row r="584" spans="1:26" x14ac:dyDescent="0.3">
      <c r="A584" s="17"/>
      <c r="B584" s="17"/>
      <c r="C584" s="35" t="s">
        <v>1031</v>
      </c>
      <c r="D584" s="17"/>
      <c r="E584" s="17"/>
      <c r="F584" s="17"/>
      <c r="G584" s="17"/>
      <c r="H584" s="17"/>
      <c r="I584" s="17"/>
      <c r="J584" s="17"/>
      <c r="K584" s="17"/>
      <c r="L584" s="15"/>
      <c r="M584" s="15"/>
      <c r="N584" s="15"/>
      <c r="O584" s="15"/>
      <c r="P584" s="15"/>
      <c r="Q584" s="15"/>
      <c r="R584" s="15"/>
      <c r="S584" s="15"/>
      <c r="T584" s="15"/>
      <c r="U584" s="15"/>
      <c r="V584" s="15"/>
      <c r="W584" s="15"/>
      <c r="X584" s="15"/>
      <c r="Y584" s="15"/>
      <c r="Z584" s="15"/>
    </row>
    <row r="585" spans="1:26" x14ac:dyDescent="0.3">
      <c r="A585" s="17"/>
      <c r="B585" s="17"/>
      <c r="C585" s="35" t="s">
        <v>1032</v>
      </c>
      <c r="D585" s="17"/>
      <c r="E585" s="17"/>
      <c r="F585" s="17"/>
      <c r="G585" s="17"/>
      <c r="H585" s="17"/>
      <c r="I585" s="17"/>
      <c r="J585" s="17"/>
      <c r="K585" s="17"/>
      <c r="L585" s="15"/>
      <c r="M585" s="15"/>
      <c r="N585" s="15"/>
      <c r="O585" s="15"/>
      <c r="P585" s="15"/>
      <c r="Q585" s="15"/>
      <c r="R585" s="15"/>
      <c r="S585" s="15"/>
      <c r="T585" s="15"/>
      <c r="U585" s="15"/>
      <c r="V585" s="15"/>
      <c r="W585" s="15"/>
      <c r="X585" s="15"/>
      <c r="Y585" s="15"/>
      <c r="Z585" s="15"/>
    </row>
    <row r="586" spans="1:26" x14ac:dyDescent="0.3">
      <c r="A586" s="17"/>
      <c r="B586" s="17"/>
      <c r="C586" s="35" t="s">
        <v>1033</v>
      </c>
      <c r="D586" s="17"/>
      <c r="E586" s="17"/>
      <c r="F586" s="17"/>
      <c r="G586" s="17"/>
      <c r="H586" s="17"/>
      <c r="I586" s="17"/>
      <c r="J586" s="17"/>
      <c r="K586" s="17"/>
      <c r="L586" s="15"/>
      <c r="M586" s="15"/>
      <c r="N586" s="15"/>
      <c r="O586" s="15"/>
      <c r="P586" s="15"/>
      <c r="Q586" s="15"/>
      <c r="R586" s="15"/>
      <c r="S586" s="15"/>
      <c r="T586" s="15"/>
      <c r="U586" s="15"/>
      <c r="V586" s="15"/>
      <c r="W586" s="15"/>
      <c r="X586" s="15"/>
      <c r="Y586" s="15"/>
      <c r="Z586" s="15"/>
    </row>
    <row r="587" spans="1:26" x14ac:dyDescent="0.3">
      <c r="A587" s="17"/>
      <c r="B587" s="17"/>
      <c r="C587" s="17"/>
      <c r="D587" s="17"/>
      <c r="E587" s="17"/>
      <c r="F587" s="17"/>
      <c r="G587" s="17"/>
      <c r="H587" s="17"/>
      <c r="I587" s="17"/>
      <c r="J587" s="17"/>
      <c r="K587" s="17"/>
      <c r="L587" s="15"/>
      <c r="M587" s="15"/>
      <c r="N587" s="15"/>
      <c r="O587" s="15"/>
      <c r="P587" s="15"/>
      <c r="Q587" s="15"/>
      <c r="R587" s="15"/>
      <c r="S587" s="15"/>
      <c r="T587" s="15"/>
      <c r="U587" s="15"/>
      <c r="V587" s="15"/>
      <c r="W587" s="15"/>
      <c r="X587" s="15"/>
      <c r="Y587" s="15"/>
      <c r="Z587" s="15"/>
    </row>
    <row r="588" spans="1:26" x14ac:dyDescent="0.3">
      <c r="A588" s="17"/>
      <c r="B588" s="17"/>
      <c r="C588" s="35" t="s">
        <v>1034</v>
      </c>
      <c r="D588" s="17"/>
      <c r="E588" s="17"/>
      <c r="F588" s="17"/>
      <c r="G588" s="17"/>
      <c r="H588" s="17"/>
      <c r="I588" s="17"/>
      <c r="J588" s="17"/>
      <c r="K588" s="17"/>
      <c r="L588" s="15"/>
      <c r="M588" s="15"/>
      <c r="N588" s="15"/>
      <c r="O588" s="15"/>
      <c r="P588" s="15"/>
      <c r="Q588" s="15"/>
      <c r="R588" s="15"/>
      <c r="S588" s="15"/>
      <c r="T588" s="15"/>
      <c r="U588" s="15"/>
      <c r="V588" s="15"/>
      <c r="W588" s="15"/>
      <c r="X588" s="15"/>
      <c r="Y588" s="15"/>
      <c r="Z588" s="15"/>
    </row>
    <row r="589" spans="1:26" x14ac:dyDescent="0.3">
      <c r="A589" s="17"/>
      <c r="B589" s="17"/>
      <c r="C589" s="35" t="s">
        <v>1035</v>
      </c>
      <c r="D589" s="17"/>
      <c r="E589" s="17"/>
      <c r="F589" s="17"/>
      <c r="G589" s="17"/>
      <c r="H589" s="17"/>
      <c r="I589" s="17"/>
      <c r="J589" s="17"/>
      <c r="K589" s="17"/>
      <c r="L589" s="15"/>
      <c r="M589" s="15"/>
      <c r="N589" s="15"/>
      <c r="O589" s="15"/>
      <c r="P589" s="15"/>
      <c r="Q589" s="15"/>
      <c r="R589" s="15"/>
      <c r="S589" s="15"/>
      <c r="T589" s="15"/>
      <c r="U589" s="15"/>
      <c r="V589" s="15"/>
      <c r="W589" s="15"/>
      <c r="X589" s="15"/>
      <c r="Y589" s="15"/>
      <c r="Z589" s="15"/>
    </row>
    <row r="590" spans="1:26" x14ac:dyDescent="0.3">
      <c r="A590" s="17"/>
      <c r="B590" s="17"/>
      <c r="C590" s="35" t="s">
        <v>1036</v>
      </c>
      <c r="D590" s="17"/>
      <c r="E590" s="17"/>
      <c r="F590" s="17"/>
      <c r="G590" s="17"/>
      <c r="H590" s="17"/>
      <c r="I590" s="17"/>
      <c r="J590" s="17"/>
      <c r="K590" s="17"/>
      <c r="L590" s="15"/>
      <c r="M590" s="15"/>
      <c r="N590" s="15"/>
      <c r="O590" s="15"/>
      <c r="P590" s="15"/>
      <c r="Q590" s="15"/>
      <c r="R590" s="15"/>
      <c r="S590" s="15"/>
      <c r="T590" s="15"/>
      <c r="U590" s="15"/>
      <c r="V590" s="15"/>
      <c r="W590" s="15"/>
      <c r="X590" s="15"/>
      <c r="Y590" s="15"/>
      <c r="Z590" s="15"/>
    </row>
    <row r="591" spans="1:26" x14ac:dyDescent="0.3">
      <c r="A591" s="17"/>
      <c r="B591" s="17"/>
      <c r="C591" s="27" t="s">
        <v>1037</v>
      </c>
      <c r="D591" s="17"/>
      <c r="E591" s="17"/>
      <c r="F591" s="17"/>
      <c r="G591" s="17"/>
      <c r="H591" s="17"/>
      <c r="I591" s="17"/>
      <c r="J591" s="17"/>
      <c r="K591" s="17"/>
      <c r="L591" s="15"/>
      <c r="M591" s="15"/>
      <c r="N591" s="15"/>
      <c r="O591" s="15"/>
      <c r="P591" s="15"/>
      <c r="Q591" s="15"/>
      <c r="R591" s="15"/>
      <c r="S591" s="15"/>
      <c r="T591" s="15"/>
      <c r="U591" s="15"/>
      <c r="V591" s="15"/>
      <c r="W591" s="15"/>
      <c r="X591" s="15"/>
      <c r="Y591" s="15"/>
      <c r="Z591" s="15"/>
    </row>
    <row r="592" spans="1:26" x14ac:dyDescent="0.3">
      <c r="A592" s="17"/>
      <c r="B592" s="17"/>
      <c r="C592" s="17" t="s">
        <v>1038</v>
      </c>
      <c r="D592" s="17"/>
      <c r="E592" s="17"/>
      <c r="F592" s="17"/>
      <c r="G592" s="17"/>
      <c r="H592" s="17"/>
      <c r="I592" s="17"/>
      <c r="J592" s="17"/>
      <c r="K592" s="17"/>
      <c r="L592" s="15"/>
      <c r="M592" s="15"/>
      <c r="N592" s="15"/>
      <c r="O592" s="15"/>
      <c r="P592" s="15"/>
      <c r="Q592" s="15"/>
      <c r="R592" s="15"/>
      <c r="S592" s="15"/>
      <c r="T592" s="15"/>
      <c r="U592" s="15"/>
      <c r="V592" s="15"/>
      <c r="W592" s="15"/>
      <c r="X592" s="15"/>
      <c r="Y592" s="15"/>
      <c r="Z592" s="15"/>
    </row>
    <row r="593" spans="1:26" x14ac:dyDescent="0.3">
      <c r="A593" s="17"/>
      <c r="B593" s="17"/>
      <c r="C593" s="27" t="s">
        <v>1039</v>
      </c>
      <c r="D593" s="17"/>
      <c r="E593" s="17"/>
      <c r="F593" s="17"/>
      <c r="G593" s="17"/>
      <c r="H593" s="17"/>
      <c r="I593" s="17"/>
      <c r="J593" s="17"/>
      <c r="K593" s="17"/>
      <c r="L593" s="15"/>
      <c r="M593" s="15"/>
      <c r="N593" s="15"/>
      <c r="O593" s="15"/>
      <c r="P593" s="15"/>
      <c r="Q593" s="15"/>
      <c r="R593" s="15"/>
      <c r="S593" s="15"/>
      <c r="T593" s="15"/>
      <c r="U593" s="15"/>
      <c r="V593" s="15"/>
      <c r="W593" s="15"/>
      <c r="X593" s="15"/>
      <c r="Y593" s="15"/>
      <c r="Z593" s="15"/>
    </row>
    <row r="594" spans="1:26" x14ac:dyDescent="0.3">
      <c r="A594" s="17"/>
      <c r="B594" s="17"/>
      <c r="C594" s="35" t="s">
        <v>1040</v>
      </c>
      <c r="D594" s="17"/>
      <c r="E594" s="17"/>
      <c r="F594" s="17"/>
      <c r="G594" s="17"/>
      <c r="H594" s="17"/>
      <c r="I594" s="17"/>
      <c r="J594" s="17"/>
      <c r="K594" s="17"/>
      <c r="L594" s="15"/>
      <c r="M594" s="15"/>
      <c r="N594" s="15"/>
      <c r="O594" s="15"/>
      <c r="P594" s="15"/>
      <c r="Q594" s="15"/>
      <c r="R594" s="15"/>
      <c r="S594" s="15"/>
      <c r="T594" s="15"/>
      <c r="U594" s="15"/>
      <c r="V594" s="15"/>
      <c r="W594" s="15"/>
      <c r="X594" s="15"/>
      <c r="Y594" s="15"/>
      <c r="Z594" s="15"/>
    </row>
    <row r="595" spans="1:26" x14ac:dyDescent="0.3">
      <c r="A595" s="17"/>
      <c r="B595" s="17"/>
      <c r="C595" s="27" t="s">
        <v>1041</v>
      </c>
      <c r="D595" s="17"/>
      <c r="E595" s="17"/>
      <c r="F595" s="17"/>
      <c r="G595" s="17"/>
      <c r="H595" s="17"/>
      <c r="I595" s="17"/>
      <c r="J595" s="17"/>
      <c r="K595" s="17"/>
      <c r="L595" s="15"/>
      <c r="M595" s="15"/>
      <c r="N595" s="15"/>
      <c r="O595" s="15"/>
      <c r="P595" s="15"/>
      <c r="Q595" s="15"/>
      <c r="R595" s="15"/>
      <c r="S595" s="15"/>
      <c r="T595" s="15"/>
      <c r="U595" s="15"/>
      <c r="V595" s="15"/>
      <c r="W595" s="15"/>
      <c r="X595" s="15"/>
      <c r="Y595" s="15"/>
      <c r="Z595" s="15"/>
    </row>
    <row r="596" spans="1:26" x14ac:dyDescent="0.3">
      <c r="A596" s="17"/>
      <c r="B596" s="17"/>
      <c r="C596" s="17" t="s">
        <v>1042</v>
      </c>
      <c r="D596" s="17"/>
      <c r="E596" s="17"/>
      <c r="F596" s="17"/>
      <c r="G596" s="17"/>
      <c r="H596" s="17"/>
      <c r="I596" s="17"/>
      <c r="J596" s="17"/>
      <c r="K596" s="17"/>
      <c r="L596" s="15"/>
      <c r="M596" s="15"/>
      <c r="N596" s="15"/>
      <c r="O596" s="15"/>
      <c r="P596" s="15"/>
      <c r="Q596" s="15"/>
      <c r="R596" s="15"/>
      <c r="S596" s="15"/>
      <c r="T596" s="15"/>
      <c r="U596" s="15"/>
      <c r="V596" s="15"/>
      <c r="W596" s="15"/>
      <c r="X596" s="15"/>
      <c r="Y596" s="15"/>
      <c r="Z596" s="15"/>
    </row>
    <row r="597" spans="1:26" x14ac:dyDescent="0.3">
      <c r="A597" s="17"/>
      <c r="B597" s="17"/>
      <c r="C597" s="27" t="s">
        <v>1043</v>
      </c>
      <c r="D597" s="17"/>
      <c r="E597" s="17"/>
      <c r="F597" s="17"/>
      <c r="G597" s="17"/>
      <c r="H597" s="17"/>
      <c r="I597" s="17"/>
      <c r="J597" s="17"/>
      <c r="K597" s="17"/>
      <c r="L597" s="15"/>
      <c r="M597" s="15"/>
      <c r="N597" s="15"/>
      <c r="O597" s="15"/>
      <c r="P597" s="15"/>
      <c r="Q597" s="15"/>
      <c r="R597" s="15"/>
      <c r="S597" s="15"/>
      <c r="T597" s="15"/>
      <c r="U597" s="15"/>
      <c r="V597" s="15"/>
      <c r="W597" s="15"/>
      <c r="X597" s="15"/>
      <c r="Y597" s="15"/>
      <c r="Z597" s="15"/>
    </row>
    <row r="598" spans="1:26" x14ac:dyDescent="0.3">
      <c r="A598" s="17"/>
      <c r="B598" s="17"/>
      <c r="C598" s="35" t="s">
        <v>1044</v>
      </c>
      <c r="D598" s="17"/>
      <c r="E598" s="17"/>
      <c r="F598" s="17"/>
      <c r="G598" s="17"/>
      <c r="H598" s="17"/>
      <c r="I598" s="17"/>
      <c r="J598" s="17"/>
      <c r="K598" s="17"/>
      <c r="L598" s="15"/>
      <c r="M598" s="15"/>
      <c r="N598" s="15"/>
      <c r="O598" s="15"/>
      <c r="P598" s="15"/>
      <c r="Q598" s="15"/>
      <c r="R598" s="15"/>
      <c r="S598" s="15"/>
      <c r="T598" s="15"/>
      <c r="U598" s="15"/>
      <c r="V598" s="15"/>
      <c r="W598" s="15"/>
      <c r="X598" s="15"/>
      <c r="Y598" s="15"/>
      <c r="Z598" s="15"/>
    </row>
    <row r="599" spans="1:26" x14ac:dyDescent="0.3">
      <c r="A599" s="17"/>
      <c r="B599" s="17"/>
      <c r="C599" s="27" t="s">
        <v>1045</v>
      </c>
      <c r="D599" s="17"/>
      <c r="E599" s="17"/>
      <c r="F599" s="17"/>
      <c r="G599" s="17"/>
      <c r="H599" s="17"/>
      <c r="I599" s="17"/>
      <c r="J599" s="17"/>
      <c r="K599" s="17"/>
      <c r="L599" s="15"/>
      <c r="M599" s="15"/>
      <c r="N599" s="15"/>
      <c r="O599" s="15"/>
      <c r="P599" s="15"/>
      <c r="Q599" s="15"/>
      <c r="R599" s="15"/>
      <c r="S599" s="15"/>
      <c r="T599" s="15"/>
      <c r="U599" s="15"/>
      <c r="V599" s="15"/>
      <c r="W599" s="15"/>
      <c r="X599" s="15"/>
      <c r="Y599" s="15"/>
      <c r="Z599" s="15"/>
    </row>
    <row r="600" spans="1:26" x14ac:dyDescent="0.3">
      <c r="A600" s="17"/>
      <c r="B600" s="17"/>
      <c r="C600" s="27" t="s">
        <v>1046</v>
      </c>
      <c r="D600" s="17"/>
      <c r="E600" s="17"/>
      <c r="F600" s="17"/>
      <c r="G600" s="17"/>
      <c r="H600" s="17"/>
      <c r="I600" s="17"/>
      <c r="J600" s="17"/>
      <c r="K600" s="17"/>
      <c r="L600" s="15"/>
      <c r="M600" s="15"/>
      <c r="N600" s="15"/>
      <c r="O600" s="15"/>
      <c r="P600" s="15"/>
      <c r="Q600" s="15"/>
      <c r="R600" s="15"/>
      <c r="S600" s="15"/>
      <c r="T600" s="15"/>
      <c r="U600" s="15"/>
      <c r="V600" s="15"/>
      <c r="W600" s="15"/>
      <c r="X600" s="15"/>
      <c r="Y600" s="15"/>
      <c r="Z600" s="15"/>
    </row>
    <row r="601" spans="1:26" x14ac:dyDescent="0.3">
      <c r="A601" s="17"/>
      <c r="B601" s="17"/>
      <c r="C601" s="27" t="s">
        <v>1047</v>
      </c>
      <c r="D601" s="17"/>
      <c r="E601" s="17"/>
      <c r="F601" s="17"/>
      <c r="G601" s="17"/>
      <c r="H601" s="17"/>
      <c r="I601" s="17"/>
      <c r="J601" s="17"/>
      <c r="K601" s="17"/>
      <c r="L601" s="15"/>
      <c r="M601" s="15"/>
      <c r="N601" s="15"/>
      <c r="O601" s="15"/>
      <c r="P601" s="15"/>
      <c r="Q601" s="15"/>
      <c r="R601" s="15"/>
      <c r="S601" s="15"/>
      <c r="T601" s="15"/>
      <c r="U601" s="15"/>
      <c r="V601" s="15"/>
      <c r="W601" s="15"/>
      <c r="X601" s="15"/>
      <c r="Y601" s="15"/>
      <c r="Z601" s="15"/>
    </row>
    <row r="602" spans="1:26" x14ac:dyDescent="0.3">
      <c r="A602" s="17"/>
      <c r="B602" s="17"/>
      <c r="C602" s="35" t="s">
        <v>1048</v>
      </c>
      <c r="D602" s="17"/>
      <c r="E602" s="17"/>
      <c r="F602" s="17"/>
      <c r="G602" s="17"/>
      <c r="H602" s="17"/>
      <c r="I602" s="17"/>
      <c r="J602" s="17"/>
      <c r="K602" s="17"/>
      <c r="L602" s="15"/>
      <c r="M602" s="15"/>
      <c r="N602" s="15"/>
      <c r="O602" s="15"/>
      <c r="P602" s="15"/>
      <c r="Q602" s="15"/>
      <c r="R602" s="15"/>
      <c r="S602" s="15"/>
      <c r="T602" s="15"/>
      <c r="U602" s="15"/>
      <c r="V602" s="15"/>
      <c r="W602" s="15"/>
      <c r="X602" s="15"/>
      <c r="Y602" s="15"/>
      <c r="Z602" s="15"/>
    </row>
    <row r="603" spans="1:26" x14ac:dyDescent="0.3">
      <c r="A603" s="17"/>
      <c r="B603" s="17"/>
      <c r="C603" s="27" t="s">
        <v>1049</v>
      </c>
      <c r="D603" s="17"/>
      <c r="E603" s="17"/>
      <c r="F603" s="17"/>
      <c r="G603" s="17"/>
      <c r="H603" s="17"/>
      <c r="I603" s="17"/>
      <c r="J603" s="17"/>
      <c r="K603" s="17"/>
      <c r="L603" s="15"/>
      <c r="M603" s="15"/>
      <c r="N603" s="15"/>
      <c r="O603" s="15"/>
      <c r="P603" s="15"/>
      <c r="Q603" s="15"/>
      <c r="R603" s="15"/>
      <c r="S603" s="15"/>
      <c r="T603" s="15"/>
      <c r="U603" s="15"/>
      <c r="V603" s="15"/>
      <c r="W603" s="15"/>
      <c r="X603" s="15"/>
      <c r="Y603" s="15"/>
      <c r="Z603" s="15"/>
    </row>
    <row r="604" spans="1:26" x14ac:dyDescent="0.3">
      <c r="A604" s="17"/>
      <c r="B604" s="17"/>
      <c r="C604" s="27" t="s">
        <v>1050</v>
      </c>
      <c r="D604" s="17"/>
      <c r="E604" s="17"/>
      <c r="F604" s="17"/>
      <c r="G604" s="17"/>
      <c r="H604" s="17"/>
      <c r="I604" s="17"/>
      <c r="J604" s="17"/>
      <c r="K604" s="17"/>
      <c r="L604" s="15"/>
      <c r="M604" s="15"/>
      <c r="N604" s="15"/>
      <c r="O604" s="15"/>
      <c r="P604" s="15"/>
      <c r="Q604" s="15"/>
      <c r="R604" s="15"/>
      <c r="S604" s="15"/>
      <c r="T604" s="15"/>
      <c r="U604" s="15"/>
      <c r="V604" s="15"/>
      <c r="W604" s="15"/>
      <c r="X604" s="15"/>
      <c r="Y604" s="15"/>
      <c r="Z604" s="15"/>
    </row>
    <row r="605" spans="1:26" x14ac:dyDescent="0.3">
      <c r="A605" s="17"/>
      <c r="B605" s="17"/>
      <c r="C605" s="27" t="s">
        <v>1051</v>
      </c>
      <c r="D605" s="17"/>
      <c r="E605" s="17"/>
      <c r="F605" s="17"/>
      <c r="G605" s="17"/>
      <c r="H605" s="17"/>
      <c r="I605" s="17"/>
      <c r="J605" s="17"/>
      <c r="K605" s="17"/>
      <c r="L605" s="15"/>
      <c r="M605" s="15"/>
      <c r="N605" s="15"/>
      <c r="O605" s="15"/>
      <c r="P605" s="15"/>
      <c r="Q605" s="15"/>
      <c r="R605" s="15"/>
      <c r="S605" s="15"/>
      <c r="T605" s="15"/>
      <c r="U605" s="15"/>
      <c r="V605" s="15"/>
      <c r="W605" s="15"/>
      <c r="X605" s="15"/>
      <c r="Y605" s="15"/>
      <c r="Z605" s="15"/>
    </row>
    <row r="606" spans="1:26" x14ac:dyDescent="0.3">
      <c r="A606" s="17"/>
      <c r="B606" s="17"/>
      <c r="C606" s="17"/>
      <c r="D606" s="17"/>
      <c r="E606" s="17"/>
      <c r="F606" s="17"/>
      <c r="G606" s="17"/>
      <c r="H606" s="17"/>
      <c r="I606" s="17"/>
      <c r="J606" s="17"/>
      <c r="K606" s="17"/>
      <c r="L606" s="15"/>
      <c r="M606" s="15"/>
      <c r="N606" s="15"/>
      <c r="O606" s="15"/>
      <c r="P606" s="15"/>
      <c r="Q606" s="15"/>
      <c r="R606" s="15"/>
      <c r="S606" s="15"/>
      <c r="T606" s="15"/>
      <c r="U606" s="15"/>
      <c r="V606" s="15"/>
      <c r="W606" s="15"/>
      <c r="X606" s="15"/>
      <c r="Y606" s="15"/>
      <c r="Z606" s="15"/>
    </row>
    <row r="607" spans="1:26" x14ac:dyDescent="0.3">
      <c r="A607" s="17"/>
      <c r="B607" s="17"/>
      <c r="C607" s="35" t="s">
        <v>1052</v>
      </c>
      <c r="D607" s="17"/>
      <c r="E607" s="17"/>
      <c r="F607" s="17"/>
      <c r="G607" s="17"/>
      <c r="H607" s="17"/>
      <c r="I607" s="17"/>
      <c r="J607" s="17"/>
      <c r="K607" s="17"/>
      <c r="L607" s="15"/>
      <c r="M607" s="15"/>
      <c r="N607" s="15"/>
      <c r="O607" s="15"/>
      <c r="P607" s="15"/>
      <c r="Q607" s="15"/>
      <c r="R607" s="15"/>
      <c r="S607" s="15"/>
      <c r="T607" s="15"/>
      <c r="U607" s="15"/>
      <c r="V607" s="15"/>
      <c r="W607" s="15"/>
      <c r="X607" s="15"/>
      <c r="Y607" s="15"/>
      <c r="Z607" s="15"/>
    </row>
    <row r="608" spans="1:26" x14ac:dyDescent="0.3">
      <c r="A608" s="17"/>
      <c r="B608" s="17"/>
      <c r="C608" s="35" t="s">
        <v>1053</v>
      </c>
      <c r="D608" s="17"/>
      <c r="E608" s="17"/>
      <c r="F608" s="17"/>
      <c r="G608" s="17"/>
      <c r="H608" s="17"/>
      <c r="I608" s="17"/>
      <c r="J608" s="17"/>
      <c r="K608" s="17"/>
      <c r="L608" s="15"/>
      <c r="M608" s="15"/>
      <c r="N608" s="15"/>
      <c r="O608" s="15"/>
      <c r="P608" s="15"/>
      <c r="Q608" s="15"/>
      <c r="R608" s="15"/>
      <c r="S608" s="15"/>
      <c r="T608" s="15"/>
      <c r="U608" s="15"/>
      <c r="V608" s="15"/>
      <c r="W608" s="15"/>
      <c r="X608" s="15"/>
      <c r="Y608" s="15"/>
      <c r="Z608" s="15"/>
    </row>
    <row r="609" spans="1:26" x14ac:dyDescent="0.3">
      <c r="A609" s="17"/>
      <c r="B609" s="17"/>
      <c r="C609" s="27" t="s">
        <v>1054</v>
      </c>
      <c r="D609" s="17"/>
      <c r="E609" s="17"/>
      <c r="F609" s="17"/>
      <c r="G609" s="17"/>
      <c r="H609" s="17"/>
      <c r="I609" s="17"/>
      <c r="J609" s="17"/>
      <c r="K609" s="17"/>
      <c r="L609" s="15"/>
      <c r="M609" s="15"/>
      <c r="N609" s="15"/>
      <c r="O609" s="15"/>
      <c r="P609" s="15"/>
      <c r="Q609" s="15"/>
      <c r="R609" s="15"/>
      <c r="S609" s="15"/>
      <c r="T609" s="15"/>
      <c r="U609" s="15"/>
      <c r="V609" s="15"/>
      <c r="W609" s="15"/>
      <c r="X609" s="15"/>
      <c r="Y609" s="15"/>
      <c r="Z609" s="15"/>
    </row>
    <row r="610" spans="1:26" x14ac:dyDescent="0.3">
      <c r="A610" s="17"/>
      <c r="B610" s="17"/>
      <c r="C610" s="17" t="s">
        <v>1055</v>
      </c>
      <c r="D610" s="17"/>
      <c r="E610" s="17"/>
      <c r="F610" s="17"/>
      <c r="G610" s="17"/>
      <c r="H610" s="17"/>
      <c r="I610" s="17"/>
      <c r="J610" s="17"/>
      <c r="K610" s="17"/>
      <c r="L610" s="15"/>
      <c r="M610" s="15"/>
      <c r="N610" s="15"/>
      <c r="O610" s="15"/>
      <c r="P610" s="15"/>
      <c r="Q610" s="15"/>
      <c r="R610" s="15"/>
      <c r="S610" s="15"/>
      <c r="T610" s="15"/>
      <c r="U610" s="15"/>
      <c r="V610" s="15"/>
      <c r="W610" s="15"/>
      <c r="X610" s="15"/>
      <c r="Y610" s="15"/>
      <c r="Z610" s="15"/>
    </row>
    <row r="611" spans="1:26" x14ac:dyDescent="0.3">
      <c r="A611" s="17"/>
      <c r="B611" s="17"/>
      <c r="C611" s="27" t="s">
        <v>1056</v>
      </c>
      <c r="D611" s="17"/>
      <c r="E611" s="17"/>
      <c r="F611" s="17"/>
      <c r="G611" s="17"/>
      <c r="H611" s="17"/>
      <c r="I611" s="17"/>
      <c r="J611" s="17"/>
      <c r="K611" s="17"/>
      <c r="L611" s="15"/>
      <c r="M611" s="15"/>
      <c r="N611" s="15"/>
      <c r="O611" s="15"/>
      <c r="P611" s="15"/>
      <c r="Q611" s="15"/>
      <c r="R611" s="15"/>
      <c r="S611" s="15"/>
      <c r="T611" s="15"/>
      <c r="U611" s="15"/>
      <c r="V611" s="15"/>
      <c r="W611" s="15"/>
      <c r="X611" s="15"/>
      <c r="Y611" s="15"/>
      <c r="Z611" s="15"/>
    </row>
    <row r="612" spans="1:26" x14ac:dyDescent="0.3">
      <c r="A612" s="17"/>
      <c r="B612" s="17"/>
      <c r="C612" s="35" t="s">
        <v>1057</v>
      </c>
      <c r="D612" s="17"/>
      <c r="E612" s="17"/>
      <c r="F612" s="17"/>
      <c r="G612" s="17"/>
      <c r="H612" s="17"/>
      <c r="I612" s="17"/>
      <c r="J612" s="17"/>
      <c r="K612" s="17"/>
      <c r="L612" s="15"/>
      <c r="M612" s="15"/>
      <c r="N612" s="15"/>
      <c r="O612" s="15"/>
      <c r="P612" s="15"/>
      <c r="Q612" s="15"/>
      <c r="R612" s="15"/>
      <c r="S612" s="15"/>
      <c r="T612" s="15"/>
      <c r="U612" s="15"/>
      <c r="V612" s="15"/>
      <c r="W612" s="15"/>
      <c r="X612" s="15"/>
      <c r="Y612" s="15"/>
      <c r="Z612" s="15"/>
    </row>
    <row r="613" spans="1:26" x14ac:dyDescent="0.3">
      <c r="A613" s="17"/>
      <c r="B613" s="17"/>
      <c r="C613" s="27" t="s">
        <v>1058</v>
      </c>
      <c r="D613" s="17"/>
      <c r="E613" s="17"/>
      <c r="F613" s="17"/>
      <c r="G613" s="17"/>
      <c r="H613" s="17"/>
      <c r="I613" s="17"/>
      <c r="J613" s="17"/>
      <c r="K613" s="17"/>
      <c r="L613" s="15"/>
      <c r="M613" s="15"/>
      <c r="N613" s="15"/>
      <c r="O613" s="15"/>
      <c r="P613" s="15"/>
      <c r="Q613" s="15"/>
      <c r="R613" s="15"/>
      <c r="S613" s="15"/>
      <c r="T613" s="15"/>
      <c r="U613" s="15"/>
      <c r="V613" s="15"/>
      <c r="W613" s="15"/>
      <c r="X613" s="15"/>
      <c r="Y613" s="15"/>
      <c r="Z613" s="15"/>
    </row>
    <row r="614" spans="1:26" x14ac:dyDescent="0.3">
      <c r="A614" s="17"/>
      <c r="B614" s="17"/>
      <c r="C614" s="27" t="s">
        <v>1059</v>
      </c>
      <c r="D614" s="17"/>
      <c r="E614" s="17"/>
      <c r="F614" s="17"/>
      <c r="G614" s="17"/>
      <c r="H614" s="17"/>
      <c r="I614" s="17"/>
      <c r="J614" s="17"/>
      <c r="K614" s="17"/>
      <c r="L614" s="15"/>
      <c r="M614" s="15"/>
      <c r="N614" s="15"/>
      <c r="O614" s="15"/>
      <c r="P614" s="15"/>
      <c r="Q614" s="15"/>
      <c r="R614" s="15"/>
      <c r="S614" s="15"/>
      <c r="T614" s="15"/>
      <c r="U614" s="15"/>
      <c r="V614" s="15"/>
      <c r="W614" s="15"/>
      <c r="X614" s="15"/>
      <c r="Y614" s="15"/>
      <c r="Z614" s="15"/>
    </row>
    <row r="615" spans="1:26" x14ac:dyDescent="0.3">
      <c r="A615" s="17"/>
      <c r="B615" s="17"/>
      <c r="C615" s="35" t="s">
        <v>1060</v>
      </c>
      <c r="D615" s="17"/>
      <c r="E615" s="17"/>
      <c r="F615" s="17"/>
      <c r="G615" s="17"/>
      <c r="H615" s="17"/>
      <c r="I615" s="17"/>
      <c r="J615" s="17"/>
      <c r="K615" s="17"/>
      <c r="L615" s="15"/>
      <c r="M615" s="15"/>
      <c r="N615" s="15"/>
      <c r="O615" s="15"/>
      <c r="P615" s="15"/>
      <c r="Q615" s="15"/>
      <c r="R615" s="15"/>
      <c r="S615" s="15"/>
      <c r="T615" s="15"/>
      <c r="U615" s="15"/>
      <c r="V615" s="15"/>
      <c r="W615" s="15"/>
      <c r="X615" s="15"/>
      <c r="Y615" s="15"/>
      <c r="Z615" s="15"/>
    </row>
    <row r="616" spans="1:26" x14ac:dyDescent="0.3">
      <c r="A616" s="17"/>
      <c r="B616" s="17"/>
      <c r="C616" s="27" t="s">
        <v>1061</v>
      </c>
      <c r="D616" s="17"/>
      <c r="E616" s="17"/>
      <c r="F616" s="17"/>
      <c r="G616" s="17"/>
      <c r="H616" s="17"/>
      <c r="I616" s="17"/>
      <c r="J616" s="17"/>
      <c r="K616" s="17"/>
      <c r="L616" s="15"/>
      <c r="M616" s="15"/>
      <c r="N616" s="15"/>
      <c r="O616" s="15"/>
      <c r="P616" s="15"/>
      <c r="Q616" s="15"/>
      <c r="R616" s="15"/>
      <c r="S616" s="15"/>
      <c r="T616" s="15"/>
      <c r="U616" s="15"/>
      <c r="V616" s="15"/>
      <c r="W616" s="15"/>
      <c r="X616" s="15"/>
      <c r="Y616" s="15"/>
      <c r="Z616" s="15"/>
    </row>
    <row r="617" spans="1:26" x14ac:dyDescent="0.3">
      <c r="A617" s="17"/>
      <c r="B617" s="17"/>
      <c r="C617" s="27" t="s">
        <v>1062</v>
      </c>
      <c r="D617" s="17"/>
      <c r="E617" s="17"/>
      <c r="F617" s="17"/>
      <c r="G617" s="17"/>
      <c r="H617" s="17"/>
      <c r="I617" s="17"/>
      <c r="J617" s="17"/>
      <c r="K617" s="17"/>
      <c r="L617" s="15"/>
      <c r="M617" s="15"/>
      <c r="N617" s="15"/>
      <c r="O617" s="15"/>
      <c r="P617" s="15"/>
      <c r="Q617" s="15"/>
      <c r="R617" s="15"/>
      <c r="S617" s="15"/>
      <c r="T617" s="15"/>
      <c r="U617" s="15"/>
      <c r="V617" s="15"/>
      <c r="W617" s="15"/>
      <c r="X617" s="15"/>
      <c r="Y617" s="15"/>
      <c r="Z617" s="15"/>
    </row>
    <row r="618" spans="1:26" x14ac:dyDescent="0.3">
      <c r="A618" s="17"/>
      <c r="B618" s="17"/>
      <c r="C618" s="17"/>
      <c r="D618" s="17"/>
      <c r="E618" s="17"/>
      <c r="F618" s="17"/>
      <c r="G618" s="17"/>
      <c r="H618" s="17"/>
      <c r="I618" s="17"/>
      <c r="J618" s="17"/>
      <c r="K618" s="17"/>
      <c r="L618" s="15"/>
      <c r="M618" s="15"/>
      <c r="N618" s="15"/>
      <c r="O618" s="15"/>
      <c r="P618" s="15"/>
      <c r="Q618" s="15"/>
      <c r="R618" s="15"/>
      <c r="S618" s="15"/>
      <c r="T618" s="15"/>
      <c r="U618" s="15"/>
      <c r="V618" s="15"/>
      <c r="W618" s="15"/>
      <c r="X618" s="15"/>
      <c r="Y618" s="15"/>
      <c r="Z618" s="15"/>
    </row>
    <row r="619" spans="1:26" x14ac:dyDescent="0.3">
      <c r="A619" s="17"/>
      <c r="B619" s="17"/>
      <c r="C619" s="35" t="s">
        <v>1063</v>
      </c>
      <c r="D619" s="17"/>
      <c r="E619" s="17"/>
      <c r="F619" s="17"/>
      <c r="G619" s="17"/>
      <c r="H619" s="17"/>
      <c r="I619" s="17"/>
      <c r="J619" s="17"/>
      <c r="K619" s="17"/>
      <c r="L619" s="15"/>
      <c r="M619" s="15"/>
      <c r="N619" s="15"/>
      <c r="O619" s="15"/>
      <c r="P619" s="15"/>
      <c r="Q619" s="15"/>
      <c r="R619" s="15"/>
      <c r="S619" s="15"/>
      <c r="T619" s="15"/>
      <c r="U619" s="15"/>
      <c r="V619" s="15"/>
      <c r="W619" s="15"/>
      <c r="X619" s="15"/>
      <c r="Y619" s="15"/>
      <c r="Z619" s="15"/>
    </row>
    <row r="620" spans="1:26" x14ac:dyDescent="0.3">
      <c r="A620" s="17"/>
      <c r="B620" s="17"/>
      <c r="C620" s="35" t="s">
        <v>1064</v>
      </c>
      <c r="D620" s="17"/>
      <c r="E620" s="17"/>
      <c r="F620" s="17"/>
      <c r="G620" s="17"/>
      <c r="H620" s="17"/>
      <c r="I620" s="17"/>
      <c r="J620" s="17"/>
      <c r="K620" s="17"/>
      <c r="L620" s="15"/>
      <c r="M620" s="15"/>
      <c r="N620" s="15"/>
      <c r="O620" s="15"/>
      <c r="P620" s="15"/>
      <c r="Q620" s="15"/>
      <c r="R620" s="15"/>
      <c r="S620" s="15"/>
      <c r="T620" s="15"/>
      <c r="U620" s="15"/>
      <c r="V620" s="15"/>
      <c r="W620" s="15"/>
      <c r="X620" s="15"/>
      <c r="Y620" s="15"/>
      <c r="Z620" s="15"/>
    </row>
    <row r="621" spans="1:26" x14ac:dyDescent="0.3">
      <c r="A621" s="17"/>
      <c r="B621" s="17"/>
      <c r="C621" s="27" t="s">
        <v>1065</v>
      </c>
      <c r="D621" s="17"/>
      <c r="E621" s="17"/>
      <c r="F621" s="17"/>
      <c r="G621" s="17"/>
      <c r="H621" s="17"/>
      <c r="I621" s="17"/>
      <c r="J621" s="17"/>
      <c r="K621" s="17"/>
      <c r="L621" s="15"/>
      <c r="M621" s="15"/>
      <c r="N621" s="15"/>
      <c r="O621" s="15"/>
      <c r="P621" s="15"/>
      <c r="Q621" s="15"/>
      <c r="R621" s="15"/>
      <c r="S621" s="15"/>
      <c r="T621" s="15"/>
      <c r="U621" s="15"/>
      <c r="V621" s="15"/>
      <c r="W621" s="15"/>
      <c r="X621" s="15"/>
      <c r="Y621" s="15"/>
      <c r="Z621" s="15"/>
    </row>
    <row r="622" spans="1:26" x14ac:dyDescent="0.3">
      <c r="A622" s="17"/>
      <c r="B622" s="17"/>
      <c r="C622" s="17" t="s">
        <v>1066</v>
      </c>
      <c r="D622" s="17"/>
      <c r="E622" s="17"/>
      <c r="F622" s="17"/>
      <c r="G622" s="17"/>
      <c r="H622" s="17"/>
      <c r="I622" s="17"/>
      <c r="J622" s="17"/>
      <c r="K622" s="17"/>
      <c r="L622" s="15"/>
      <c r="M622" s="15"/>
      <c r="N622" s="15"/>
      <c r="O622" s="15"/>
      <c r="P622" s="15"/>
      <c r="Q622" s="15"/>
      <c r="R622" s="15"/>
      <c r="S622" s="15"/>
      <c r="T622" s="15"/>
      <c r="U622" s="15"/>
      <c r="V622" s="15"/>
      <c r="W622" s="15"/>
      <c r="X622" s="15"/>
      <c r="Y622" s="15"/>
      <c r="Z622" s="15"/>
    </row>
    <row r="623" spans="1:26" x14ac:dyDescent="0.3">
      <c r="A623" s="17"/>
      <c r="B623" s="17"/>
      <c r="C623" s="27" t="s">
        <v>1067</v>
      </c>
      <c r="D623" s="17"/>
      <c r="E623" s="17"/>
      <c r="F623" s="17"/>
      <c r="G623" s="17"/>
      <c r="H623" s="17"/>
      <c r="I623" s="17"/>
      <c r="J623" s="17"/>
      <c r="K623" s="17"/>
      <c r="L623" s="15"/>
      <c r="M623" s="15"/>
      <c r="N623" s="15"/>
      <c r="O623" s="15"/>
      <c r="P623" s="15"/>
      <c r="Q623" s="15"/>
      <c r="R623" s="15"/>
      <c r="S623" s="15"/>
      <c r="T623" s="15"/>
      <c r="U623" s="15"/>
      <c r="V623" s="15"/>
      <c r="W623" s="15"/>
      <c r="X623" s="15"/>
      <c r="Y623" s="15"/>
      <c r="Z623" s="15"/>
    </row>
    <row r="624" spans="1:26" x14ac:dyDescent="0.3">
      <c r="A624" s="17"/>
      <c r="B624" s="17"/>
      <c r="C624" s="35" t="s">
        <v>1068</v>
      </c>
      <c r="D624" s="17"/>
      <c r="E624" s="17"/>
      <c r="F624" s="17"/>
      <c r="G624" s="17"/>
      <c r="H624" s="17"/>
      <c r="I624" s="17"/>
      <c r="J624" s="17"/>
      <c r="K624" s="17"/>
      <c r="L624" s="15"/>
      <c r="M624" s="15"/>
      <c r="N624" s="15"/>
      <c r="O624" s="15"/>
      <c r="P624" s="15"/>
      <c r="Q624" s="15"/>
      <c r="R624" s="15"/>
      <c r="S624" s="15"/>
      <c r="T624" s="15"/>
      <c r="U624" s="15"/>
      <c r="V624" s="15"/>
      <c r="W624" s="15"/>
      <c r="X624" s="15"/>
      <c r="Y624" s="15"/>
      <c r="Z624" s="15"/>
    </row>
    <row r="625" spans="1:26" x14ac:dyDescent="0.3">
      <c r="A625" s="17"/>
      <c r="B625" s="17"/>
      <c r="C625" s="27" t="s">
        <v>1069</v>
      </c>
      <c r="D625" s="17"/>
      <c r="E625" s="17"/>
      <c r="F625" s="17"/>
      <c r="G625" s="17"/>
      <c r="H625" s="17"/>
      <c r="I625" s="17"/>
      <c r="J625" s="17"/>
      <c r="K625" s="17"/>
      <c r="L625" s="15"/>
      <c r="M625" s="15"/>
      <c r="N625" s="15"/>
      <c r="O625" s="15"/>
      <c r="P625" s="15"/>
      <c r="Q625" s="15"/>
      <c r="R625" s="15"/>
      <c r="S625" s="15"/>
      <c r="T625" s="15"/>
      <c r="U625" s="15"/>
      <c r="V625" s="15"/>
      <c r="W625" s="15"/>
      <c r="X625" s="15"/>
      <c r="Y625" s="15"/>
      <c r="Z625" s="15"/>
    </row>
    <row r="626" spans="1:26" x14ac:dyDescent="0.3">
      <c r="A626" s="17"/>
      <c r="B626" s="17"/>
      <c r="C626" s="27" t="s">
        <v>1070</v>
      </c>
      <c r="D626" s="17"/>
      <c r="E626" s="17"/>
      <c r="F626" s="17"/>
      <c r="G626" s="17"/>
      <c r="H626" s="17"/>
      <c r="I626" s="17"/>
      <c r="J626" s="17"/>
      <c r="K626" s="17"/>
      <c r="L626" s="15"/>
      <c r="M626" s="15"/>
      <c r="N626" s="15"/>
      <c r="O626" s="15"/>
      <c r="P626" s="15"/>
      <c r="Q626" s="15"/>
      <c r="R626" s="15"/>
      <c r="S626" s="15"/>
      <c r="T626" s="15"/>
      <c r="U626" s="15"/>
      <c r="V626" s="15"/>
      <c r="W626" s="15"/>
      <c r="X626" s="15"/>
      <c r="Y626" s="15"/>
      <c r="Z626" s="15"/>
    </row>
    <row r="627" spans="1:26" x14ac:dyDescent="0.3">
      <c r="A627" s="17"/>
      <c r="B627" s="17"/>
      <c r="C627" s="35" t="s">
        <v>1071</v>
      </c>
      <c r="D627" s="17"/>
      <c r="E627" s="17"/>
      <c r="F627" s="17"/>
      <c r="G627" s="17"/>
      <c r="H627" s="17"/>
      <c r="I627" s="17"/>
      <c r="J627" s="17"/>
      <c r="K627" s="17"/>
      <c r="L627" s="15"/>
      <c r="M627" s="15"/>
      <c r="N627" s="15"/>
      <c r="O627" s="15"/>
      <c r="P627" s="15"/>
      <c r="Q627" s="15"/>
      <c r="R627" s="15"/>
      <c r="S627" s="15"/>
      <c r="T627" s="15"/>
      <c r="U627" s="15"/>
      <c r="V627" s="15"/>
      <c r="W627" s="15"/>
      <c r="X627" s="15"/>
      <c r="Y627" s="15"/>
      <c r="Z627" s="15"/>
    </row>
    <row r="628" spans="1:26" x14ac:dyDescent="0.3">
      <c r="A628" s="17"/>
      <c r="B628" s="17"/>
      <c r="C628" s="27" t="s">
        <v>1072</v>
      </c>
      <c r="D628" s="17"/>
      <c r="E628" s="17"/>
      <c r="F628" s="17"/>
      <c r="G628" s="17"/>
      <c r="H628" s="17"/>
      <c r="I628" s="17"/>
      <c r="J628" s="17"/>
      <c r="K628" s="17"/>
      <c r="L628" s="15"/>
      <c r="M628" s="15"/>
      <c r="N628" s="15"/>
      <c r="O628" s="15"/>
      <c r="P628" s="15"/>
      <c r="Q628" s="15"/>
      <c r="R628" s="15"/>
      <c r="S628" s="15"/>
      <c r="T628" s="15"/>
      <c r="U628" s="15"/>
      <c r="V628" s="15"/>
      <c r="W628" s="15"/>
      <c r="X628" s="15"/>
      <c r="Y628" s="15"/>
      <c r="Z628" s="15"/>
    </row>
    <row r="629" spans="1:26" x14ac:dyDescent="0.3">
      <c r="A629" s="17"/>
      <c r="B629" s="17"/>
      <c r="C629" s="27" t="s">
        <v>1073</v>
      </c>
      <c r="D629" s="17"/>
      <c r="E629" s="17"/>
      <c r="F629" s="17"/>
      <c r="G629" s="17"/>
      <c r="H629" s="17"/>
      <c r="I629" s="17"/>
      <c r="J629" s="17"/>
      <c r="K629" s="17"/>
      <c r="L629" s="15"/>
      <c r="M629" s="15"/>
      <c r="N629" s="15"/>
      <c r="O629" s="15"/>
      <c r="P629" s="15"/>
      <c r="Q629" s="15"/>
      <c r="R629" s="15"/>
      <c r="S629" s="15"/>
      <c r="T629" s="15"/>
      <c r="U629" s="15"/>
      <c r="V629" s="15"/>
      <c r="W629" s="15"/>
      <c r="X629" s="15"/>
      <c r="Y629" s="15"/>
      <c r="Z629" s="15"/>
    </row>
    <row r="630" spans="1:26" x14ac:dyDescent="0.3">
      <c r="A630" s="17"/>
      <c r="B630" s="17"/>
      <c r="C630" s="35" t="s">
        <v>1074</v>
      </c>
      <c r="D630" s="17"/>
      <c r="E630" s="17"/>
      <c r="F630" s="17"/>
      <c r="G630" s="17"/>
      <c r="H630" s="17"/>
      <c r="I630" s="17"/>
      <c r="J630" s="17"/>
      <c r="K630" s="17"/>
      <c r="L630" s="15"/>
      <c r="M630" s="15"/>
      <c r="N630" s="15"/>
      <c r="O630" s="15"/>
      <c r="P630" s="15"/>
      <c r="Q630" s="15"/>
      <c r="R630" s="15"/>
      <c r="S630" s="15"/>
      <c r="T630" s="15"/>
      <c r="U630" s="15"/>
      <c r="V630" s="15"/>
      <c r="W630" s="15"/>
      <c r="X630" s="15"/>
      <c r="Y630" s="15"/>
      <c r="Z630" s="15"/>
    </row>
    <row r="631" spans="1:26" x14ac:dyDescent="0.3">
      <c r="A631" s="17"/>
      <c r="B631" s="17"/>
      <c r="C631" s="17"/>
      <c r="D631" s="17"/>
      <c r="E631" s="17"/>
      <c r="F631" s="17"/>
      <c r="G631" s="17"/>
      <c r="H631" s="17"/>
      <c r="I631" s="17"/>
      <c r="J631" s="17"/>
      <c r="K631" s="17"/>
      <c r="L631" s="15"/>
      <c r="M631" s="15"/>
      <c r="N631" s="15"/>
      <c r="O631" s="15"/>
      <c r="P631" s="15"/>
      <c r="Q631" s="15"/>
      <c r="R631" s="15"/>
      <c r="S631" s="15"/>
      <c r="T631" s="15"/>
      <c r="U631" s="15"/>
      <c r="V631" s="15"/>
      <c r="W631" s="15"/>
      <c r="X631" s="15"/>
      <c r="Y631" s="15"/>
      <c r="Z631" s="15"/>
    </row>
    <row r="632" spans="1:26" x14ac:dyDescent="0.3">
      <c r="A632" s="17"/>
      <c r="B632" s="17"/>
      <c r="C632" s="35" t="s">
        <v>1075</v>
      </c>
      <c r="D632" s="17"/>
      <c r="E632" s="17"/>
      <c r="F632" s="17"/>
      <c r="G632" s="17"/>
      <c r="H632" s="17"/>
      <c r="I632" s="17"/>
      <c r="J632" s="17"/>
      <c r="K632" s="17"/>
      <c r="L632" s="15"/>
      <c r="M632" s="15"/>
      <c r="N632" s="15"/>
      <c r="O632" s="15"/>
      <c r="P632" s="15"/>
      <c r="Q632" s="15"/>
      <c r="R632" s="15"/>
      <c r="S632" s="15"/>
      <c r="T632" s="15"/>
      <c r="U632" s="15"/>
      <c r="V632" s="15"/>
      <c r="W632" s="15"/>
      <c r="X632" s="15"/>
      <c r="Y632" s="15"/>
      <c r="Z632" s="15"/>
    </row>
    <row r="633" spans="1:26" x14ac:dyDescent="0.3">
      <c r="A633" s="17"/>
      <c r="B633" s="17"/>
      <c r="C633" s="27" t="s">
        <v>1076</v>
      </c>
      <c r="D633" s="17"/>
      <c r="E633" s="17"/>
      <c r="F633" s="17"/>
      <c r="G633" s="17"/>
      <c r="H633" s="17"/>
      <c r="I633" s="17"/>
      <c r="J633" s="17"/>
      <c r="K633" s="17"/>
      <c r="L633" s="15"/>
      <c r="M633" s="15"/>
      <c r="N633" s="15"/>
      <c r="O633" s="15"/>
      <c r="P633" s="15"/>
      <c r="Q633" s="15"/>
      <c r="R633" s="15"/>
      <c r="S633" s="15"/>
      <c r="T633" s="15"/>
      <c r="U633" s="15"/>
      <c r="V633" s="15"/>
      <c r="W633" s="15"/>
      <c r="X633" s="15"/>
      <c r="Y633" s="15"/>
      <c r="Z633" s="15"/>
    </row>
    <row r="634" spans="1:26" x14ac:dyDescent="0.3">
      <c r="A634" s="17"/>
      <c r="B634" s="17"/>
      <c r="C634" s="27" t="s">
        <v>1077</v>
      </c>
      <c r="D634" s="17"/>
      <c r="E634" s="17"/>
      <c r="F634" s="17"/>
      <c r="G634" s="17"/>
      <c r="H634" s="17"/>
      <c r="I634" s="17"/>
      <c r="J634" s="17"/>
      <c r="K634" s="17"/>
      <c r="L634" s="15"/>
      <c r="M634" s="15"/>
      <c r="N634" s="15"/>
      <c r="O634" s="15"/>
      <c r="P634" s="15"/>
      <c r="Q634" s="15"/>
      <c r="R634" s="15"/>
      <c r="S634" s="15"/>
      <c r="T634" s="15"/>
      <c r="U634" s="15"/>
      <c r="V634" s="15"/>
      <c r="W634" s="15"/>
      <c r="X634" s="15"/>
      <c r="Y634" s="15"/>
      <c r="Z634" s="15"/>
    </row>
    <row r="635" spans="1:26" x14ac:dyDescent="0.3">
      <c r="A635" s="17"/>
      <c r="B635" s="17"/>
      <c r="C635" s="27" t="s">
        <v>1078</v>
      </c>
      <c r="D635" s="17"/>
      <c r="E635" s="17"/>
      <c r="F635" s="17"/>
      <c r="G635" s="17"/>
      <c r="H635" s="17"/>
      <c r="I635" s="17"/>
      <c r="J635" s="17"/>
      <c r="K635" s="17"/>
      <c r="L635" s="15"/>
      <c r="M635" s="15"/>
      <c r="N635" s="15"/>
      <c r="O635" s="15"/>
      <c r="P635" s="15"/>
      <c r="Q635" s="15"/>
      <c r="R635" s="15"/>
      <c r="S635" s="15"/>
      <c r="T635" s="15"/>
      <c r="U635" s="15"/>
      <c r="V635" s="15"/>
      <c r="W635" s="15"/>
      <c r="X635" s="15"/>
      <c r="Y635" s="15"/>
      <c r="Z635" s="15"/>
    </row>
    <row r="636" spans="1:26" x14ac:dyDescent="0.3">
      <c r="A636" s="17"/>
      <c r="B636" s="17"/>
      <c r="C636" s="27" t="s">
        <v>1079</v>
      </c>
      <c r="D636" s="17"/>
      <c r="E636" s="17"/>
      <c r="F636" s="17"/>
      <c r="G636" s="17"/>
      <c r="H636" s="17"/>
      <c r="I636" s="17"/>
      <c r="J636" s="17"/>
      <c r="K636" s="17"/>
      <c r="L636" s="15"/>
      <c r="M636" s="15"/>
      <c r="N636" s="15"/>
      <c r="O636" s="15"/>
      <c r="P636" s="15"/>
      <c r="Q636" s="15"/>
      <c r="R636" s="15"/>
      <c r="S636" s="15"/>
      <c r="T636" s="15"/>
      <c r="U636" s="15"/>
      <c r="V636" s="15"/>
      <c r="W636" s="15"/>
      <c r="X636" s="15"/>
      <c r="Y636" s="15"/>
      <c r="Z636" s="15"/>
    </row>
    <row r="637" spans="1:26" x14ac:dyDescent="0.3">
      <c r="A637" s="17"/>
      <c r="B637" s="17"/>
      <c r="C637" s="17"/>
      <c r="D637" s="17"/>
      <c r="E637" s="17"/>
      <c r="F637" s="17"/>
      <c r="G637" s="17"/>
      <c r="H637" s="17"/>
      <c r="I637" s="17"/>
      <c r="J637" s="17"/>
      <c r="K637" s="17"/>
      <c r="L637" s="15"/>
      <c r="M637" s="15"/>
      <c r="N637" s="15"/>
      <c r="O637" s="15"/>
      <c r="P637" s="15"/>
      <c r="Q637" s="15"/>
      <c r="R637" s="15"/>
      <c r="S637" s="15"/>
      <c r="T637" s="15"/>
      <c r="U637" s="15"/>
      <c r="V637" s="15"/>
      <c r="W637" s="15"/>
      <c r="X637" s="15"/>
      <c r="Y637" s="15"/>
      <c r="Z637" s="15"/>
    </row>
    <row r="638" spans="1:26" x14ac:dyDescent="0.3">
      <c r="A638" s="17"/>
      <c r="B638" s="17"/>
      <c r="C638" s="35" t="s">
        <v>1080</v>
      </c>
      <c r="D638" s="17"/>
      <c r="E638" s="17"/>
      <c r="F638" s="17"/>
      <c r="G638" s="17"/>
      <c r="H638" s="17"/>
      <c r="I638" s="17"/>
      <c r="J638" s="17"/>
      <c r="K638" s="17"/>
      <c r="L638" s="15"/>
      <c r="M638" s="15"/>
      <c r="N638" s="15"/>
      <c r="O638" s="15"/>
      <c r="P638" s="15"/>
      <c r="Q638" s="15"/>
      <c r="R638" s="15"/>
      <c r="S638" s="15"/>
      <c r="T638" s="15"/>
      <c r="U638" s="15"/>
      <c r="V638" s="15"/>
      <c r="W638" s="15"/>
      <c r="X638" s="15"/>
      <c r="Y638" s="15"/>
      <c r="Z638" s="15"/>
    </row>
    <row r="639" spans="1:26" x14ac:dyDescent="0.3">
      <c r="A639" s="24">
        <v>1</v>
      </c>
      <c r="B639" s="26" t="s">
        <v>1081</v>
      </c>
      <c r="C639" s="27" t="s">
        <v>1082</v>
      </c>
      <c r="D639" s="26" t="s">
        <v>1083</v>
      </c>
      <c r="E639" s="26"/>
      <c r="F639" s="24">
        <v>1</v>
      </c>
      <c r="G639" s="24"/>
      <c r="H639" s="24"/>
      <c r="I639" s="24"/>
      <c r="J639" s="24"/>
      <c r="K639" s="24"/>
      <c r="L639" s="15"/>
      <c r="M639" s="15"/>
      <c r="N639" s="15"/>
      <c r="O639" s="15"/>
      <c r="P639" s="15"/>
      <c r="Q639" s="15"/>
      <c r="R639" s="15"/>
      <c r="S639" s="15"/>
      <c r="T639" s="15"/>
      <c r="U639" s="15"/>
      <c r="V639" s="15"/>
      <c r="W639" s="15"/>
      <c r="X639" s="15"/>
      <c r="Y639" s="15"/>
      <c r="Z639" s="15"/>
    </row>
    <row r="640" spans="1:26" x14ac:dyDescent="0.3">
      <c r="A640" s="24">
        <v>2</v>
      </c>
      <c r="B640" s="26" t="s">
        <v>1084</v>
      </c>
      <c r="C640" s="27" t="s">
        <v>1085</v>
      </c>
      <c r="D640" s="26" t="s">
        <v>1086</v>
      </c>
      <c r="E640" s="26"/>
      <c r="F640" s="24">
        <v>1</v>
      </c>
      <c r="G640" s="24"/>
      <c r="H640" s="24"/>
      <c r="I640" s="24"/>
      <c r="J640" s="24"/>
      <c r="K640" s="24"/>
      <c r="L640" s="15"/>
      <c r="M640" s="15"/>
      <c r="N640" s="15"/>
      <c r="O640" s="15"/>
      <c r="P640" s="15"/>
      <c r="Q640" s="15"/>
      <c r="R640" s="15"/>
      <c r="S640" s="15"/>
      <c r="T640" s="15"/>
      <c r="U640" s="15"/>
      <c r="V640" s="15"/>
      <c r="W640" s="15"/>
      <c r="X640" s="15"/>
      <c r="Y640" s="15"/>
      <c r="Z640" s="15"/>
    </row>
    <row r="641" spans="1:26" x14ac:dyDescent="0.3">
      <c r="A641" s="24">
        <v>3</v>
      </c>
      <c r="B641" s="26" t="s">
        <v>1087</v>
      </c>
      <c r="C641" s="27" t="s">
        <v>1088</v>
      </c>
      <c r="D641" s="26" t="s">
        <v>1089</v>
      </c>
      <c r="E641" s="26"/>
      <c r="F641" s="24">
        <v>1</v>
      </c>
      <c r="G641" s="24"/>
      <c r="H641" s="24"/>
      <c r="I641" s="24"/>
      <c r="J641" s="24"/>
      <c r="K641" s="24"/>
      <c r="L641" s="15"/>
      <c r="M641" s="15"/>
      <c r="N641" s="15"/>
      <c r="O641" s="15"/>
      <c r="P641" s="15"/>
      <c r="Q641" s="15"/>
      <c r="R641" s="15"/>
      <c r="S641" s="15"/>
      <c r="T641" s="15"/>
      <c r="U641" s="15"/>
      <c r="V641" s="15"/>
      <c r="W641" s="15"/>
      <c r="X641" s="15"/>
      <c r="Y641" s="15"/>
      <c r="Z641" s="15"/>
    </row>
    <row r="642" spans="1:26" x14ac:dyDescent="0.3">
      <c r="A642" s="24">
        <v>4</v>
      </c>
      <c r="B642" s="26" t="s">
        <v>1090</v>
      </c>
      <c r="C642" s="27" t="s">
        <v>1091</v>
      </c>
      <c r="D642" s="26" t="s">
        <v>1092</v>
      </c>
      <c r="E642" s="26"/>
      <c r="F642" s="24">
        <v>1</v>
      </c>
      <c r="G642" s="24"/>
      <c r="H642" s="24"/>
      <c r="I642" s="24"/>
      <c r="J642" s="24"/>
      <c r="K642" s="24"/>
      <c r="L642" s="15"/>
      <c r="M642" s="15"/>
      <c r="N642" s="15"/>
      <c r="O642" s="15"/>
      <c r="P642" s="15"/>
      <c r="Q642" s="15"/>
      <c r="R642" s="15"/>
      <c r="S642" s="15"/>
      <c r="T642" s="15"/>
      <c r="U642" s="15"/>
      <c r="V642" s="15"/>
      <c r="W642" s="15"/>
      <c r="X642" s="15"/>
      <c r="Y642" s="15"/>
      <c r="Z642" s="15"/>
    </row>
    <row r="643" spans="1:26" x14ac:dyDescent="0.3">
      <c r="A643" s="24">
        <v>5</v>
      </c>
      <c r="B643" s="26" t="s">
        <v>1093</v>
      </c>
      <c r="C643" s="27" t="s">
        <v>1094</v>
      </c>
      <c r="D643" s="26" t="s">
        <v>1095</v>
      </c>
      <c r="E643" s="26"/>
      <c r="F643" s="24">
        <v>1</v>
      </c>
      <c r="G643" s="24"/>
      <c r="H643" s="24"/>
      <c r="I643" s="24"/>
      <c r="J643" s="24"/>
      <c r="K643" s="24"/>
      <c r="L643" s="15"/>
      <c r="M643" s="15"/>
      <c r="N643" s="15"/>
      <c r="O643" s="15"/>
      <c r="P643" s="15"/>
      <c r="Q643" s="15"/>
      <c r="R643" s="15"/>
      <c r="S643" s="15"/>
      <c r="T643" s="15"/>
      <c r="U643" s="15"/>
      <c r="V643" s="15"/>
      <c r="W643" s="15"/>
      <c r="X643" s="15"/>
      <c r="Y643" s="15"/>
      <c r="Z643" s="15"/>
    </row>
    <row r="644" spans="1:26" x14ac:dyDescent="0.3">
      <c r="A644" s="24">
        <v>6</v>
      </c>
      <c r="B644" s="26" t="s">
        <v>1096</v>
      </c>
      <c r="C644" s="27" t="s">
        <v>1097</v>
      </c>
      <c r="D644" s="26" t="s">
        <v>1098</v>
      </c>
      <c r="E644" s="26"/>
      <c r="F644" s="24">
        <v>10</v>
      </c>
      <c r="G644" s="24"/>
      <c r="H644" s="24"/>
      <c r="I644" s="24"/>
      <c r="J644" s="24"/>
      <c r="K644" s="24"/>
      <c r="L644" s="15"/>
      <c r="M644" s="15"/>
      <c r="N644" s="15"/>
      <c r="O644" s="15"/>
      <c r="P644" s="15"/>
      <c r="Q644" s="15"/>
      <c r="R644" s="15"/>
      <c r="S644" s="15"/>
      <c r="T644" s="15"/>
      <c r="U644" s="15"/>
      <c r="V644" s="15"/>
      <c r="W644" s="15"/>
      <c r="X644" s="15"/>
      <c r="Y644" s="15"/>
      <c r="Z644" s="15"/>
    </row>
    <row r="645" spans="1:26" x14ac:dyDescent="0.3">
      <c r="A645" s="24">
        <v>7</v>
      </c>
      <c r="B645" s="26" t="s">
        <v>1099</v>
      </c>
      <c r="C645" s="27" t="s">
        <v>1100</v>
      </c>
      <c r="D645" s="26" t="s">
        <v>1101</v>
      </c>
      <c r="E645" s="26"/>
      <c r="F645" s="24">
        <v>1</v>
      </c>
      <c r="G645" s="24"/>
      <c r="H645" s="24"/>
      <c r="I645" s="24"/>
      <c r="J645" s="24"/>
      <c r="K645" s="24"/>
      <c r="L645" s="15"/>
      <c r="M645" s="15"/>
      <c r="N645" s="15"/>
      <c r="O645" s="15"/>
      <c r="P645" s="15"/>
      <c r="Q645" s="15"/>
      <c r="R645" s="15"/>
      <c r="S645" s="15"/>
      <c r="T645" s="15"/>
      <c r="U645" s="15"/>
      <c r="V645" s="15"/>
      <c r="W645" s="15"/>
      <c r="X645" s="15"/>
      <c r="Y645" s="15"/>
      <c r="Z645" s="15"/>
    </row>
    <row r="646" spans="1:26" x14ac:dyDescent="0.3">
      <c r="A646" s="24">
        <v>8</v>
      </c>
      <c r="B646" s="26" t="s">
        <v>1102</v>
      </c>
      <c r="C646" s="27" t="s">
        <v>1103</v>
      </c>
      <c r="D646" s="26" t="s">
        <v>1104</v>
      </c>
      <c r="E646" s="26"/>
      <c r="F646" s="24">
        <v>1</v>
      </c>
      <c r="G646" s="24"/>
      <c r="H646" s="24"/>
      <c r="I646" s="24"/>
      <c r="J646" s="24"/>
      <c r="K646" s="24"/>
      <c r="L646" s="15"/>
      <c r="M646" s="15"/>
      <c r="N646" s="15"/>
      <c r="O646" s="15"/>
      <c r="P646" s="15"/>
      <c r="Q646" s="15"/>
      <c r="R646" s="15"/>
      <c r="S646" s="15"/>
      <c r="T646" s="15"/>
      <c r="U646" s="15"/>
      <c r="V646" s="15"/>
      <c r="W646" s="15"/>
      <c r="X646" s="15"/>
      <c r="Y646" s="15"/>
      <c r="Z646" s="15"/>
    </row>
    <row r="647" spans="1:26" x14ac:dyDescent="0.3">
      <c r="A647" s="24">
        <v>9</v>
      </c>
      <c r="B647" s="26" t="s">
        <v>1105</v>
      </c>
      <c r="C647" s="27" t="s">
        <v>1106</v>
      </c>
      <c r="D647" s="26" t="s">
        <v>1107</v>
      </c>
      <c r="E647" s="26"/>
      <c r="F647" s="24">
        <v>1</v>
      </c>
      <c r="G647" s="24"/>
      <c r="H647" s="24"/>
      <c r="I647" s="24"/>
      <c r="J647" s="24"/>
      <c r="K647" s="24"/>
      <c r="L647" s="15"/>
      <c r="M647" s="15"/>
      <c r="N647" s="15"/>
      <c r="O647" s="15"/>
      <c r="P647" s="15"/>
      <c r="Q647" s="15"/>
      <c r="R647" s="15"/>
      <c r="S647" s="15"/>
      <c r="T647" s="15"/>
      <c r="U647" s="15"/>
      <c r="V647" s="15"/>
      <c r="W647" s="15"/>
      <c r="X647" s="15"/>
      <c r="Y647" s="15"/>
      <c r="Z647" s="15"/>
    </row>
    <row r="648" spans="1:26" x14ac:dyDescent="0.3">
      <c r="A648" s="24">
        <v>10</v>
      </c>
      <c r="B648" s="26" t="s">
        <v>1108</v>
      </c>
      <c r="C648" s="27" t="s">
        <v>1109</v>
      </c>
      <c r="D648" s="26" t="s">
        <v>1110</v>
      </c>
      <c r="E648" s="26"/>
      <c r="F648" s="24">
        <v>1</v>
      </c>
      <c r="G648" s="24"/>
      <c r="H648" s="24"/>
      <c r="I648" s="24"/>
      <c r="J648" s="24"/>
      <c r="K648" s="24"/>
      <c r="L648" s="15"/>
      <c r="M648" s="15"/>
      <c r="N648" s="15"/>
      <c r="O648" s="15"/>
      <c r="P648" s="15"/>
      <c r="Q648" s="15"/>
      <c r="R648" s="15"/>
      <c r="S648" s="15"/>
      <c r="T648" s="15"/>
      <c r="U648" s="15"/>
      <c r="V648" s="15"/>
      <c r="W648" s="15"/>
      <c r="X648" s="15"/>
      <c r="Y648" s="15"/>
      <c r="Z648" s="15"/>
    </row>
    <row r="649" spans="1:26" x14ac:dyDescent="0.3">
      <c r="A649" s="24">
        <v>11</v>
      </c>
      <c r="B649" s="26" t="s">
        <v>1111</v>
      </c>
      <c r="C649" s="27" t="s">
        <v>1112</v>
      </c>
      <c r="D649" s="26" t="s">
        <v>1113</v>
      </c>
      <c r="E649" s="26"/>
      <c r="F649" s="24">
        <v>1</v>
      </c>
      <c r="G649" s="24"/>
      <c r="H649" s="24"/>
      <c r="I649" s="24"/>
      <c r="J649" s="24"/>
      <c r="K649" s="24"/>
      <c r="L649" s="15"/>
      <c r="M649" s="15"/>
      <c r="N649" s="15"/>
      <c r="O649" s="15"/>
      <c r="P649" s="15"/>
      <c r="Q649" s="15"/>
      <c r="R649" s="15"/>
      <c r="S649" s="15"/>
      <c r="T649" s="15"/>
      <c r="U649" s="15"/>
      <c r="V649" s="15"/>
      <c r="W649" s="15"/>
      <c r="X649" s="15"/>
      <c r="Y649" s="15"/>
      <c r="Z649" s="15"/>
    </row>
    <row r="650" spans="1:26" x14ac:dyDescent="0.3">
      <c r="A650" s="24">
        <v>12</v>
      </c>
      <c r="B650" s="26" t="s">
        <v>1114</v>
      </c>
      <c r="C650" s="27" t="s">
        <v>1115</v>
      </c>
      <c r="D650" s="26" t="s">
        <v>1116</v>
      </c>
      <c r="E650" s="26"/>
      <c r="F650" s="24">
        <v>1</v>
      </c>
      <c r="G650" s="24"/>
      <c r="H650" s="24"/>
      <c r="I650" s="24"/>
      <c r="J650" s="24"/>
      <c r="K650" s="24"/>
      <c r="L650" s="15"/>
      <c r="M650" s="15"/>
      <c r="N650" s="15"/>
      <c r="O650" s="15"/>
      <c r="P650" s="15"/>
      <c r="Q650" s="15"/>
      <c r="R650" s="15"/>
      <c r="S650" s="15"/>
      <c r="T650" s="15"/>
      <c r="U650" s="15"/>
      <c r="V650" s="15"/>
      <c r="W650" s="15"/>
      <c r="X650" s="15"/>
      <c r="Y650" s="15"/>
      <c r="Z650" s="15"/>
    </row>
    <row r="651" spans="1:26" x14ac:dyDescent="0.3">
      <c r="A651" s="24">
        <v>13</v>
      </c>
      <c r="B651" s="26" t="s">
        <v>1117</v>
      </c>
      <c r="C651" s="27" t="s">
        <v>1118</v>
      </c>
      <c r="D651" s="26" t="s">
        <v>1119</v>
      </c>
      <c r="E651" s="26"/>
      <c r="F651" s="24">
        <v>1</v>
      </c>
      <c r="G651" s="24"/>
      <c r="H651" s="24"/>
      <c r="I651" s="24"/>
      <c r="J651" s="24"/>
      <c r="K651" s="24"/>
      <c r="L651" s="15"/>
      <c r="M651" s="15"/>
      <c r="N651" s="15"/>
      <c r="O651" s="15"/>
      <c r="P651" s="15"/>
      <c r="Q651" s="15"/>
      <c r="R651" s="15"/>
      <c r="S651" s="15"/>
      <c r="T651" s="15"/>
      <c r="U651" s="15"/>
      <c r="V651" s="15"/>
      <c r="W651" s="15"/>
      <c r="X651" s="15"/>
      <c r="Y651" s="15"/>
      <c r="Z651" s="15"/>
    </row>
    <row r="652" spans="1:26" x14ac:dyDescent="0.3">
      <c r="A652" s="24">
        <v>14</v>
      </c>
      <c r="B652" s="26" t="s">
        <v>1120</v>
      </c>
      <c r="C652" s="27" t="s">
        <v>1121</v>
      </c>
      <c r="D652" s="26" t="s">
        <v>1122</v>
      </c>
      <c r="E652" s="26"/>
      <c r="F652" s="24">
        <v>1</v>
      </c>
      <c r="G652" s="24"/>
      <c r="H652" s="24"/>
      <c r="I652" s="24"/>
      <c r="J652" s="24"/>
      <c r="K652" s="24"/>
      <c r="L652" s="15"/>
      <c r="M652" s="15"/>
      <c r="N652" s="15"/>
      <c r="O652" s="15"/>
      <c r="P652" s="15"/>
      <c r="Q652" s="15"/>
      <c r="R652" s="15"/>
      <c r="S652" s="15"/>
      <c r="T652" s="15"/>
      <c r="U652" s="15"/>
      <c r="V652" s="15"/>
      <c r="W652" s="15"/>
      <c r="X652" s="15"/>
      <c r="Y652" s="15"/>
      <c r="Z652" s="15"/>
    </row>
    <row r="653" spans="1:26" x14ac:dyDescent="0.3">
      <c r="A653" s="24">
        <v>15</v>
      </c>
      <c r="B653" s="26" t="s">
        <v>1123</v>
      </c>
      <c r="C653" s="27" t="s">
        <v>1124</v>
      </c>
      <c r="D653" s="26" t="s">
        <v>1125</v>
      </c>
      <c r="E653" s="26"/>
      <c r="F653" s="24">
        <v>1</v>
      </c>
      <c r="G653" s="24"/>
      <c r="H653" s="24"/>
      <c r="I653" s="24"/>
      <c r="J653" s="24"/>
      <c r="K653" s="24"/>
      <c r="L653" s="15"/>
      <c r="M653" s="15"/>
      <c r="N653" s="15"/>
      <c r="O653" s="15"/>
      <c r="P653" s="15"/>
      <c r="Q653" s="15"/>
      <c r="R653" s="15"/>
      <c r="S653" s="15"/>
      <c r="T653" s="15"/>
      <c r="U653" s="15"/>
      <c r="V653" s="15"/>
      <c r="W653" s="15"/>
      <c r="X653" s="15"/>
      <c r="Y653" s="15"/>
      <c r="Z653" s="15"/>
    </row>
    <row r="654" spans="1:26" x14ac:dyDescent="0.3">
      <c r="A654" s="24">
        <v>16</v>
      </c>
      <c r="B654" s="26" t="s">
        <v>1126</v>
      </c>
      <c r="C654" s="27" t="s">
        <v>1127</v>
      </c>
      <c r="D654" s="26" t="s">
        <v>1128</v>
      </c>
      <c r="E654" s="26"/>
      <c r="F654" s="24">
        <v>1</v>
      </c>
      <c r="G654" s="24"/>
      <c r="H654" s="24"/>
      <c r="I654" s="24"/>
      <c r="J654" s="24"/>
      <c r="K654" s="24"/>
      <c r="L654" s="15"/>
      <c r="M654" s="15"/>
      <c r="N654" s="15"/>
      <c r="O654" s="15"/>
      <c r="P654" s="15"/>
      <c r="Q654" s="15"/>
      <c r="R654" s="15"/>
      <c r="S654" s="15"/>
      <c r="T654" s="15"/>
      <c r="U654" s="15"/>
      <c r="V654" s="15"/>
      <c r="W654" s="15"/>
      <c r="X654" s="15"/>
      <c r="Y654" s="15"/>
      <c r="Z654" s="15"/>
    </row>
    <row r="655" spans="1:26" x14ac:dyDescent="0.3">
      <c r="A655" s="24">
        <v>17</v>
      </c>
      <c r="B655" s="26" t="s">
        <v>1129</v>
      </c>
      <c r="C655" s="27" t="s">
        <v>1130</v>
      </c>
      <c r="D655" s="26" t="s">
        <v>1131</v>
      </c>
      <c r="E655" s="26"/>
      <c r="F655" s="24">
        <v>1</v>
      </c>
      <c r="G655" s="24"/>
      <c r="H655" s="24"/>
      <c r="I655" s="24"/>
      <c r="J655" s="24"/>
      <c r="K655" s="24"/>
      <c r="L655" s="15"/>
      <c r="M655" s="15"/>
      <c r="N655" s="15"/>
      <c r="O655" s="15"/>
      <c r="P655" s="15"/>
      <c r="Q655" s="15"/>
      <c r="R655" s="15"/>
      <c r="S655" s="15"/>
      <c r="T655" s="15"/>
      <c r="U655" s="15"/>
      <c r="V655" s="15"/>
      <c r="W655" s="15"/>
      <c r="X655" s="15"/>
      <c r="Y655" s="15"/>
      <c r="Z655" s="15"/>
    </row>
    <row r="656" spans="1:26" x14ac:dyDescent="0.3">
      <c r="A656" s="24">
        <v>18</v>
      </c>
      <c r="B656" s="26" t="s">
        <v>1132</v>
      </c>
      <c r="C656" s="27" t="s">
        <v>1133</v>
      </c>
      <c r="D656" s="26" t="s">
        <v>1134</v>
      </c>
      <c r="E656" s="26"/>
      <c r="F656" s="24">
        <v>1</v>
      </c>
      <c r="G656" s="24"/>
      <c r="H656" s="24"/>
      <c r="I656" s="24"/>
      <c r="J656" s="24"/>
      <c r="K656" s="24"/>
      <c r="L656" s="15"/>
      <c r="M656" s="15"/>
      <c r="N656" s="15"/>
      <c r="O656" s="15"/>
      <c r="P656" s="15"/>
      <c r="Q656" s="15"/>
      <c r="R656" s="15"/>
      <c r="S656" s="15"/>
      <c r="T656" s="15"/>
      <c r="U656" s="15"/>
      <c r="V656" s="15"/>
      <c r="W656" s="15"/>
      <c r="X656" s="15"/>
      <c r="Y656" s="15"/>
      <c r="Z656" s="15"/>
    </row>
    <row r="657" spans="1:26" x14ac:dyDescent="0.3">
      <c r="A657" s="24">
        <v>19</v>
      </c>
      <c r="B657" s="26" t="s">
        <v>1135</v>
      </c>
      <c r="C657" s="27" t="s">
        <v>1136</v>
      </c>
      <c r="D657" s="26" t="s">
        <v>1137</v>
      </c>
      <c r="E657" s="26"/>
      <c r="F657" s="24">
        <v>1</v>
      </c>
      <c r="G657" s="24"/>
      <c r="H657" s="24"/>
      <c r="I657" s="24"/>
      <c r="J657" s="24"/>
      <c r="K657" s="24"/>
      <c r="L657" s="15"/>
      <c r="M657" s="15"/>
      <c r="N657" s="15"/>
      <c r="O657" s="15"/>
      <c r="P657" s="15"/>
      <c r="Q657" s="15"/>
      <c r="R657" s="15"/>
      <c r="S657" s="15"/>
      <c r="T657" s="15"/>
      <c r="U657" s="15"/>
      <c r="V657" s="15"/>
      <c r="W657" s="15"/>
      <c r="X657" s="15"/>
      <c r="Y657" s="15"/>
      <c r="Z657" s="15"/>
    </row>
    <row r="658" spans="1:26" x14ac:dyDescent="0.3">
      <c r="A658" s="24">
        <v>20</v>
      </c>
      <c r="B658" s="26" t="s">
        <v>1138</v>
      </c>
      <c r="C658" s="27" t="s">
        <v>1139</v>
      </c>
      <c r="D658" s="26" t="s">
        <v>1140</v>
      </c>
      <c r="E658" s="26"/>
      <c r="F658" s="24">
        <v>1</v>
      </c>
      <c r="G658" s="24"/>
      <c r="H658" s="24"/>
      <c r="I658" s="24"/>
      <c r="J658" s="24"/>
      <c r="K658" s="24"/>
      <c r="L658" s="15"/>
      <c r="M658" s="15"/>
      <c r="N658" s="15"/>
      <c r="O658" s="15"/>
      <c r="P658" s="15"/>
      <c r="Q658" s="15"/>
      <c r="R658" s="15"/>
      <c r="S658" s="15"/>
      <c r="T658" s="15"/>
      <c r="U658" s="15"/>
      <c r="V658" s="15"/>
      <c r="W658" s="15"/>
      <c r="X658" s="15"/>
      <c r="Y658" s="15"/>
      <c r="Z658" s="15"/>
    </row>
    <row r="659" spans="1:26" x14ac:dyDescent="0.3">
      <c r="A659" s="24">
        <v>21</v>
      </c>
      <c r="B659" s="26" t="s">
        <v>1141</v>
      </c>
      <c r="C659" s="27" t="s">
        <v>1142</v>
      </c>
      <c r="D659" s="26" t="s">
        <v>1143</v>
      </c>
      <c r="E659" s="26"/>
      <c r="F659" s="24">
        <v>1</v>
      </c>
      <c r="G659" s="24"/>
      <c r="H659" s="24"/>
      <c r="I659" s="24"/>
      <c r="J659" s="24"/>
      <c r="K659" s="24"/>
      <c r="L659" s="15"/>
      <c r="M659" s="15"/>
      <c r="N659" s="15"/>
      <c r="O659" s="15"/>
      <c r="P659" s="15"/>
      <c r="Q659" s="15"/>
      <c r="R659" s="15"/>
      <c r="S659" s="15"/>
      <c r="T659" s="15"/>
      <c r="U659" s="15"/>
      <c r="V659" s="15"/>
      <c r="W659" s="15"/>
      <c r="X659" s="15"/>
      <c r="Y659" s="15"/>
      <c r="Z659" s="15"/>
    </row>
    <row r="660" spans="1:26" x14ac:dyDescent="0.3">
      <c r="A660" s="24">
        <v>22</v>
      </c>
      <c r="B660" s="26" t="s">
        <v>1144</v>
      </c>
      <c r="C660" s="27" t="s">
        <v>1145</v>
      </c>
      <c r="D660" s="26" t="s">
        <v>1146</v>
      </c>
      <c r="E660" s="26"/>
      <c r="F660" s="24">
        <v>1</v>
      </c>
      <c r="G660" s="24"/>
      <c r="H660" s="24"/>
      <c r="I660" s="24"/>
      <c r="J660" s="24"/>
      <c r="K660" s="24"/>
      <c r="L660" s="15"/>
      <c r="M660" s="15"/>
      <c r="N660" s="15"/>
      <c r="O660" s="15"/>
      <c r="P660" s="15"/>
      <c r="Q660" s="15"/>
      <c r="R660" s="15"/>
      <c r="S660" s="15"/>
      <c r="T660" s="15"/>
      <c r="U660" s="15"/>
      <c r="V660" s="15"/>
      <c r="W660" s="15"/>
      <c r="X660" s="15"/>
      <c r="Y660" s="15"/>
      <c r="Z660" s="15"/>
    </row>
    <row r="661" spans="1:26" x14ac:dyDescent="0.3">
      <c r="A661" s="24">
        <v>23</v>
      </c>
      <c r="B661" s="26" t="s">
        <v>1147</v>
      </c>
      <c r="C661" s="27" t="s">
        <v>1148</v>
      </c>
      <c r="D661" s="26" t="s">
        <v>1149</v>
      </c>
      <c r="E661" s="26"/>
      <c r="F661" s="24">
        <v>1</v>
      </c>
      <c r="G661" s="24"/>
      <c r="H661" s="24"/>
      <c r="I661" s="24"/>
      <c r="J661" s="24"/>
      <c r="K661" s="24"/>
      <c r="L661" s="15"/>
      <c r="M661" s="15"/>
      <c r="N661" s="15"/>
      <c r="O661" s="15"/>
      <c r="P661" s="15"/>
      <c r="Q661" s="15"/>
      <c r="R661" s="15"/>
      <c r="S661" s="15"/>
      <c r="T661" s="15"/>
      <c r="U661" s="15"/>
      <c r="V661" s="15"/>
      <c r="W661" s="15"/>
      <c r="X661" s="15"/>
      <c r="Y661" s="15"/>
      <c r="Z661" s="15"/>
    </row>
    <row r="662" spans="1:26" x14ac:dyDescent="0.3">
      <c r="A662" s="24">
        <v>24</v>
      </c>
      <c r="B662" s="26" t="s">
        <v>1150</v>
      </c>
      <c r="C662" s="27" t="s">
        <v>1151</v>
      </c>
      <c r="D662" s="26" t="s">
        <v>1152</v>
      </c>
      <c r="E662" s="26"/>
      <c r="F662" s="24">
        <v>1</v>
      </c>
      <c r="G662" s="24"/>
      <c r="H662" s="24"/>
      <c r="I662" s="24"/>
      <c r="J662" s="24"/>
      <c r="K662" s="24"/>
      <c r="L662" s="15"/>
      <c r="M662" s="15"/>
      <c r="N662" s="15"/>
      <c r="O662" s="15"/>
      <c r="P662" s="15"/>
      <c r="Q662" s="15"/>
      <c r="R662" s="15"/>
      <c r="S662" s="15"/>
      <c r="T662" s="15"/>
      <c r="U662" s="15"/>
      <c r="V662" s="15"/>
      <c r="W662" s="15"/>
      <c r="X662" s="15"/>
      <c r="Y662" s="15"/>
      <c r="Z662" s="15"/>
    </row>
    <row r="663" spans="1:26" x14ac:dyDescent="0.3">
      <c r="A663" s="24">
        <v>25</v>
      </c>
      <c r="B663" s="26" t="s">
        <v>1153</v>
      </c>
      <c r="C663" s="27" t="s">
        <v>1154</v>
      </c>
      <c r="D663" s="26" t="s">
        <v>1155</v>
      </c>
      <c r="E663" s="26"/>
      <c r="F663" s="24">
        <v>1</v>
      </c>
      <c r="G663" s="24"/>
      <c r="H663" s="24"/>
      <c r="I663" s="24"/>
      <c r="J663" s="24"/>
      <c r="K663" s="24"/>
      <c r="L663" s="15"/>
      <c r="M663" s="15"/>
      <c r="N663" s="15"/>
      <c r="O663" s="15"/>
      <c r="P663" s="15"/>
      <c r="Q663" s="15"/>
      <c r="R663" s="15"/>
      <c r="S663" s="15"/>
      <c r="T663" s="15"/>
      <c r="U663" s="15"/>
      <c r="V663" s="15"/>
      <c r="W663" s="15"/>
      <c r="X663" s="15"/>
      <c r="Y663" s="15"/>
      <c r="Z663" s="15"/>
    </row>
    <row r="664" spans="1:26" x14ac:dyDescent="0.3">
      <c r="A664" s="24">
        <v>26</v>
      </c>
      <c r="B664" s="26" t="s">
        <v>1156</v>
      </c>
      <c r="C664" s="27" t="s">
        <v>1157</v>
      </c>
      <c r="D664" s="26" t="s">
        <v>1158</v>
      </c>
      <c r="E664" s="26"/>
      <c r="F664" s="24">
        <v>1</v>
      </c>
      <c r="G664" s="24"/>
      <c r="H664" s="24"/>
      <c r="I664" s="24"/>
      <c r="J664" s="24"/>
      <c r="K664" s="24"/>
      <c r="L664" s="15"/>
      <c r="M664" s="15"/>
      <c r="N664" s="15"/>
      <c r="O664" s="15"/>
      <c r="P664" s="15"/>
      <c r="Q664" s="15"/>
      <c r="R664" s="15"/>
      <c r="S664" s="15"/>
      <c r="T664" s="15"/>
      <c r="U664" s="15"/>
      <c r="V664" s="15"/>
      <c r="W664" s="15"/>
      <c r="X664" s="15"/>
      <c r="Y664" s="15"/>
      <c r="Z664" s="15"/>
    </row>
    <row r="665" spans="1:26" x14ac:dyDescent="0.3">
      <c r="A665" s="24">
        <v>27</v>
      </c>
      <c r="B665" s="26" t="s">
        <v>1159</v>
      </c>
      <c r="C665" s="27" t="s">
        <v>1160</v>
      </c>
      <c r="D665" s="26" t="s">
        <v>1161</v>
      </c>
      <c r="E665" s="26"/>
      <c r="F665" s="24">
        <v>1</v>
      </c>
      <c r="G665" s="24"/>
      <c r="H665" s="24"/>
      <c r="I665" s="24"/>
      <c r="J665" s="24"/>
      <c r="K665" s="24"/>
      <c r="L665" s="15"/>
      <c r="M665" s="15"/>
      <c r="N665" s="15"/>
      <c r="O665" s="15"/>
      <c r="P665" s="15"/>
      <c r="Q665" s="15"/>
      <c r="R665" s="15"/>
      <c r="S665" s="15"/>
      <c r="T665" s="15"/>
      <c r="U665" s="15"/>
      <c r="V665" s="15"/>
      <c r="W665" s="15"/>
      <c r="X665" s="15"/>
      <c r="Y665" s="15"/>
      <c r="Z665" s="15"/>
    </row>
    <row r="666" spans="1:26" x14ac:dyDescent="0.3">
      <c r="A666" s="24">
        <v>28</v>
      </c>
      <c r="B666" s="26" t="s">
        <v>1162</v>
      </c>
      <c r="C666" s="27" t="s">
        <v>1163</v>
      </c>
      <c r="D666" s="26" t="s">
        <v>1164</v>
      </c>
      <c r="E666" s="26"/>
      <c r="F666" s="24">
        <v>1</v>
      </c>
      <c r="G666" s="24"/>
      <c r="H666" s="24"/>
      <c r="I666" s="24"/>
      <c r="J666" s="24"/>
      <c r="K666" s="24"/>
      <c r="L666" s="15"/>
      <c r="M666" s="15"/>
      <c r="N666" s="15"/>
      <c r="O666" s="15"/>
      <c r="P666" s="15"/>
      <c r="Q666" s="15"/>
      <c r="R666" s="15"/>
      <c r="S666" s="15"/>
      <c r="T666" s="15"/>
      <c r="U666" s="15"/>
      <c r="V666" s="15"/>
      <c r="W666" s="15"/>
      <c r="X666" s="15"/>
      <c r="Y666" s="15"/>
      <c r="Z666" s="15"/>
    </row>
    <row r="667" spans="1:26" x14ac:dyDescent="0.3">
      <c r="A667" s="24">
        <v>29</v>
      </c>
      <c r="B667" s="26" t="s">
        <v>1165</v>
      </c>
      <c r="C667" s="27" t="s">
        <v>1166</v>
      </c>
      <c r="D667" s="26" t="s">
        <v>1167</v>
      </c>
      <c r="E667" s="26"/>
      <c r="F667" s="24">
        <v>1</v>
      </c>
      <c r="G667" s="24"/>
      <c r="H667" s="24"/>
      <c r="I667" s="24"/>
      <c r="J667" s="24"/>
      <c r="K667" s="24"/>
      <c r="L667" s="15"/>
      <c r="M667" s="15"/>
      <c r="N667" s="15"/>
      <c r="O667" s="15"/>
      <c r="P667" s="15"/>
      <c r="Q667" s="15"/>
      <c r="R667" s="15"/>
      <c r="S667" s="15"/>
      <c r="T667" s="15"/>
      <c r="U667" s="15"/>
      <c r="V667" s="15"/>
      <c r="W667" s="15"/>
      <c r="X667" s="15"/>
      <c r="Y667" s="15"/>
      <c r="Z667" s="15"/>
    </row>
    <row r="668" spans="1:26" x14ac:dyDescent="0.3">
      <c r="A668" s="24">
        <v>30</v>
      </c>
      <c r="B668" s="26" t="s">
        <v>1168</v>
      </c>
      <c r="C668" s="27" t="s">
        <v>1169</v>
      </c>
      <c r="D668" s="26" t="s">
        <v>1170</v>
      </c>
      <c r="E668" s="26"/>
      <c r="F668" s="24">
        <v>1</v>
      </c>
      <c r="G668" s="24"/>
      <c r="H668" s="24"/>
      <c r="I668" s="24"/>
      <c r="J668" s="24"/>
      <c r="K668" s="24"/>
      <c r="L668" s="15"/>
      <c r="M668" s="15"/>
      <c r="N668" s="15"/>
      <c r="O668" s="15"/>
      <c r="P668" s="15"/>
      <c r="Q668" s="15"/>
      <c r="R668" s="15"/>
      <c r="S668" s="15"/>
      <c r="T668" s="15"/>
      <c r="U668" s="15"/>
      <c r="V668" s="15"/>
      <c r="W668" s="15"/>
      <c r="X668" s="15"/>
      <c r="Y668" s="15"/>
      <c r="Z668" s="15"/>
    </row>
    <row r="669" spans="1:26" x14ac:dyDescent="0.3">
      <c r="A669" s="24">
        <v>31</v>
      </c>
      <c r="B669" s="26" t="s">
        <v>1171</v>
      </c>
      <c r="C669" s="27" t="s">
        <v>1172</v>
      </c>
      <c r="D669" s="26" t="s">
        <v>1173</v>
      </c>
      <c r="E669" s="26"/>
      <c r="F669" s="24">
        <v>1</v>
      </c>
      <c r="G669" s="24"/>
      <c r="H669" s="24"/>
      <c r="I669" s="24"/>
      <c r="J669" s="24"/>
      <c r="K669" s="24"/>
      <c r="L669" s="15"/>
      <c r="M669" s="15"/>
      <c r="N669" s="15"/>
      <c r="O669" s="15"/>
      <c r="P669" s="15"/>
      <c r="Q669" s="15"/>
      <c r="R669" s="15"/>
      <c r="S669" s="15"/>
      <c r="T669" s="15"/>
      <c r="U669" s="15"/>
      <c r="V669" s="15"/>
      <c r="W669" s="15"/>
      <c r="X669" s="15"/>
      <c r="Y669" s="15"/>
      <c r="Z669" s="15"/>
    </row>
    <row r="670" spans="1:26" x14ac:dyDescent="0.3">
      <c r="A670" s="24">
        <v>32</v>
      </c>
      <c r="B670" s="26" t="s">
        <v>1174</v>
      </c>
      <c r="C670" s="27" t="s">
        <v>1175</v>
      </c>
      <c r="D670" s="26" t="s">
        <v>1176</v>
      </c>
      <c r="E670" s="26"/>
      <c r="F670" s="24">
        <v>1</v>
      </c>
      <c r="G670" s="24"/>
      <c r="H670" s="24"/>
      <c r="I670" s="24"/>
      <c r="J670" s="24"/>
      <c r="K670" s="24"/>
      <c r="L670" s="15"/>
      <c r="M670" s="15"/>
      <c r="N670" s="15"/>
      <c r="O670" s="15"/>
      <c r="P670" s="15"/>
      <c r="Q670" s="15"/>
      <c r="R670" s="15"/>
      <c r="S670" s="15"/>
      <c r="T670" s="15"/>
      <c r="U670" s="15"/>
      <c r="V670" s="15"/>
      <c r="W670" s="15"/>
      <c r="X670" s="15"/>
      <c r="Y670" s="15"/>
      <c r="Z670" s="15"/>
    </row>
    <row r="671" spans="1:26" x14ac:dyDescent="0.3">
      <c r="A671" s="24">
        <v>33</v>
      </c>
      <c r="B671" s="26" t="s">
        <v>1177</v>
      </c>
      <c r="C671" s="27" t="s">
        <v>1178</v>
      </c>
      <c r="D671" s="26" t="s">
        <v>1179</v>
      </c>
      <c r="E671" s="26"/>
      <c r="F671" s="24">
        <v>1</v>
      </c>
      <c r="G671" s="24"/>
      <c r="H671" s="24"/>
      <c r="I671" s="24"/>
      <c r="J671" s="24"/>
      <c r="K671" s="24"/>
      <c r="L671" s="15"/>
      <c r="M671" s="15"/>
      <c r="N671" s="15"/>
      <c r="O671" s="15"/>
      <c r="P671" s="15"/>
      <c r="Q671" s="15"/>
      <c r="R671" s="15"/>
      <c r="S671" s="15"/>
      <c r="T671" s="15"/>
      <c r="U671" s="15"/>
      <c r="V671" s="15"/>
      <c r="W671" s="15"/>
      <c r="X671" s="15"/>
      <c r="Y671" s="15"/>
      <c r="Z671" s="15"/>
    </row>
    <row r="672" spans="1:26" x14ac:dyDescent="0.3">
      <c r="A672" s="24">
        <v>34</v>
      </c>
      <c r="B672" s="26" t="s">
        <v>1180</v>
      </c>
      <c r="C672" s="27" t="s">
        <v>1181</v>
      </c>
      <c r="D672" s="26" t="s">
        <v>1182</v>
      </c>
      <c r="E672" s="26"/>
      <c r="F672" s="24">
        <v>1</v>
      </c>
      <c r="G672" s="24"/>
      <c r="H672" s="24"/>
      <c r="I672" s="24"/>
      <c r="J672" s="24"/>
      <c r="K672" s="24"/>
      <c r="L672" s="15"/>
      <c r="M672" s="15"/>
      <c r="N672" s="15"/>
      <c r="O672" s="15"/>
      <c r="P672" s="15"/>
      <c r="Q672" s="15"/>
      <c r="R672" s="15"/>
      <c r="S672" s="15"/>
      <c r="T672" s="15"/>
      <c r="U672" s="15"/>
      <c r="V672" s="15"/>
      <c r="W672" s="15"/>
      <c r="X672" s="15"/>
      <c r="Y672" s="15"/>
      <c r="Z672" s="15"/>
    </row>
    <row r="673" spans="1:26" x14ac:dyDescent="0.3">
      <c r="A673" s="24">
        <v>35</v>
      </c>
      <c r="B673" s="26" t="s">
        <v>1183</v>
      </c>
      <c r="C673" s="27" t="s">
        <v>1184</v>
      </c>
      <c r="D673" s="26" t="s">
        <v>1185</v>
      </c>
      <c r="E673" s="26"/>
      <c r="F673" s="24">
        <v>1</v>
      </c>
      <c r="G673" s="24"/>
      <c r="H673" s="24"/>
      <c r="I673" s="24"/>
      <c r="J673" s="24"/>
      <c r="K673" s="24"/>
      <c r="L673" s="15"/>
      <c r="M673" s="15"/>
      <c r="N673" s="15"/>
      <c r="O673" s="15"/>
      <c r="P673" s="15"/>
      <c r="Q673" s="15"/>
      <c r="R673" s="15"/>
      <c r="S673" s="15"/>
      <c r="T673" s="15"/>
      <c r="U673" s="15"/>
      <c r="V673" s="15"/>
      <c r="W673" s="15"/>
      <c r="X673" s="15"/>
      <c r="Y673" s="15"/>
      <c r="Z673" s="15"/>
    </row>
    <row r="674" spans="1:26" x14ac:dyDescent="0.3">
      <c r="A674" s="24">
        <v>36</v>
      </c>
      <c r="B674" s="26" t="s">
        <v>1186</v>
      </c>
      <c r="C674" s="27" t="s">
        <v>1187</v>
      </c>
      <c r="D674" s="26" t="s">
        <v>1188</v>
      </c>
      <c r="E674" s="26"/>
      <c r="F674" s="24">
        <v>1</v>
      </c>
      <c r="G674" s="24"/>
      <c r="H674" s="24"/>
      <c r="I674" s="24"/>
      <c r="J674" s="24"/>
      <c r="K674" s="24"/>
      <c r="L674" s="15"/>
      <c r="M674" s="15"/>
      <c r="N674" s="15"/>
      <c r="O674" s="15"/>
      <c r="P674" s="15"/>
      <c r="Q674" s="15"/>
      <c r="R674" s="15"/>
      <c r="S674" s="15"/>
      <c r="T674" s="15"/>
      <c r="U674" s="15"/>
      <c r="V674" s="15"/>
      <c r="W674" s="15"/>
      <c r="X674" s="15"/>
      <c r="Y674" s="15"/>
      <c r="Z674" s="15"/>
    </row>
    <row r="675" spans="1:26" x14ac:dyDescent="0.3">
      <c r="A675" s="24">
        <v>37</v>
      </c>
      <c r="B675" s="26" t="s">
        <v>1189</v>
      </c>
      <c r="C675" s="27" t="s">
        <v>1190</v>
      </c>
      <c r="D675" s="26" t="s">
        <v>1191</v>
      </c>
      <c r="E675" s="26"/>
      <c r="F675" s="24">
        <v>1</v>
      </c>
      <c r="G675" s="24"/>
      <c r="H675" s="24"/>
      <c r="I675" s="24"/>
      <c r="J675" s="24"/>
      <c r="K675" s="24"/>
      <c r="L675" s="15"/>
      <c r="M675" s="15"/>
      <c r="N675" s="15"/>
      <c r="O675" s="15"/>
      <c r="P675" s="15"/>
      <c r="Q675" s="15"/>
      <c r="R675" s="15"/>
      <c r="S675" s="15"/>
      <c r="T675" s="15"/>
      <c r="U675" s="15"/>
      <c r="V675" s="15"/>
      <c r="W675" s="15"/>
      <c r="X675" s="15"/>
      <c r="Y675" s="15"/>
      <c r="Z675" s="15"/>
    </row>
    <row r="676" spans="1:26" x14ac:dyDescent="0.3">
      <c r="A676" s="24">
        <v>38</v>
      </c>
      <c r="B676" s="26" t="s">
        <v>1192</v>
      </c>
      <c r="C676" s="27" t="s">
        <v>1193</v>
      </c>
      <c r="D676" s="26" t="s">
        <v>1194</v>
      </c>
      <c r="E676" s="26"/>
      <c r="F676" s="24">
        <v>1</v>
      </c>
      <c r="G676" s="24"/>
      <c r="H676" s="24"/>
      <c r="I676" s="24"/>
      <c r="J676" s="24"/>
      <c r="K676" s="24"/>
      <c r="L676" s="15"/>
      <c r="M676" s="15"/>
      <c r="N676" s="15"/>
      <c r="O676" s="15"/>
      <c r="P676" s="15"/>
      <c r="Q676" s="15"/>
      <c r="R676" s="15"/>
      <c r="S676" s="15"/>
      <c r="T676" s="15"/>
      <c r="U676" s="15"/>
      <c r="V676" s="15"/>
      <c r="W676" s="15"/>
      <c r="X676" s="15"/>
      <c r="Y676" s="15"/>
      <c r="Z676" s="15"/>
    </row>
    <row r="677" spans="1:26" x14ac:dyDescent="0.3">
      <c r="A677" s="24">
        <v>39</v>
      </c>
      <c r="B677" s="26" t="s">
        <v>1195</v>
      </c>
      <c r="C677" s="27" t="s">
        <v>1196</v>
      </c>
      <c r="D677" s="26" t="s">
        <v>1197</v>
      </c>
      <c r="E677" s="26"/>
      <c r="F677" s="24">
        <v>1</v>
      </c>
      <c r="G677" s="24"/>
      <c r="H677" s="24"/>
      <c r="I677" s="24"/>
      <c r="J677" s="24"/>
      <c r="K677" s="24"/>
      <c r="L677" s="15"/>
      <c r="M677" s="15"/>
      <c r="N677" s="15"/>
      <c r="O677" s="15"/>
      <c r="P677" s="15"/>
      <c r="Q677" s="15"/>
      <c r="R677" s="15"/>
      <c r="S677" s="15"/>
      <c r="T677" s="15"/>
      <c r="U677" s="15"/>
      <c r="V677" s="15"/>
      <c r="W677" s="15"/>
      <c r="X677" s="15"/>
      <c r="Y677" s="15"/>
      <c r="Z677" s="15"/>
    </row>
    <row r="678" spans="1:26" x14ac:dyDescent="0.3">
      <c r="A678" s="24">
        <v>40</v>
      </c>
      <c r="B678" s="26" t="s">
        <v>1198</v>
      </c>
      <c r="C678" s="27" t="s">
        <v>1199</v>
      </c>
      <c r="D678" s="26" t="s">
        <v>1200</v>
      </c>
      <c r="E678" s="26"/>
      <c r="F678" s="24">
        <v>1</v>
      </c>
      <c r="G678" s="24"/>
      <c r="H678" s="24"/>
      <c r="I678" s="24"/>
      <c r="J678" s="24"/>
      <c r="K678" s="24"/>
      <c r="L678" s="15"/>
      <c r="M678" s="15"/>
      <c r="N678" s="15"/>
      <c r="O678" s="15"/>
      <c r="P678" s="15"/>
      <c r="Q678" s="15"/>
      <c r="R678" s="15"/>
      <c r="S678" s="15"/>
      <c r="T678" s="15"/>
      <c r="U678" s="15"/>
      <c r="V678" s="15"/>
      <c r="W678" s="15"/>
      <c r="X678" s="15"/>
      <c r="Y678" s="15"/>
      <c r="Z678" s="15"/>
    </row>
    <row r="679" spans="1:26" x14ac:dyDescent="0.3">
      <c r="A679" s="24">
        <v>41</v>
      </c>
      <c r="B679" s="26" t="s">
        <v>1201</v>
      </c>
      <c r="C679" s="27" t="s">
        <v>1202</v>
      </c>
      <c r="D679" s="26" t="s">
        <v>1203</v>
      </c>
      <c r="E679" s="26"/>
      <c r="F679" s="24">
        <v>1</v>
      </c>
      <c r="G679" s="24"/>
      <c r="H679" s="24"/>
      <c r="I679" s="24"/>
      <c r="J679" s="24"/>
      <c r="K679" s="24"/>
      <c r="L679" s="15"/>
      <c r="M679" s="15"/>
      <c r="N679" s="15"/>
      <c r="O679" s="15"/>
      <c r="P679" s="15"/>
      <c r="Q679" s="15"/>
      <c r="R679" s="15"/>
      <c r="S679" s="15"/>
      <c r="T679" s="15"/>
      <c r="U679" s="15"/>
      <c r="V679" s="15"/>
      <c r="W679" s="15"/>
      <c r="X679" s="15"/>
      <c r="Y679" s="15"/>
      <c r="Z679" s="15"/>
    </row>
    <row r="680" spans="1:26" x14ac:dyDescent="0.3">
      <c r="A680" s="24">
        <v>42</v>
      </c>
      <c r="B680" s="26" t="s">
        <v>1204</v>
      </c>
      <c r="C680" s="27" t="s">
        <v>1205</v>
      </c>
      <c r="D680" s="26" t="s">
        <v>1206</v>
      </c>
      <c r="E680" s="26"/>
      <c r="F680" s="24">
        <v>1</v>
      </c>
      <c r="G680" s="24"/>
      <c r="H680" s="24"/>
      <c r="I680" s="24"/>
      <c r="J680" s="24"/>
      <c r="K680" s="24"/>
      <c r="L680" s="15"/>
      <c r="M680" s="15"/>
      <c r="N680" s="15"/>
      <c r="O680" s="15"/>
      <c r="P680" s="15"/>
      <c r="Q680" s="15"/>
      <c r="R680" s="15"/>
      <c r="S680" s="15"/>
      <c r="T680" s="15"/>
      <c r="U680" s="15"/>
      <c r="V680" s="15"/>
      <c r="W680" s="15"/>
      <c r="X680" s="15"/>
      <c r="Y680" s="15"/>
      <c r="Z680" s="15"/>
    </row>
    <row r="681" spans="1:26" x14ac:dyDescent="0.3">
      <c r="A681" s="24">
        <v>43</v>
      </c>
      <c r="B681" s="26" t="s">
        <v>1207</v>
      </c>
      <c r="C681" s="27" t="s">
        <v>1208</v>
      </c>
      <c r="D681" s="26" t="s">
        <v>1209</v>
      </c>
      <c r="E681" s="26"/>
      <c r="F681" s="24">
        <v>1</v>
      </c>
      <c r="G681" s="24"/>
      <c r="H681" s="24"/>
      <c r="I681" s="24"/>
      <c r="J681" s="24"/>
      <c r="K681" s="24"/>
      <c r="L681" s="15"/>
      <c r="M681" s="15"/>
      <c r="N681" s="15"/>
      <c r="O681" s="15"/>
      <c r="P681" s="15"/>
      <c r="Q681" s="15"/>
      <c r="R681" s="15"/>
      <c r="S681" s="15"/>
      <c r="T681" s="15"/>
      <c r="U681" s="15"/>
      <c r="V681" s="15"/>
      <c r="W681" s="15"/>
      <c r="X681" s="15"/>
      <c r="Y681" s="15"/>
      <c r="Z681" s="15"/>
    </row>
    <row r="682" spans="1:26" x14ac:dyDescent="0.3">
      <c r="A682" s="24">
        <v>44</v>
      </c>
      <c r="B682" s="26" t="s">
        <v>1210</v>
      </c>
      <c r="C682" s="27" t="s">
        <v>1211</v>
      </c>
      <c r="D682" s="26" t="s">
        <v>1212</v>
      </c>
      <c r="E682" s="26"/>
      <c r="F682" s="24">
        <v>1</v>
      </c>
      <c r="G682" s="24"/>
      <c r="H682" s="24"/>
      <c r="I682" s="24"/>
      <c r="J682" s="24"/>
      <c r="K682" s="24"/>
      <c r="L682" s="15"/>
      <c r="M682" s="15"/>
      <c r="N682" s="15"/>
      <c r="O682" s="15"/>
      <c r="P682" s="15"/>
      <c r="Q682" s="15"/>
      <c r="R682" s="15"/>
      <c r="S682" s="15"/>
      <c r="T682" s="15"/>
      <c r="U682" s="15"/>
      <c r="V682" s="15"/>
      <c r="W682" s="15"/>
      <c r="X682" s="15"/>
      <c r="Y682" s="15"/>
      <c r="Z682" s="15"/>
    </row>
    <row r="683" spans="1:26" x14ac:dyDescent="0.3">
      <c r="A683" s="24">
        <v>45</v>
      </c>
      <c r="B683" s="26" t="s">
        <v>1213</v>
      </c>
      <c r="C683" s="27" t="s">
        <v>1214</v>
      </c>
      <c r="D683" s="26" t="s">
        <v>1215</v>
      </c>
      <c r="E683" s="26"/>
      <c r="F683" s="24">
        <v>1</v>
      </c>
      <c r="G683" s="24"/>
      <c r="H683" s="24"/>
      <c r="I683" s="24"/>
      <c r="J683" s="24"/>
      <c r="K683" s="24"/>
      <c r="L683" s="15"/>
      <c r="M683" s="15"/>
      <c r="N683" s="15"/>
      <c r="O683" s="15"/>
      <c r="P683" s="15"/>
      <c r="Q683" s="15"/>
      <c r="R683" s="15"/>
      <c r="S683" s="15"/>
      <c r="T683" s="15"/>
      <c r="U683" s="15"/>
      <c r="V683" s="15"/>
      <c r="W683" s="15"/>
      <c r="X683" s="15"/>
      <c r="Y683" s="15"/>
      <c r="Z683" s="15"/>
    </row>
    <row r="684" spans="1:26" x14ac:dyDescent="0.3">
      <c r="A684" s="24">
        <v>46</v>
      </c>
      <c r="B684" s="26" t="s">
        <v>1216</v>
      </c>
      <c r="C684" s="27" t="s">
        <v>1217</v>
      </c>
      <c r="D684" s="26" t="s">
        <v>1218</v>
      </c>
      <c r="E684" s="26"/>
      <c r="F684" s="24">
        <v>1</v>
      </c>
      <c r="G684" s="24"/>
      <c r="H684" s="24"/>
      <c r="I684" s="24"/>
      <c r="J684" s="24"/>
      <c r="K684" s="24"/>
      <c r="L684" s="15"/>
      <c r="M684" s="15"/>
      <c r="N684" s="15"/>
      <c r="O684" s="15"/>
      <c r="P684" s="15"/>
      <c r="Q684" s="15"/>
      <c r="R684" s="15"/>
      <c r="S684" s="15"/>
      <c r="T684" s="15"/>
      <c r="U684" s="15"/>
      <c r="V684" s="15"/>
      <c r="W684" s="15"/>
      <c r="X684" s="15"/>
      <c r="Y684" s="15"/>
      <c r="Z684" s="15"/>
    </row>
    <row r="685" spans="1:26" x14ac:dyDescent="0.3">
      <c r="A685" s="24">
        <v>47</v>
      </c>
      <c r="B685" s="26" t="s">
        <v>1219</v>
      </c>
      <c r="C685" s="27" t="s">
        <v>1220</v>
      </c>
      <c r="D685" s="26" t="s">
        <v>1221</v>
      </c>
      <c r="E685" s="26"/>
      <c r="F685" s="24">
        <v>1</v>
      </c>
      <c r="G685" s="24"/>
      <c r="H685" s="24"/>
      <c r="I685" s="24"/>
      <c r="J685" s="24"/>
      <c r="K685" s="24"/>
      <c r="L685" s="15"/>
      <c r="M685" s="15"/>
      <c r="N685" s="15"/>
      <c r="O685" s="15"/>
      <c r="P685" s="15"/>
      <c r="Q685" s="15"/>
      <c r="R685" s="15"/>
      <c r="S685" s="15"/>
      <c r="T685" s="15"/>
      <c r="U685" s="15"/>
      <c r="V685" s="15"/>
      <c r="W685" s="15"/>
      <c r="X685" s="15"/>
      <c r="Y685" s="15"/>
      <c r="Z685" s="15"/>
    </row>
    <row r="686" spans="1:26" x14ac:dyDescent="0.3">
      <c r="A686" s="24">
        <v>48</v>
      </c>
      <c r="B686" s="26" t="s">
        <v>1222</v>
      </c>
      <c r="C686" s="27" t="s">
        <v>1223</v>
      </c>
      <c r="D686" s="26" t="s">
        <v>1224</v>
      </c>
      <c r="E686" s="26"/>
      <c r="F686" s="24">
        <v>1</v>
      </c>
      <c r="G686" s="24"/>
      <c r="H686" s="24"/>
      <c r="I686" s="24"/>
      <c r="J686" s="24"/>
      <c r="K686" s="24"/>
      <c r="L686" s="15"/>
      <c r="M686" s="15"/>
      <c r="N686" s="15"/>
      <c r="O686" s="15"/>
      <c r="P686" s="15"/>
      <c r="Q686" s="15"/>
      <c r="R686" s="15"/>
      <c r="S686" s="15"/>
      <c r="T686" s="15"/>
      <c r="U686" s="15"/>
      <c r="V686" s="15"/>
      <c r="W686" s="15"/>
      <c r="X686" s="15"/>
      <c r="Y686" s="15"/>
      <c r="Z686" s="15"/>
    </row>
    <row r="687" spans="1:26" x14ac:dyDescent="0.3">
      <c r="A687" s="24">
        <v>49</v>
      </c>
      <c r="B687" s="26" t="s">
        <v>1225</v>
      </c>
      <c r="C687" s="27" t="s">
        <v>1226</v>
      </c>
      <c r="D687" s="26" t="s">
        <v>1227</v>
      </c>
      <c r="E687" s="26"/>
      <c r="F687" s="24">
        <v>1</v>
      </c>
      <c r="G687" s="24"/>
      <c r="H687" s="24"/>
      <c r="I687" s="24"/>
      <c r="J687" s="24"/>
      <c r="K687" s="24"/>
      <c r="L687" s="15"/>
      <c r="M687" s="15"/>
      <c r="N687" s="15"/>
      <c r="O687" s="15"/>
      <c r="P687" s="15"/>
      <c r="Q687" s="15"/>
      <c r="R687" s="15"/>
      <c r="S687" s="15"/>
      <c r="T687" s="15"/>
      <c r="U687" s="15"/>
      <c r="V687" s="15"/>
      <c r="W687" s="15"/>
      <c r="X687" s="15"/>
      <c r="Y687" s="15"/>
      <c r="Z687" s="15"/>
    </row>
    <row r="688" spans="1:26" x14ac:dyDescent="0.3">
      <c r="A688" s="24">
        <v>50</v>
      </c>
      <c r="B688" s="26" t="s">
        <v>1228</v>
      </c>
      <c r="C688" s="27" t="s">
        <v>1229</v>
      </c>
      <c r="D688" s="26" t="s">
        <v>1230</v>
      </c>
      <c r="E688" s="26"/>
      <c r="F688" s="24">
        <v>1</v>
      </c>
      <c r="G688" s="24"/>
      <c r="H688" s="24"/>
      <c r="I688" s="24"/>
      <c r="J688" s="24"/>
      <c r="K688" s="24"/>
      <c r="L688" s="15"/>
      <c r="M688" s="15"/>
      <c r="N688" s="15"/>
      <c r="O688" s="15"/>
      <c r="P688" s="15"/>
      <c r="Q688" s="15"/>
      <c r="R688" s="15"/>
      <c r="S688" s="15"/>
      <c r="T688" s="15"/>
      <c r="U688" s="15"/>
      <c r="V688" s="15"/>
      <c r="W688" s="15"/>
      <c r="X688" s="15"/>
      <c r="Y688" s="15"/>
      <c r="Z688" s="15"/>
    </row>
    <row r="689" spans="1:26" x14ac:dyDescent="0.3">
      <c r="A689" s="24">
        <v>51</v>
      </c>
      <c r="B689" s="26" t="s">
        <v>1231</v>
      </c>
      <c r="C689" s="27" t="s">
        <v>1232</v>
      </c>
      <c r="D689" s="26" t="s">
        <v>1233</v>
      </c>
      <c r="E689" s="26"/>
      <c r="F689" s="24">
        <v>1</v>
      </c>
      <c r="G689" s="24"/>
      <c r="H689" s="24"/>
      <c r="I689" s="24"/>
      <c r="J689" s="24"/>
      <c r="K689" s="24"/>
      <c r="L689" s="15"/>
      <c r="M689" s="15"/>
      <c r="N689" s="15"/>
      <c r="O689" s="15"/>
      <c r="P689" s="15"/>
      <c r="Q689" s="15"/>
      <c r="R689" s="15"/>
      <c r="S689" s="15"/>
      <c r="T689" s="15"/>
      <c r="U689" s="15"/>
      <c r="V689" s="15"/>
      <c r="W689" s="15"/>
      <c r="X689" s="15"/>
      <c r="Y689" s="15"/>
      <c r="Z689" s="15"/>
    </row>
    <row r="690" spans="1:26" x14ac:dyDescent="0.3">
      <c r="A690" s="24">
        <v>52</v>
      </c>
      <c r="B690" s="26" t="s">
        <v>1234</v>
      </c>
      <c r="C690" s="27" t="s">
        <v>1235</v>
      </c>
      <c r="D690" s="26" t="s">
        <v>1236</v>
      </c>
      <c r="E690" s="26"/>
      <c r="F690" s="24">
        <v>1</v>
      </c>
      <c r="G690" s="24"/>
      <c r="H690" s="24"/>
      <c r="I690" s="24"/>
      <c r="J690" s="24"/>
      <c r="K690" s="24"/>
      <c r="L690" s="15"/>
      <c r="M690" s="15"/>
      <c r="N690" s="15"/>
      <c r="O690" s="15"/>
      <c r="P690" s="15"/>
      <c r="Q690" s="15"/>
      <c r="R690" s="15"/>
      <c r="S690" s="15"/>
      <c r="T690" s="15"/>
      <c r="U690" s="15"/>
      <c r="V690" s="15"/>
      <c r="W690" s="15"/>
      <c r="X690" s="15"/>
      <c r="Y690" s="15"/>
      <c r="Z690" s="15"/>
    </row>
    <row r="691" spans="1:26" x14ac:dyDescent="0.3">
      <c r="A691" s="24">
        <v>53</v>
      </c>
      <c r="B691" s="26" t="s">
        <v>1237</v>
      </c>
      <c r="C691" s="27" t="s">
        <v>1238</v>
      </c>
      <c r="D691" s="26" t="s">
        <v>1239</v>
      </c>
      <c r="E691" s="26"/>
      <c r="F691" s="24">
        <v>1</v>
      </c>
      <c r="G691" s="24"/>
      <c r="H691" s="24"/>
      <c r="I691" s="24"/>
      <c r="J691" s="24"/>
      <c r="K691" s="24"/>
      <c r="L691" s="15"/>
      <c r="M691" s="15"/>
      <c r="N691" s="15"/>
      <c r="O691" s="15"/>
      <c r="P691" s="15"/>
      <c r="Q691" s="15"/>
      <c r="R691" s="15"/>
      <c r="S691" s="15"/>
      <c r="T691" s="15"/>
      <c r="U691" s="15"/>
      <c r="V691" s="15"/>
      <c r="W691" s="15"/>
      <c r="X691" s="15"/>
      <c r="Y691" s="15"/>
      <c r="Z691" s="15"/>
    </row>
    <row r="692" spans="1:26" x14ac:dyDescent="0.3">
      <c r="A692" s="24">
        <v>54</v>
      </c>
      <c r="B692" s="26" t="s">
        <v>1240</v>
      </c>
      <c r="C692" s="27" t="s">
        <v>1241</v>
      </c>
      <c r="D692" s="26" t="s">
        <v>1242</v>
      </c>
      <c r="E692" s="26"/>
      <c r="F692" s="24">
        <v>1</v>
      </c>
      <c r="G692" s="24"/>
      <c r="H692" s="24"/>
      <c r="I692" s="24"/>
      <c r="J692" s="24"/>
      <c r="K692" s="24"/>
      <c r="L692" s="15"/>
      <c r="M692" s="15"/>
      <c r="N692" s="15"/>
      <c r="O692" s="15"/>
      <c r="P692" s="15"/>
      <c r="Q692" s="15"/>
      <c r="R692" s="15"/>
      <c r="S692" s="15"/>
      <c r="T692" s="15"/>
      <c r="U692" s="15"/>
      <c r="V692" s="15"/>
      <c r="W692" s="15"/>
      <c r="X692" s="15"/>
      <c r="Y692" s="15"/>
      <c r="Z692" s="15"/>
    </row>
    <row r="693" spans="1:26" x14ac:dyDescent="0.3">
      <c r="A693" s="24">
        <v>55</v>
      </c>
      <c r="B693" s="26" t="s">
        <v>1243</v>
      </c>
      <c r="C693" s="27" t="s">
        <v>1244</v>
      </c>
      <c r="D693" s="26" t="s">
        <v>1245</v>
      </c>
      <c r="E693" s="26"/>
      <c r="F693" s="24">
        <v>1</v>
      </c>
      <c r="G693" s="24"/>
      <c r="H693" s="24"/>
      <c r="I693" s="24"/>
      <c r="J693" s="24"/>
      <c r="K693" s="24"/>
      <c r="L693" s="15"/>
      <c r="M693" s="15"/>
      <c r="N693" s="15"/>
      <c r="O693" s="15"/>
      <c r="P693" s="15"/>
      <c r="Q693" s="15"/>
      <c r="R693" s="15"/>
      <c r="S693" s="15"/>
      <c r="T693" s="15"/>
      <c r="U693" s="15"/>
      <c r="V693" s="15"/>
      <c r="W693" s="15"/>
      <c r="X693" s="15"/>
      <c r="Y693" s="15"/>
      <c r="Z693" s="15"/>
    </row>
    <row r="694" spans="1:26" x14ac:dyDescent="0.3">
      <c r="A694" s="24">
        <v>56</v>
      </c>
      <c r="B694" s="26" t="s">
        <v>1246</v>
      </c>
      <c r="C694" s="27" t="s">
        <v>1247</v>
      </c>
      <c r="D694" s="26" t="s">
        <v>1248</v>
      </c>
      <c r="E694" s="26"/>
      <c r="F694" s="24">
        <v>1</v>
      </c>
      <c r="G694" s="24"/>
      <c r="H694" s="24"/>
      <c r="I694" s="24"/>
      <c r="J694" s="24"/>
      <c r="K694" s="24"/>
      <c r="L694" s="15"/>
      <c r="M694" s="15"/>
      <c r="N694" s="15"/>
      <c r="O694" s="15"/>
      <c r="P694" s="15"/>
      <c r="Q694" s="15"/>
      <c r="R694" s="15"/>
      <c r="S694" s="15"/>
      <c r="T694" s="15"/>
      <c r="U694" s="15"/>
      <c r="V694" s="15"/>
      <c r="W694" s="15"/>
      <c r="X694" s="15"/>
      <c r="Y694" s="15"/>
      <c r="Z694" s="15"/>
    </row>
    <row r="695" spans="1:26" x14ac:dyDescent="0.3">
      <c r="A695" s="24">
        <v>57</v>
      </c>
      <c r="B695" s="26" t="s">
        <v>1249</v>
      </c>
      <c r="C695" s="27" t="s">
        <v>1250</v>
      </c>
      <c r="D695" s="26" t="s">
        <v>1251</v>
      </c>
      <c r="E695" s="26"/>
      <c r="F695" s="24">
        <v>1</v>
      </c>
      <c r="G695" s="24"/>
      <c r="H695" s="24"/>
      <c r="I695" s="24"/>
      <c r="J695" s="24"/>
      <c r="K695" s="24"/>
      <c r="L695" s="15"/>
      <c r="M695" s="15"/>
      <c r="N695" s="15"/>
      <c r="O695" s="15"/>
      <c r="P695" s="15"/>
      <c r="Q695" s="15"/>
      <c r="R695" s="15"/>
      <c r="S695" s="15"/>
      <c r="T695" s="15"/>
      <c r="U695" s="15"/>
      <c r="V695" s="15"/>
      <c r="W695" s="15"/>
      <c r="X695" s="15"/>
      <c r="Y695" s="15"/>
      <c r="Z695" s="15"/>
    </row>
    <row r="696" spans="1:26" x14ac:dyDescent="0.3">
      <c r="A696" s="24">
        <v>58</v>
      </c>
      <c r="B696" s="26" t="s">
        <v>1252</v>
      </c>
      <c r="C696" s="27" t="s">
        <v>1253</v>
      </c>
      <c r="D696" s="26" t="s">
        <v>1254</v>
      </c>
      <c r="E696" s="26"/>
      <c r="F696" s="24">
        <v>1</v>
      </c>
      <c r="G696" s="24"/>
      <c r="H696" s="24"/>
      <c r="I696" s="24"/>
      <c r="J696" s="24"/>
      <c r="K696" s="24"/>
      <c r="L696" s="15"/>
      <c r="M696" s="15"/>
      <c r="N696" s="15"/>
      <c r="O696" s="15"/>
      <c r="P696" s="15"/>
      <c r="Q696" s="15"/>
      <c r="R696" s="15"/>
      <c r="S696" s="15"/>
      <c r="T696" s="15"/>
      <c r="U696" s="15"/>
      <c r="V696" s="15"/>
      <c r="W696" s="15"/>
      <c r="X696" s="15"/>
      <c r="Y696" s="15"/>
      <c r="Z696" s="15"/>
    </row>
    <row r="697" spans="1:26" x14ac:dyDescent="0.3">
      <c r="A697" s="24">
        <v>59</v>
      </c>
      <c r="B697" s="26" t="s">
        <v>1255</v>
      </c>
      <c r="C697" s="27" t="s">
        <v>1256</v>
      </c>
      <c r="D697" s="26" t="s">
        <v>1257</v>
      </c>
      <c r="E697" s="26"/>
      <c r="F697" s="24">
        <v>1</v>
      </c>
      <c r="G697" s="24"/>
      <c r="H697" s="24"/>
      <c r="I697" s="24"/>
      <c r="J697" s="24"/>
      <c r="K697" s="24"/>
      <c r="L697" s="15"/>
      <c r="M697" s="15"/>
      <c r="N697" s="15"/>
      <c r="O697" s="15"/>
      <c r="P697" s="15"/>
      <c r="Q697" s="15"/>
      <c r="R697" s="15"/>
      <c r="S697" s="15"/>
      <c r="T697" s="15"/>
      <c r="U697" s="15"/>
      <c r="V697" s="15"/>
      <c r="W697" s="15"/>
      <c r="X697" s="15"/>
      <c r="Y697" s="15"/>
      <c r="Z697" s="15"/>
    </row>
    <row r="698" spans="1:26" x14ac:dyDescent="0.3">
      <c r="A698" s="24">
        <v>60</v>
      </c>
      <c r="B698" s="26" t="s">
        <v>1258</v>
      </c>
      <c r="C698" s="27" t="s">
        <v>1259</v>
      </c>
      <c r="D698" s="26" t="s">
        <v>1260</v>
      </c>
      <c r="E698" s="26"/>
      <c r="F698" s="24">
        <v>1</v>
      </c>
      <c r="G698" s="24"/>
      <c r="H698" s="24"/>
      <c r="I698" s="24"/>
      <c r="J698" s="24"/>
      <c r="K698" s="24"/>
      <c r="L698" s="15"/>
      <c r="M698" s="15"/>
      <c r="N698" s="15"/>
      <c r="O698" s="15"/>
      <c r="P698" s="15"/>
      <c r="Q698" s="15"/>
      <c r="R698" s="15"/>
      <c r="S698" s="15"/>
      <c r="T698" s="15"/>
      <c r="U698" s="15"/>
      <c r="V698" s="15"/>
      <c r="W698" s="15"/>
      <c r="X698" s="15"/>
      <c r="Y698" s="15"/>
      <c r="Z698" s="15"/>
    </row>
    <row r="699" spans="1:26" x14ac:dyDescent="0.3">
      <c r="A699" s="24">
        <v>61</v>
      </c>
      <c r="B699" s="26" t="s">
        <v>1261</v>
      </c>
      <c r="C699" s="27" t="s">
        <v>1262</v>
      </c>
      <c r="D699" s="26" t="s">
        <v>1263</v>
      </c>
      <c r="E699" s="26"/>
      <c r="F699" s="24">
        <v>1</v>
      </c>
      <c r="G699" s="24"/>
      <c r="H699" s="24"/>
      <c r="I699" s="24"/>
      <c r="J699" s="24"/>
      <c r="K699" s="24"/>
      <c r="L699" s="15"/>
      <c r="M699" s="15"/>
      <c r="N699" s="15"/>
      <c r="O699" s="15"/>
      <c r="P699" s="15"/>
      <c r="Q699" s="15"/>
      <c r="R699" s="15"/>
      <c r="S699" s="15"/>
      <c r="T699" s="15"/>
      <c r="U699" s="15"/>
      <c r="V699" s="15"/>
      <c r="W699" s="15"/>
      <c r="X699" s="15"/>
      <c r="Y699" s="15"/>
      <c r="Z699" s="15"/>
    </row>
    <row r="700" spans="1:26" x14ac:dyDescent="0.3">
      <c r="A700" s="24">
        <v>62</v>
      </c>
      <c r="B700" s="26" t="s">
        <v>1264</v>
      </c>
      <c r="C700" s="27" t="s">
        <v>1265</v>
      </c>
      <c r="D700" s="26" t="s">
        <v>1266</v>
      </c>
      <c r="E700" s="26"/>
      <c r="F700" s="24">
        <v>1</v>
      </c>
      <c r="G700" s="24"/>
      <c r="H700" s="24"/>
      <c r="I700" s="24"/>
      <c r="J700" s="24"/>
      <c r="K700" s="24"/>
      <c r="L700" s="15"/>
      <c r="M700" s="15"/>
      <c r="N700" s="15"/>
      <c r="O700" s="15"/>
      <c r="P700" s="15"/>
      <c r="Q700" s="15"/>
      <c r="R700" s="15"/>
      <c r="S700" s="15"/>
      <c r="T700" s="15"/>
      <c r="U700" s="15"/>
      <c r="V700" s="15"/>
      <c r="W700" s="15"/>
      <c r="X700" s="15"/>
      <c r="Y700" s="15"/>
      <c r="Z700" s="15"/>
    </row>
    <row r="701" spans="1:26" x14ac:dyDescent="0.3">
      <c r="A701" s="24">
        <v>63</v>
      </c>
      <c r="B701" s="26" t="s">
        <v>1267</v>
      </c>
      <c r="C701" s="27" t="s">
        <v>1268</v>
      </c>
      <c r="D701" s="26" t="s">
        <v>1269</v>
      </c>
      <c r="E701" s="26"/>
      <c r="F701" s="24">
        <v>1</v>
      </c>
      <c r="G701" s="24"/>
      <c r="H701" s="24"/>
      <c r="I701" s="24"/>
      <c r="J701" s="24"/>
      <c r="K701" s="24"/>
      <c r="L701" s="15"/>
      <c r="M701" s="15"/>
      <c r="N701" s="15"/>
      <c r="O701" s="15"/>
      <c r="P701" s="15"/>
      <c r="Q701" s="15"/>
      <c r="R701" s="15"/>
      <c r="S701" s="15"/>
      <c r="T701" s="15"/>
      <c r="U701" s="15"/>
      <c r="V701" s="15"/>
      <c r="W701" s="15"/>
      <c r="X701" s="15"/>
      <c r="Y701" s="15"/>
      <c r="Z701" s="15"/>
    </row>
    <row r="702" spans="1:26" x14ac:dyDescent="0.3">
      <c r="A702" s="24">
        <v>64</v>
      </c>
      <c r="B702" s="26" t="s">
        <v>1270</v>
      </c>
      <c r="C702" s="27" t="s">
        <v>1271</v>
      </c>
      <c r="D702" s="26" t="s">
        <v>1272</v>
      </c>
      <c r="E702" s="26"/>
      <c r="F702" s="24">
        <v>1</v>
      </c>
      <c r="G702" s="24"/>
      <c r="H702" s="24"/>
      <c r="I702" s="24"/>
      <c r="J702" s="24"/>
      <c r="K702" s="24"/>
      <c r="L702" s="15"/>
      <c r="M702" s="15"/>
      <c r="N702" s="15"/>
      <c r="O702" s="15"/>
      <c r="P702" s="15"/>
      <c r="Q702" s="15"/>
      <c r="R702" s="15"/>
      <c r="S702" s="15"/>
      <c r="T702" s="15"/>
      <c r="U702" s="15"/>
      <c r="V702" s="15"/>
      <c r="W702" s="15"/>
      <c r="X702" s="15"/>
      <c r="Y702" s="15"/>
      <c r="Z702" s="15"/>
    </row>
    <row r="703" spans="1:26" x14ac:dyDescent="0.3">
      <c r="A703" s="24">
        <v>65</v>
      </c>
      <c r="B703" s="26" t="s">
        <v>1273</v>
      </c>
      <c r="C703" s="27" t="s">
        <v>1274</v>
      </c>
      <c r="D703" s="26" t="s">
        <v>1275</v>
      </c>
      <c r="E703" s="26"/>
      <c r="F703" s="24">
        <v>1</v>
      </c>
      <c r="G703" s="24"/>
      <c r="H703" s="24"/>
      <c r="I703" s="24"/>
      <c r="J703" s="24"/>
      <c r="K703" s="24"/>
      <c r="L703" s="15"/>
      <c r="M703" s="15"/>
      <c r="N703" s="15"/>
      <c r="O703" s="15"/>
      <c r="P703" s="15"/>
      <c r="Q703" s="15"/>
      <c r="R703" s="15"/>
      <c r="S703" s="15"/>
      <c r="T703" s="15"/>
      <c r="U703" s="15"/>
      <c r="V703" s="15"/>
      <c r="W703" s="15"/>
      <c r="X703" s="15"/>
      <c r="Y703" s="15"/>
      <c r="Z703" s="15"/>
    </row>
    <row r="704" spans="1:26" x14ac:dyDescent="0.3">
      <c r="A704" s="24">
        <v>66</v>
      </c>
      <c r="B704" s="26" t="s">
        <v>1276</v>
      </c>
      <c r="C704" s="27" t="s">
        <v>1277</v>
      </c>
      <c r="D704" s="26" t="s">
        <v>1278</v>
      </c>
      <c r="E704" s="26"/>
      <c r="F704" s="24">
        <v>1</v>
      </c>
      <c r="G704" s="24"/>
      <c r="H704" s="24"/>
      <c r="I704" s="24"/>
      <c r="J704" s="24"/>
      <c r="K704" s="24"/>
      <c r="L704" s="15"/>
      <c r="M704" s="15"/>
      <c r="N704" s="15"/>
      <c r="O704" s="15"/>
      <c r="P704" s="15"/>
      <c r="Q704" s="15"/>
      <c r="R704" s="15"/>
      <c r="S704" s="15"/>
      <c r="T704" s="15"/>
      <c r="U704" s="15"/>
      <c r="V704" s="15"/>
      <c r="W704" s="15"/>
      <c r="X704" s="15"/>
      <c r="Y704" s="15"/>
      <c r="Z704" s="15"/>
    </row>
    <row r="705" spans="1:26" x14ac:dyDescent="0.3">
      <c r="A705" s="24">
        <v>67</v>
      </c>
      <c r="B705" s="26" t="s">
        <v>1279</v>
      </c>
      <c r="C705" s="27" t="s">
        <v>1280</v>
      </c>
      <c r="D705" s="26" t="s">
        <v>1281</v>
      </c>
      <c r="E705" s="26"/>
      <c r="F705" s="24">
        <v>1</v>
      </c>
      <c r="G705" s="24"/>
      <c r="H705" s="24"/>
      <c r="I705" s="24"/>
      <c r="J705" s="24"/>
      <c r="K705" s="24"/>
      <c r="L705" s="15"/>
      <c r="M705" s="15"/>
      <c r="N705" s="15"/>
      <c r="O705" s="15"/>
      <c r="P705" s="15"/>
      <c r="Q705" s="15"/>
      <c r="R705" s="15"/>
      <c r="S705" s="15"/>
      <c r="T705" s="15"/>
      <c r="U705" s="15"/>
      <c r="V705" s="15"/>
      <c r="W705" s="15"/>
      <c r="X705" s="15"/>
      <c r="Y705" s="15"/>
      <c r="Z705" s="15"/>
    </row>
    <row r="706" spans="1:26" x14ac:dyDescent="0.3">
      <c r="A706" s="24">
        <v>68</v>
      </c>
      <c r="B706" s="26" t="s">
        <v>1282</v>
      </c>
      <c r="C706" s="27" t="s">
        <v>1283</v>
      </c>
      <c r="D706" s="26" t="s">
        <v>1284</v>
      </c>
      <c r="E706" s="26"/>
      <c r="F706" s="24">
        <v>1</v>
      </c>
      <c r="G706" s="24"/>
      <c r="H706" s="24"/>
      <c r="I706" s="24"/>
      <c r="J706" s="24"/>
      <c r="K706" s="24"/>
      <c r="L706" s="15"/>
      <c r="M706" s="15"/>
      <c r="N706" s="15"/>
      <c r="O706" s="15"/>
      <c r="P706" s="15"/>
      <c r="Q706" s="15"/>
      <c r="R706" s="15"/>
      <c r="S706" s="15"/>
      <c r="T706" s="15"/>
      <c r="U706" s="15"/>
      <c r="V706" s="15"/>
      <c r="W706" s="15"/>
      <c r="X706" s="15"/>
      <c r="Y706" s="15"/>
      <c r="Z706" s="15"/>
    </row>
    <row r="707" spans="1:26" x14ac:dyDescent="0.3">
      <c r="A707" s="24">
        <v>69</v>
      </c>
      <c r="B707" s="26" t="s">
        <v>1285</v>
      </c>
      <c r="C707" s="27" t="s">
        <v>1286</v>
      </c>
      <c r="D707" s="26" t="s">
        <v>1287</v>
      </c>
      <c r="E707" s="26"/>
      <c r="F707" s="24">
        <v>1</v>
      </c>
      <c r="G707" s="24"/>
      <c r="H707" s="24"/>
      <c r="I707" s="24"/>
      <c r="J707" s="24"/>
      <c r="K707" s="24"/>
      <c r="L707" s="15"/>
      <c r="M707" s="15"/>
      <c r="N707" s="15"/>
      <c r="O707" s="15"/>
      <c r="P707" s="15"/>
      <c r="Q707" s="15"/>
      <c r="R707" s="15"/>
      <c r="S707" s="15"/>
      <c r="T707" s="15"/>
      <c r="U707" s="15"/>
      <c r="V707" s="15"/>
      <c r="W707" s="15"/>
      <c r="X707" s="15"/>
      <c r="Y707" s="15"/>
      <c r="Z707" s="15"/>
    </row>
    <row r="708" spans="1:26" x14ac:dyDescent="0.3">
      <c r="A708" s="24">
        <v>70</v>
      </c>
      <c r="B708" s="26" t="s">
        <v>1288</v>
      </c>
      <c r="C708" s="27" t="s">
        <v>1289</v>
      </c>
      <c r="D708" s="26" t="s">
        <v>1290</v>
      </c>
      <c r="E708" s="26"/>
      <c r="F708" s="24">
        <v>1</v>
      </c>
      <c r="G708" s="24"/>
      <c r="H708" s="24"/>
      <c r="I708" s="24"/>
      <c r="J708" s="24"/>
      <c r="K708" s="24"/>
      <c r="L708" s="15"/>
      <c r="M708" s="15"/>
      <c r="N708" s="15"/>
      <c r="O708" s="15"/>
      <c r="P708" s="15"/>
      <c r="Q708" s="15"/>
      <c r="R708" s="15"/>
      <c r="S708" s="15"/>
      <c r="T708" s="15"/>
      <c r="U708" s="15"/>
      <c r="V708" s="15"/>
      <c r="W708" s="15"/>
      <c r="X708" s="15"/>
      <c r="Y708" s="15"/>
      <c r="Z708" s="15"/>
    </row>
    <row r="709" spans="1:26" x14ac:dyDescent="0.3">
      <c r="A709" s="24">
        <v>71</v>
      </c>
      <c r="B709" s="26" t="s">
        <v>1291</v>
      </c>
      <c r="C709" s="27" t="s">
        <v>1292</v>
      </c>
      <c r="D709" s="26" t="s">
        <v>1293</v>
      </c>
      <c r="E709" s="26"/>
      <c r="F709" s="24">
        <v>1</v>
      </c>
      <c r="G709" s="24"/>
      <c r="H709" s="24"/>
      <c r="I709" s="24"/>
      <c r="J709" s="24"/>
      <c r="K709" s="24"/>
      <c r="L709" s="15"/>
      <c r="M709" s="15"/>
      <c r="N709" s="15"/>
      <c r="O709" s="15"/>
      <c r="P709" s="15"/>
      <c r="Q709" s="15"/>
      <c r="R709" s="15"/>
      <c r="S709" s="15"/>
      <c r="T709" s="15"/>
      <c r="U709" s="15"/>
      <c r="V709" s="15"/>
      <c r="W709" s="15"/>
      <c r="X709" s="15"/>
      <c r="Y709" s="15"/>
      <c r="Z709" s="15"/>
    </row>
    <row r="710" spans="1:26" x14ac:dyDescent="0.3">
      <c r="A710" s="24">
        <v>72</v>
      </c>
      <c r="B710" s="26" t="s">
        <v>1294</v>
      </c>
      <c r="C710" s="27" t="s">
        <v>1295</v>
      </c>
      <c r="D710" s="26" t="s">
        <v>1296</v>
      </c>
      <c r="E710" s="26"/>
      <c r="F710" s="24">
        <v>1</v>
      </c>
      <c r="G710" s="24"/>
      <c r="H710" s="24"/>
      <c r="I710" s="24"/>
      <c r="J710" s="24"/>
      <c r="K710" s="24"/>
      <c r="L710" s="15"/>
      <c r="M710" s="15"/>
      <c r="N710" s="15"/>
      <c r="O710" s="15"/>
      <c r="P710" s="15"/>
      <c r="Q710" s="15"/>
      <c r="R710" s="15"/>
      <c r="S710" s="15"/>
      <c r="T710" s="15"/>
      <c r="U710" s="15"/>
      <c r="V710" s="15"/>
      <c r="W710" s="15"/>
      <c r="X710" s="15"/>
      <c r="Y710" s="15"/>
      <c r="Z710" s="15"/>
    </row>
    <row r="711" spans="1:26" x14ac:dyDescent="0.3">
      <c r="A711" s="24">
        <v>73</v>
      </c>
      <c r="B711" s="26" t="s">
        <v>1297</v>
      </c>
      <c r="C711" s="27" t="s">
        <v>1298</v>
      </c>
      <c r="D711" s="26" t="s">
        <v>1299</v>
      </c>
      <c r="E711" s="26"/>
      <c r="F711" s="24">
        <v>1</v>
      </c>
      <c r="G711" s="24"/>
      <c r="H711" s="24"/>
      <c r="I711" s="24"/>
      <c r="J711" s="24"/>
      <c r="K711" s="24"/>
      <c r="L711" s="15"/>
      <c r="M711" s="15"/>
      <c r="N711" s="15"/>
      <c r="O711" s="15"/>
      <c r="P711" s="15"/>
      <c r="Q711" s="15"/>
      <c r="R711" s="15"/>
      <c r="S711" s="15"/>
      <c r="T711" s="15"/>
      <c r="U711" s="15"/>
      <c r="V711" s="15"/>
      <c r="W711" s="15"/>
      <c r="X711" s="15"/>
      <c r="Y711" s="15"/>
      <c r="Z711" s="15"/>
    </row>
    <row r="712" spans="1:26" x14ac:dyDescent="0.3">
      <c r="A712" s="24">
        <v>74</v>
      </c>
      <c r="B712" s="26" t="s">
        <v>1300</v>
      </c>
      <c r="C712" s="27" t="s">
        <v>1301</v>
      </c>
      <c r="D712" s="26" t="s">
        <v>1302</v>
      </c>
      <c r="E712" s="26"/>
      <c r="F712" s="24">
        <v>1</v>
      </c>
      <c r="G712" s="24"/>
      <c r="H712" s="24"/>
      <c r="I712" s="24"/>
      <c r="J712" s="24"/>
      <c r="K712" s="24"/>
      <c r="L712" s="15"/>
      <c r="M712" s="15"/>
      <c r="N712" s="15"/>
      <c r="O712" s="15"/>
      <c r="P712" s="15"/>
      <c r="Q712" s="15"/>
      <c r="R712" s="15"/>
      <c r="S712" s="15"/>
      <c r="T712" s="15"/>
      <c r="U712" s="15"/>
      <c r="V712" s="15"/>
      <c r="W712" s="15"/>
      <c r="X712" s="15"/>
      <c r="Y712" s="15"/>
      <c r="Z712" s="15"/>
    </row>
    <row r="713" spans="1:26" x14ac:dyDescent="0.3">
      <c r="A713" s="24">
        <v>75</v>
      </c>
      <c r="B713" s="26" t="s">
        <v>1303</v>
      </c>
      <c r="C713" s="27" t="s">
        <v>1304</v>
      </c>
      <c r="D713" s="26" t="s">
        <v>1305</v>
      </c>
      <c r="E713" s="26"/>
      <c r="F713" s="24">
        <v>1</v>
      </c>
      <c r="G713" s="24"/>
      <c r="H713" s="24"/>
      <c r="I713" s="24"/>
      <c r="J713" s="24"/>
      <c r="K713" s="24"/>
      <c r="L713" s="15"/>
      <c r="M713" s="15"/>
      <c r="N713" s="15"/>
      <c r="O713" s="15"/>
      <c r="P713" s="15"/>
      <c r="Q713" s="15"/>
      <c r="R713" s="15"/>
      <c r="S713" s="15"/>
      <c r="T713" s="15"/>
      <c r="U713" s="15"/>
      <c r="V713" s="15"/>
      <c r="W713" s="15"/>
      <c r="X713" s="15"/>
      <c r="Y713" s="15"/>
      <c r="Z713" s="15"/>
    </row>
    <row r="714" spans="1:26" x14ac:dyDescent="0.3">
      <c r="A714" s="24">
        <v>76</v>
      </c>
      <c r="B714" s="26" t="s">
        <v>1306</v>
      </c>
      <c r="C714" s="27" t="s">
        <v>1307</v>
      </c>
      <c r="D714" s="26" t="s">
        <v>1308</v>
      </c>
      <c r="E714" s="26"/>
      <c r="F714" s="24">
        <v>1</v>
      </c>
      <c r="G714" s="24"/>
      <c r="H714" s="24"/>
      <c r="I714" s="24"/>
      <c r="J714" s="24"/>
      <c r="K714" s="24"/>
      <c r="L714" s="15"/>
      <c r="M714" s="15"/>
      <c r="N714" s="15"/>
      <c r="O714" s="15"/>
      <c r="P714" s="15"/>
      <c r="Q714" s="15"/>
      <c r="R714" s="15"/>
      <c r="S714" s="15"/>
      <c r="T714" s="15"/>
      <c r="U714" s="15"/>
      <c r="V714" s="15"/>
      <c r="W714" s="15"/>
      <c r="X714" s="15"/>
      <c r="Y714" s="15"/>
      <c r="Z714" s="15"/>
    </row>
    <row r="715" spans="1:26" x14ac:dyDescent="0.3">
      <c r="A715" s="24">
        <v>77</v>
      </c>
      <c r="B715" s="26" t="s">
        <v>1309</v>
      </c>
      <c r="C715" s="27" t="s">
        <v>1310</v>
      </c>
      <c r="D715" s="26" t="s">
        <v>1311</v>
      </c>
      <c r="E715" s="26"/>
      <c r="F715" s="24">
        <v>1</v>
      </c>
      <c r="G715" s="24"/>
      <c r="H715" s="24"/>
      <c r="I715" s="24"/>
      <c r="J715" s="24"/>
      <c r="K715" s="24"/>
      <c r="L715" s="15"/>
      <c r="M715" s="15"/>
      <c r="N715" s="15"/>
      <c r="O715" s="15"/>
      <c r="P715" s="15"/>
      <c r="Q715" s="15"/>
      <c r="R715" s="15"/>
      <c r="S715" s="15"/>
      <c r="T715" s="15"/>
      <c r="U715" s="15"/>
      <c r="V715" s="15"/>
      <c r="W715" s="15"/>
      <c r="X715" s="15"/>
      <c r="Y715" s="15"/>
      <c r="Z715" s="15"/>
    </row>
    <row r="716" spans="1:26" x14ac:dyDescent="0.3">
      <c r="A716" s="24">
        <v>78</v>
      </c>
      <c r="B716" s="26" t="s">
        <v>1312</v>
      </c>
      <c r="C716" s="27" t="s">
        <v>1313</v>
      </c>
      <c r="D716" s="26" t="s">
        <v>1314</v>
      </c>
      <c r="E716" s="26"/>
      <c r="F716" s="24">
        <v>1</v>
      </c>
      <c r="G716" s="24"/>
      <c r="H716" s="24"/>
      <c r="I716" s="24"/>
      <c r="J716" s="24"/>
      <c r="K716" s="24"/>
      <c r="L716" s="15"/>
      <c r="M716" s="15"/>
      <c r="N716" s="15"/>
      <c r="O716" s="15"/>
      <c r="P716" s="15"/>
      <c r="Q716" s="15"/>
      <c r="R716" s="15"/>
      <c r="S716" s="15"/>
      <c r="T716" s="15"/>
      <c r="U716" s="15"/>
      <c r="V716" s="15"/>
      <c r="W716" s="15"/>
      <c r="X716" s="15"/>
      <c r="Y716" s="15"/>
      <c r="Z716" s="15"/>
    </row>
    <row r="717" spans="1:26" x14ac:dyDescent="0.3">
      <c r="A717" s="24">
        <v>79</v>
      </c>
      <c r="B717" s="26" t="s">
        <v>1315</v>
      </c>
      <c r="C717" s="27" t="s">
        <v>1316</v>
      </c>
      <c r="D717" s="26" t="s">
        <v>1317</v>
      </c>
      <c r="E717" s="26"/>
      <c r="F717" s="24">
        <v>1</v>
      </c>
      <c r="G717" s="24"/>
      <c r="H717" s="24"/>
      <c r="I717" s="24"/>
      <c r="J717" s="24"/>
      <c r="K717" s="24"/>
      <c r="L717" s="15"/>
      <c r="M717" s="15"/>
      <c r="N717" s="15"/>
      <c r="O717" s="15"/>
      <c r="P717" s="15"/>
      <c r="Q717" s="15"/>
      <c r="R717" s="15"/>
      <c r="S717" s="15"/>
      <c r="T717" s="15"/>
      <c r="U717" s="15"/>
      <c r="V717" s="15"/>
      <c r="W717" s="15"/>
      <c r="X717" s="15"/>
      <c r="Y717" s="15"/>
      <c r="Z717" s="15"/>
    </row>
    <row r="718" spans="1:26" x14ac:dyDescent="0.3">
      <c r="A718" s="24">
        <v>80</v>
      </c>
      <c r="B718" s="26" t="s">
        <v>1318</v>
      </c>
      <c r="C718" s="27" t="s">
        <v>1319</v>
      </c>
      <c r="D718" s="26" t="s">
        <v>1320</v>
      </c>
      <c r="E718" s="26"/>
      <c r="F718" s="24">
        <v>1</v>
      </c>
      <c r="G718" s="24"/>
      <c r="H718" s="24"/>
      <c r="I718" s="24"/>
      <c r="J718" s="24"/>
      <c r="K718" s="24"/>
      <c r="L718" s="15"/>
      <c r="M718" s="15"/>
      <c r="N718" s="15"/>
      <c r="O718" s="15"/>
      <c r="P718" s="15"/>
      <c r="Q718" s="15"/>
      <c r="R718" s="15"/>
      <c r="S718" s="15"/>
      <c r="T718" s="15"/>
      <c r="U718" s="15"/>
      <c r="V718" s="15"/>
      <c r="W718" s="15"/>
      <c r="X718" s="15"/>
      <c r="Y718" s="15"/>
      <c r="Z718" s="15"/>
    </row>
    <row r="719" spans="1:26" x14ac:dyDescent="0.3">
      <c r="A719" s="24">
        <v>81</v>
      </c>
      <c r="B719" s="26" t="s">
        <v>1321</v>
      </c>
      <c r="C719" s="27" t="s">
        <v>1322</v>
      </c>
      <c r="D719" s="26" t="s">
        <v>1323</v>
      </c>
      <c r="E719" s="26"/>
      <c r="F719" s="24">
        <v>1</v>
      </c>
      <c r="G719" s="24"/>
      <c r="H719" s="24"/>
      <c r="I719" s="24"/>
      <c r="J719" s="24"/>
      <c r="K719" s="24"/>
      <c r="L719" s="15"/>
      <c r="M719" s="15"/>
      <c r="N719" s="15"/>
      <c r="O719" s="15"/>
      <c r="P719" s="15"/>
      <c r="Q719" s="15"/>
      <c r="R719" s="15"/>
      <c r="S719" s="15"/>
      <c r="T719" s="15"/>
      <c r="U719" s="15"/>
      <c r="V719" s="15"/>
      <c r="W719" s="15"/>
      <c r="X719" s="15"/>
      <c r="Y719" s="15"/>
      <c r="Z719" s="15"/>
    </row>
    <row r="720" spans="1:26" x14ac:dyDescent="0.3">
      <c r="A720" s="17"/>
      <c r="B720" s="17"/>
      <c r="C720" s="17"/>
      <c r="D720" s="17"/>
      <c r="E720" s="17"/>
      <c r="F720" s="17"/>
      <c r="G720" s="17"/>
      <c r="H720" s="17"/>
      <c r="I720" s="17"/>
      <c r="J720" s="17"/>
      <c r="K720" s="17"/>
      <c r="L720" s="15"/>
      <c r="M720" s="15"/>
      <c r="N720" s="15"/>
      <c r="O720" s="15"/>
      <c r="P720" s="15"/>
      <c r="Q720" s="15"/>
      <c r="R720" s="15"/>
      <c r="S720" s="15"/>
      <c r="T720" s="15"/>
      <c r="U720" s="15"/>
      <c r="V720" s="15"/>
      <c r="W720" s="15"/>
      <c r="X720" s="15"/>
      <c r="Y720" s="15"/>
      <c r="Z720" s="15"/>
    </row>
    <row r="721" spans="1:26" x14ac:dyDescent="0.3">
      <c r="A721" s="17"/>
      <c r="B721" s="17"/>
      <c r="C721" s="17"/>
      <c r="D721" s="17"/>
      <c r="E721" s="17"/>
      <c r="F721" s="17"/>
      <c r="G721" s="17"/>
      <c r="H721" s="17"/>
      <c r="I721" s="17"/>
      <c r="J721" s="17"/>
      <c r="K721" s="17"/>
      <c r="L721" s="15"/>
      <c r="M721" s="15"/>
      <c r="N721" s="15"/>
      <c r="O721" s="15"/>
      <c r="P721" s="15"/>
      <c r="Q721" s="15"/>
      <c r="R721" s="15"/>
      <c r="S721" s="15"/>
      <c r="T721" s="15"/>
      <c r="U721" s="15"/>
      <c r="V721" s="15"/>
      <c r="W721" s="15"/>
      <c r="X721" s="15"/>
      <c r="Y721" s="15"/>
      <c r="Z721" s="15"/>
    </row>
    <row r="722" spans="1:26" x14ac:dyDescent="0.3">
      <c r="A722" s="22"/>
      <c r="B722" s="22"/>
      <c r="C722" s="21" t="s">
        <v>1324</v>
      </c>
      <c r="D722" s="22"/>
      <c r="E722" s="22"/>
      <c r="F722" s="22"/>
      <c r="G722" s="22"/>
      <c r="H722" s="22"/>
      <c r="I722" s="22"/>
      <c r="J722" s="22"/>
      <c r="K722" s="22"/>
      <c r="L722" s="15"/>
      <c r="M722" s="15"/>
      <c r="N722" s="15"/>
      <c r="O722" s="15"/>
      <c r="P722" s="15"/>
      <c r="Q722" s="15"/>
      <c r="R722" s="15"/>
      <c r="S722" s="15"/>
      <c r="T722" s="15"/>
      <c r="U722" s="15"/>
      <c r="V722" s="15"/>
      <c r="W722" s="15"/>
      <c r="X722" s="15"/>
      <c r="Y722" s="15"/>
      <c r="Z722" s="15"/>
    </row>
    <row r="723" spans="1:26" x14ac:dyDescent="0.3">
      <c r="A723" s="21" t="s">
        <v>1325</v>
      </c>
      <c r="B723" s="22"/>
      <c r="C723" s="21" t="s">
        <v>1326</v>
      </c>
      <c r="D723" s="22"/>
      <c r="E723" s="22"/>
      <c r="F723" s="22"/>
      <c r="G723" s="22"/>
      <c r="H723" s="22"/>
      <c r="I723" s="22"/>
      <c r="J723" s="22"/>
      <c r="K723" s="22"/>
      <c r="L723" s="15"/>
      <c r="M723" s="15"/>
      <c r="N723" s="15"/>
      <c r="O723" s="15"/>
      <c r="P723" s="15"/>
      <c r="Q723" s="15"/>
      <c r="R723" s="15"/>
      <c r="S723" s="15"/>
      <c r="T723" s="15"/>
      <c r="U723" s="15"/>
      <c r="V723" s="15"/>
      <c r="W723" s="15"/>
      <c r="X723" s="15"/>
      <c r="Y723" s="15"/>
      <c r="Z723" s="15"/>
    </row>
    <row r="724" spans="1:26" x14ac:dyDescent="0.3">
      <c r="A724" s="17"/>
      <c r="B724" s="17"/>
      <c r="C724" s="17"/>
      <c r="D724" s="17"/>
      <c r="E724" s="17"/>
      <c r="F724" s="17"/>
      <c r="G724" s="17"/>
      <c r="H724" s="17"/>
      <c r="I724" s="17"/>
      <c r="J724" s="17"/>
      <c r="K724" s="17"/>
      <c r="L724" s="15"/>
      <c r="M724" s="15"/>
      <c r="N724" s="15"/>
      <c r="O724" s="15"/>
      <c r="P724" s="15"/>
      <c r="Q724" s="15"/>
      <c r="R724" s="15"/>
      <c r="S724" s="15"/>
      <c r="T724" s="15"/>
      <c r="U724" s="15"/>
      <c r="V724" s="15"/>
      <c r="W724" s="15"/>
      <c r="X724" s="15"/>
      <c r="Y724" s="15"/>
      <c r="Z724" s="15"/>
    </row>
    <row r="725" spans="1:26" x14ac:dyDescent="0.3">
      <c r="A725" s="37">
        <v>1</v>
      </c>
      <c r="B725" s="39" t="s">
        <v>1327</v>
      </c>
      <c r="C725" s="35" t="s">
        <v>1328</v>
      </c>
      <c r="D725" s="17"/>
      <c r="E725" s="17"/>
      <c r="F725" s="17"/>
      <c r="G725" s="17"/>
      <c r="H725" s="17"/>
      <c r="I725" s="17"/>
      <c r="J725" s="17"/>
      <c r="K725" s="17"/>
      <c r="L725" s="15"/>
      <c r="M725" s="15"/>
      <c r="N725" s="15"/>
      <c r="O725" s="15"/>
      <c r="P725" s="15"/>
      <c r="Q725" s="15"/>
      <c r="R725" s="15"/>
      <c r="S725" s="15"/>
      <c r="T725" s="15"/>
      <c r="U725" s="15"/>
      <c r="V725" s="15"/>
      <c r="W725" s="15"/>
      <c r="X725" s="15"/>
      <c r="Y725" s="15"/>
      <c r="Z725" s="15"/>
    </row>
    <row r="726" spans="1:26" x14ac:dyDescent="0.3">
      <c r="A726" s="17"/>
      <c r="B726" s="17"/>
      <c r="C726" s="17" t="s">
        <v>1329</v>
      </c>
      <c r="D726" s="17"/>
      <c r="E726" s="17"/>
      <c r="F726" s="17"/>
      <c r="G726" s="17"/>
      <c r="H726" s="17"/>
      <c r="I726" s="17"/>
      <c r="J726" s="17"/>
      <c r="K726" s="17"/>
      <c r="L726" s="15"/>
      <c r="M726" s="15"/>
      <c r="N726" s="15"/>
      <c r="O726" s="15"/>
      <c r="P726" s="15"/>
      <c r="Q726" s="15"/>
      <c r="R726" s="15"/>
      <c r="S726" s="15"/>
      <c r="T726" s="15"/>
      <c r="U726" s="15"/>
      <c r="V726" s="15"/>
      <c r="W726" s="15"/>
      <c r="X726" s="15"/>
      <c r="Y726" s="15"/>
      <c r="Z726" s="15"/>
    </row>
    <row r="727" spans="1:26" x14ac:dyDescent="0.3">
      <c r="A727" s="17"/>
      <c r="B727" s="17"/>
      <c r="C727" s="17" t="s">
        <v>1330</v>
      </c>
      <c r="D727" s="17"/>
      <c r="E727" s="17"/>
      <c r="F727" s="17"/>
      <c r="G727" s="17"/>
      <c r="H727" s="17"/>
      <c r="I727" s="17"/>
      <c r="J727" s="17"/>
      <c r="K727" s="17"/>
      <c r="L727" s="15"/>
      <c r="M727" s="15"/>
      <c r="N727" s="15"/>
      <c r="O727" s="15"/>
      <c r="P727" s="15"/>
      <c r="Q727" s="15"/>
      <c r="R727" s="15"/>
      <c r="S727" s="15"/>
      <c r="T727" s="15"/>
      <c r="U727" s="15"/>
      <c r="V727" s="15"/>
      <c r="W727" s="15"/>
      <c r="X727" s="15"/>
      <c r="Y727" s="15"/>
      <c r="Z727" s="15"/>
    </row>
    <row r="728" spans="1:26" x14ac:dyDescent="0.3">
      <c r="A728" s="25">
        <v>1.1000000000000001</v>
      </c>
      <c r="B728" s="17"/>
      <c r="C728" s="17" t="s">
        <v>1331</v>
      </c>
      <c r="D728" s="26" t="s">
        <v>1332</v>
      </c>
      <c r="E728" s="26"/>
      <c r="F728" s="24">
        <v>3</v>
      </c>
      <c r="G728" s="24"/>
      <c r="H728" s="24"/>
      <c r="I728" s="24"/>
      <c r="J728" s="24"/>
      <c r="K728" s="24"/>
      <c r="L728" s="15"/>
      <c r="M728" s="15"/>
      <c r="N728" s="15"/>
      <c r="O728" s="15"/>
      <c r="P728" s="15"/>
      <c r="Q728" s="15"/>
      <c r="R728" s="15"/>
      <c r="S728" s="15"/>
      <c r="T728" s="15"/>
      <c r="U728" s="15"/>
      <c r="V728" s="15"/>
      <c r="W728" s="15"/>
      <c r="X728" s="15"/>
      <c r="Y728" s="15"/>
      <c r="Z728" s="15"/>
    </row>
    <row r="729" spans="1:26" x14ac:dyDescent="0.3">
      <c r="A729" s="25">
        <v>1.2</v>
      </c>
      <c r="B729" s="17"/>
      <c r="C729" s="17" t="s">
        <v>1333</v>
      </c>
      <c r="D729" s="26" t="s">
        <v>1334</v>
      </c>
      <c r="E729" s="26"/>
      <c r="F729" s="24">
        <v>18</v>
      </c>
      <c r="G729" s="24"/>
      <c r="H729" s="24"/>
      <c r="I729" s="24"/>
      <c r="J729" s="24"/>
      <c r="K729" s="24"/>
      <c r="L729" s="15"/>
      <c r="M729" s="15"/>
      <c r="N729" s="15"/>
      <c r="O729" s="15"/>
      <c r="P729" s="15"/>
      <c r="Q729" s="15"/>
      <c r="R729" s="15"/>
      <c r="S729" s="15"/>
      <c r="T729" s="15"/>
      <c r="U729" s="15"/>
      <c r="V729" s="15"/>
      <c r="W729" s="15"/>
      <c r="X729" s="15"/>
      <c r="Y729" s="15"/>
      <c r="Z729" s="15"/>
    </row>
    <row r="730" spans="1:26" x14ac:dyDescent="0.3">
      <c r="A730" s="25">
        <v>1.3</v>
      </c>
      <c r="B730" s="17"/>
      <c r="C730" s="17" t="s">
        <v>1335</v>
      </c>
      <c r="D730" s="17"/>
      <c r="E730" s="17"/>
      <c r="F730" s="17"/>
      <c r="G730" s="17"/>
      <c r="H730" s="17"/>
      <c r="I730" s="17"/>
      <c r="J730" s="17"/>
      <c r="K730" s="17"/>
      <c r="L730" s="15"/>
      <c r="M730" s="15"/>
      <c r="N730" s="15"/>
      <c r="O730" s="15"/>
      <c r="P730" s="15"/>
      <c r="Q730" s="15"/>
      <c r="R730" s="15"/>
      <c r="S730" s="15"/>
      <c r="T730" s="15"/>
      <c r="U730" s="15"/>
      <c r="V730" s="15"/>
      <c r="W730" s="15"/>
      <c r="X730" s="15"/>
      <c r="Y730" s="15"/>
      <c r="Z730" s="15"/>
    </row>
    <row r="731" spans="1:26" x14ac:dyDescent="0.3">
      <c r="A731" s="17"/>
      <c r="B731" s="17"/>
      <c r="C731" s="17" t="s">
        <v>1336</v>
      </c>
      <c r="D731" s="26" t="s">
        <v>1337</v>
      </c>
      <c r="E731" s="26"/>
      <c r="F731" s="24">
        <v>9</v>
      </c>
      <c r="G731" s="24"/>
      <c r="H731" s="24"/>
      <c r="I731" s="24"/>
      <c r="J731" s="24"/>
      <c r="K731" s="24"/>
      <c r="L731" s="15"/>
      <c r="M731" s="15"/>
      <c r="N731" s="15"/>
      <c r="O731" s="15"/>
      <c r="P731" s="15"/>
      <c r="Q731" s="15"/>
      <c r="R731" s="15"/>
      <c r="S731" s="15"/>
      <c r="T731" s="15"/>
      <c r="U731" s="15"/>
      <c r="V731" s="15"/>
      <c r="W731" s="15"/>
      <c r="X731" s="15"/>
      <c r="Y731" s="15"/>
      <c r="Z731" s="15"/>
    </row>
    <row r="732" spans="1:26" x14ac:dyDescent="0.3">
      <c r="A732" s="25">
        <v>1.4</v>
      </c>
      <c r="B732" s="17"/>
      <c r="C732" s="17" t="s">
        <v>1338</v>
      </c>
      <c r="D732" s="26" t="s">
        <v>1339</v>
      </c>
      <c r="E732" s="26"/>
      <c r="F732" s="24">
        <v>3</v>
      </c>
      <c r="G732" s="24"/>
      <c r="H732" s="24"/>
      <c r="I732" s="24"/>
      <c r="J732" s="24"/>
      <c r="K732" s="24"/>
      <c r="L732" s="15"/>
      <c r="M732" s="15"/>
      <c r="N732" s="15"/>
      <c r="O732" s="15"/>
      <c r="P732" s="15"/>
      <c r="Q732" s="15"/>
      <c r="R732" s="15"/>
      <c r="S732" s="15"/>
      <c r="T732" s="15"/>
      <c r="U732" s="15"/>
      <c r="V732" s="15"/>
      <c r="W732" s="15"/>
      <c r="X732" s="15"/>
      <c r="Y732" s="15"/>
      <c r="Z732" s="15"/>
    </row>
    <row r="733" spans="1:26" x14ac:dyDescent="0.3">
      <c r="A733" s="17"/>
      <c r="B733" s="17"/>
      <c r="C733" s="17"/>
      <c r="D733" s="17"/>
      <c r="E733" s="17"/>
      <c r="F733" s="17"/>
      <c r="G733" s="17"/>
      <c r="H733" s="17"/>
      <c r="I733" s="17"/>
      <c r="J733" s="17"/>
      <c r="K733" s="17"/>
      <c r="L733" s="15"/>
      <c r="M733" s="15"/>
      <c r="N733" s="15"/>
      <c r="O733" s="15"/>
      <c r="P733" s="15"/>
      <c r="Q733" s="15"/>
      <c r="R733" s="15"/>
      <c r="S733" s="15"/>
      <c r="T733" s="15"/>
      <c r="U733" s="15"/>
      <c r="V733" s="15"/>
      <c r="W733" s="15"/>
      <c r="X733" s="15"/>
      <c r="Y733" s="15"/>
      <c r="Z733" s="15"/>
    </row>
    <row r="734" spans="1:26" x14ac:dyDescent="0.3">
      <c r="A734" s="37">
        <v>2</v>
      </c>
      <c r="B734" s="39" t="s">
        <v>1340</v>
      </c>
      <c r="C734" s="35" t="s">
        <v>1341</v>
      </c>
      <c r="D734" s="17"/>
      <c r="E734" s="17"/>
      <c r="F734" s="17"/>
      <c r="G734" s="17"/>
      <c r="H734" s="17"/>
      <c r="I734" s="17"/>
      <c r="J734" s="17"/>
      <c r="K734" s="17"/>
      <c r="L734" s="15"/>
      <c r="M734" s="15"/>
      <c r="N734" s="15"/>
      <c r="O734" s="15"/>
      <c r="P734" s="15"/>
      <c r="Q734" s="15"/>
      <c r="R734" s="15"/>
      <c r="S734" s="15"/>
      <c r="T734" s="15"/>
      <c r="U734" s="15"/>
      <c r="V734" s="15"/>
      <c r="W734" s="15"/>
      <c r="X734" s="15"/>
      <c r="Y734" s="15"/>
      <c r="Z734" s="15"/>
    </row>
    <row r="735" spans="1:26" x14ac:dyDescent="0.3">
      <c r="A735" s="17"/>
      <c r="B735" s="17"/>
      <c r="C735" s="17"/>
      <c r="D735" s="17"/>
      <c r="E735" s="17"/>
      <c r="F735" s="17"/>
      <c r="G735" s="17"/>
      <c r="H735" s="17"/>
      <c r="I735" s="17"/>
      <c r="J735" s="17"/>
      <c r="K735" s="17"/>
      <c r="L735" s="15"/>
      <c r="M735" s="15"/>
      <c r="N735" s="15"/>
      <c r="O735" s="15"/>
      <c r="P735" s="15"/>
      <c r="Q735" s="15"/>
      <c r="R735" s="15"/>
      <c r="S735" s="15"/>
      <c r="T735" s="15"/>
      <c r="U735" s="15"/>
      <c r="V735" s="15"/>
      <c r="W735" s="15"/>
      <c r="X735" s="15"/>
      <c r="Y735" s="15"/>
      <c r="Z735" s="15"/>
    </row>
    <row r="736" spans="1:26" x14ac:dyDescent="0.3">
      <c r="A736" s="17"/>
      <c r="B736" s="17"/>
      <c r="C736" s="17" t="s">
        <v>1342</v>
      </c>
      <c r="D736" s="17"/>
      <c r="E736" s="17"/>
      <c r="F736" s="17"/>
      <c r="G736" s="17"/>
      <c r="H736" s="17"/>
      <c r="I736" s="17"/>
      <c r="J736" s="17"/>
      <c r="K736" s="17"/>
      <c r="L736" s="15"/>
      <c r="M736" s="15"/>
      <c r="N736" s="15"/>
      <c r="O736" s="15"/>
      <c r="P736" s="15"/>
      <c r="Q736" s="15"/>
      <c r="R736" s="15"/>
      <c r="S736" s="15"/>
      <c r="T736" s="15"/>
      <c r="U736" s="15"/>
      <c r="V736" s="15"/>
      <c r="W736" s="15"/>
      <c r="X736" s="15"/>
      <c r="Y736" s="15"/>
      <c r="Z736" s="15"/>
    </row>
    <row r="737" spans="1:26" x14ac:dyDescent="0.3">
      <c r="A737" s="17"/>
      <c r="B737" s="17"/>
      <c r="C737" s="17" t="s">
        <v>1343</v>
      </c>
      <c r="D737" s="17"/>
      <c r="E737" s="17"/>
      <c r="F737" s="17"/>
      <c r="G737" s="17"/>
      <c r="H737" s="17"/>
      <c r="I737" s="17"/>
      <c r="J737" s="17"/>
      <c r="K737" s="17"/>
      <c r="L737" s="15"/>
      <c r="M737" s="15"/>
      <c r="N737" s="15"/>
      <c r="O737" s="15"/>
      <c r="P737" s="15"/>
      <c r="Q737" s="15"/>
      <c r="R737" s="15"/>
      <c r="S737" s="15"/>
      <c r="T737" s="15"/>
      <c r="U737" s="15"/>
      <c r="V737" s="15"/>
      <c r="W737" s="15"/>
      <c r="X737" s="15"/>
      <c r="Y737" s="15"/>
      <c r="Z737" s="15"/>
    </row>
    <row r="738" spans="1:26" x14ac:dyDescent="0.3">
      <c r="A738" s="25">
        <v>2.1</v>
      </c>
      <c r="B738" s="17"/>
      <c r="C738" s="17" t="s">
        <v>1344</v>
      </c>
      <c r="D738" s="26" t="s">
        <v>1345</v>
      </c>
      <c r="E738" s="26"/>
      <c r="F738" s="24">
        <v>2</v>
      </c>
      <c r="G738" s="24"/>
      <c r="H738" s="24"/>
      <c r="I738" s="24"/>
      <c r="J738" s="24"/>
      <c r="K738" s="24"/>
      <c r="L738" s="15"/>
      <c r="M738" s="15"/>
      <c r="N738" s="15"/>
      <c r="O738" s="15"/>
      <c r="P738" s="15"/>
      <c r="Q738" s="15"/>
      <c r="R738" s="15"/>
      <c r="S738" s="15"/>
      <c r="T738" s="15"/>
      <c r="U738" s="15"/>
      <c r="V738" s="15"/>
      <c r="W738" s="15"/>
      <c r="X738" s="15"/>
      <c r="Y738" s="15"/>
      <c r="Z738" s="15"/>
    </row>
    <row r="739" spans="1:26" x14ac:dyDescent="0.3">
      <c r="A739" s="25">
        <v>2.2000000000000002</v>
      </c>
      <c r="B739" s="17"/>
      <c r="C739" s="17" t="s">
        <v>1346</v>
      </c>
      <c r="D739" s="26" t="s">
        <v>1347</v>
      </c>
      <c r="E739" s="26"/>
      <c r="F739" s="24">
        <v>10</v>
      </c>
      <c r="G739" s="24"/>
      <c r="H739" s="24"/>
      <c r="I739" s="24"/>
      <c r="J739" s="24"/>
      <c r="K739" s="24"/>
      <c r="L739" s="15"/>
      <c r="M739" s="15"/>
      <c r="N739" s="15"/>
      <c r="O739" s="15"/>
      <c r="P739" s="15"/>
      <c r="Q739" s="15"/>
      <c r="R739" s="15"/>
      <c r="S739" s="15"/>
      <c r="T739" s="15"/>
      <c r="U739" s="15"/>
      <c r="V739" s="15"/>
      <c r="W739" s="15"/>
      <c r="X739" s="15"/>
      <c r="Y739" s="15"/>
      <c r="Z739" s="15"/>
    </row>
    <row r="740" spans="1:26" x14ac:dyDescent="0.3">
      <c r="A740" s="25">
        <v>2.2999999999999998</v>
      </c>
      <c r="B740" s="17"/>
      <c r="C740" s="17" t="s">
        <v>1348</v>
      </c>
      <c r="D740" s="17"/>
      <c r="E740" s="17"/>
      <c r="F740" s="17"/>
      <c r="G740" s="17"/>
      <c r="H740" s="17"/>
      <c r="I740" s="17"/>
      <c r="J740" s="17"/>
      <c r="K740" s="17"/>
      <c r="L740" s="15"/>
      <c r="M740" s="15"/>
      <c r="N740" s="15"/>
      <c r="O740" s="15"/>
      <c r="P740" s="15"/>
      <c r="Q740" s="15"/>
      <c r="R740" s="15"/>
      <c r="S740" s="15"/>
      <c r="T740" s="15"/>
      <c r="U740" s="15"/>
      <c r="V740" s="15"/>
      <c r="W740" s="15"/>
      <c r="X740" s="15"/>
      <c r="Y740" s="15"/>
      <c r="Z740" s="15"/>
    </row>
    <row r="741" spans="1:26" x14ac:dyDescent="0.3">
      <c r="A741" s="17"/>
      <c r="B741" s="17"/>
      <c r="C741" s="17" t="s">
        <v>1349</v>
      </c>
      <c r="D741" s="26" t="s">
        <v>1350</v>
      </c>
      <c r="E741" s="26"/>
      <c r="F741" s="24">
        <v>18</v>
      </c>
      <c r="G741" s="24"/>
      <c r="H741" s="24"/>
      <c r="I741" s="24"/>
      <c r="J741" s="24"/>
      <c r="K741" s="24"/>
      <c r="L741" s="15"/>
      <c r="M741" s="15"/>
      <c r="N741" s="15"/>
      <c r="O741" s="15"/>
      <c r="P741" s="15"/>
      <c r="Q741" s="15"/>
      <c r="R741" s="15"/>
      <c r="S741" s="15"/>
      <c r="T741" s="15"/>
      <c r="U741" s="15"/>
      <c r="V741" s="15"/>
      <c r="W741" s="15"/>
      <c r="X741" s="15"/>
      <c r="Y741" s="15"/>
      <c r="Z741" s="15"/>
    </row>
    <row r="742" spans="1:26" x14ac:dyDescent="0.3">
      <c r="A742" s="25">
        <v>2.4</v>
      </c>
      <c r="B742" s="17"/>
      <c r="C742" s="17" t="s">
        <v>1351</v>
      </c>
      <c r="D742" s="26" t="s">
        <v>1352</v>
      </c>
      <c r="E742" s="26"/>
      <c r="F742" s="24">
        <v>2</v>
      </c>
      <c r="G742" s="24"/>
      <c r="H742" s="24"/>
      <c r="I742" s="24"/>
      <c r="J742" s="24"/>
      <c r="K742" s="24"/>
      <c r="L742" s="15"/>
      <c r="M742" s="15"/>
      <c r="N742" s="15"/>
      <c r="O742" s="15"/>
      <c r="P742" s="15"/>
      <c r="Q742" s="15"/>
      <c r="R742" s="15"/>
      <c r="S742" s="15"/>
      <c r="T742" s="15"/>
      <c r="U742" s="15"/>
      <c r="V742" s="15"/>
      <c r="W742" s="15"/>
      <c r="X742" s="15"/>
      <c r="Y742" s="15"/>
      <c r="Z742" s="15"/>
    </row>
    <row r="743" spans="1:26" x14ac:dyDescent="0.3">
      <c r="A743" s="17"/>
      <c r="B743" s="17"/>
      <c r="C743" s="17"/>
      <c r="D743" s="17"/>
      <c r="E743" s="17"/>
      <c r="F743" s="17"/>
      <c r="G743" s="17"/>
      <c r="H743" s="17"/>
      <c r="I743" s="17"/>
      <c r="J743" s="17"/>
      <c r="K743" s="17"/>
      <c r="L743" s="15"/>
      <c r="M743" s="15"/>
      <c r="N743" s="15"/>
      <c r="O743" s="15"/>
      <c r="P743" s="15"/>
      <c r="Q743" s="15"/>
      <c r="R743" s="15"/>
      <c r="S743" s="15"/>
      <c r="T743" s="15"/>
      <c r="U743" s="15"/>
      <c r="V743" s="15"/>
      <c r="W743" s="15"/>
      <c r="X743" s="15"/>
      <c r="Y743" s="15"/>
      <c r="Z743" s="15"/>
    </row>
    <row r="744" spans="1:26" x14ac:dyDescent="0.3">
      <c r="A744" s="17"/>
      <c r="B744" s="17"/>
      <c r="C744" s="17" t="s">
        <v>1353</v>
      </c>
      <c r="D744" s="17"/>
      <c r="E744" s="17"/>
      <c r="F744" s="17"/>
      <c r="G744" s="17"/>
      <c r="H744" s="17"/>
      <c r="I744" s="17"/>
      <c r="J744" s="17"/>
      <c r="K744" s="17"/>
      <c r="L744" s="15"/>
      <c r="M744" s="15"/>
      <c r="N744" s="15"/>
      <c r="O744" s="15"/>
      <c r="P744" s="15"/>
      <c r="Q744" s="15"/>
      <c r="R744" s="15"/>
      <c r="S744" s="15"/>
      <c r="T744" s="15"/>
      <c r="U744" s="15"/>
      <c r="V744" s="15"/>
      <c r="W744" s="15"/>
      <c r="X744" s="15"/>
      <c r="Y744" s="15"/>
      <c r="Z744" s="15"/>
    </row>
    <row r="745" spans="1:26" x14ac:dyDescent="0.3">
      <c r="A745" s="17"/>
      <c r="B745" s="17"/>
      <c r="C745" s="17"/>
      <c r="D745" s="17"/>
      <c r="E745" s="17"/>
      <c r="F745" s="17"/>
      <c r="G745" s="17"/>
      <c r="H745" s="17"/>
      <c r="I745" s="17"/>
      <c r="J745" s="17"/>
      <c r="K745" s="17"/>
      <c r="L745" s="15"/>
      <c r="M745" s="15"/>
      <c r="N745" s="15"/>
      <c r="O745" s="15"/>
      <c r="P745" s="15"/>
      <c r="Q745" s="15"/>
      <c r="R745" s="15"/>
      <c r="S745" s="15"/>
      <c r="T745" s="15"/>
      <c r="U745" s="15"/>
      <c r="V745" s="15"/>
      <c r="W745" s="15"/>
      <c r="X745" s="15"/>
      <c r="Y745" s="15"/>
      <c r="Z745" s="15"/>
    </row>
    <row r="746" spans="1:26" x14ac:dyDescent="0.3">
      <c r="A746" s="22"/>
      <c r="B746" s="22"/>
      <c r="C746" s="21" t="s">
        <v>1354</v>
      </c>
      <c r="D746" s="22"/>
      <c r="E746" s="22"/>
      <c r="F746" s="22"/>
      <c r="G746" s="22"/>
      <c r="H746" s="22"/>
      <c r="I746" s="22"/>
      <c r="J746" s="22"/>
      <c r="K746" s="22"/>
      <c r="L746" s="15"/>
      <c r="M746" s="15"/>
      <c r="N746" s="15"/>
      <c r="O746" s="15"/>
      <c r="P746" s="15"/>
      <c r="Q746" s="15"/>
      <c r="R746" s="15"/>
      <c r="S746" s="15"/>
      <c r="T746" s="15"/>
      <c r="U746" s="15"/>
      <c r="V746" s="15"/>
      <c r="W746" s="15"/>
      <c r="X746" s="15"/>
      <c r="Y746" s="15"/>
      <c r="Z746" s="15"/>
    </row>
    <row r="747" spans="1:26" x14ac:dyDescent="0.3">
      <c r="A747" s="17"/>
      <c r="B747" s="17"/>
      <c r="C747" s="17"/>
      <c r="D747" s="17"/>
      <c r="E747" s="17"/>
      <c r="F747" s="17"/>
      <c r="G747" s="17"/>
      <c r="H747" s="17"/>
      <c r="I747" s="17"/>
      <c r="J747" s="17"/>
      <c r="K747" s="17"/>
      <c r="L747" s="15"/>
      <c r="M747" s="15"/>
      <c r="N747" s="15"/>
      <c r="O747" s="15"/>
      <c r="P747" s="15"/>
      <c r="Q747" s="15"/>
      <c r="R747" s="15"/>
      <c r="S747" s="15"/>
      <c r="T747" s="15"/>
      <c r="U747" s="15"/>
      <c r="V747" s="15"/>
      <c r="W747" s="15"/>
      <c r="X747" s="15"/>
      <c r="Y747" s="15"/>
      <c r="Z747" s="15"/>
    </row>
    <row r="748" spans="1:26" x14ac:dyDescent="0.3">
      <c r="A748" s="20" t="s">
        <v>1355</v>
      </c>
      <c r="B748" s="22"/>
      <c r="C748" s="21" t="s">
        <v>1356</v>
      </c>
      <c r="D748" s="22"/>
      <c r="E748" s="22"/>
      <c r="F748" s="22"/>
      <c r="G748" s="22"/>
      <c r="H748" s="22"/>
      <c r="I748" s="22"/>
      <c r="J748" s="22"/>
      <c r="K748" s="22"/>
      <c r="L748" s="15"/>
      <c r="M748" s="15"/>
      <c r="N748" s="15"/>
      <c r="O748" s="15"/>
      <c r="P748" s="15"/>
      <c r="Q748" s="15"/>
      <c r="R748" s="15"/>
      <c r="S748" s="15"/>
      <c r="T748" s="15"/>
      <c r="U748" s="15"/>
      <c r="V748" s="15"/>
      <c r="W748" s="15"/>
      <c r="X748" s="15"/>
      <c r="Y748" s="15"/>
      <c r="Z748" s="15"/>
    </row>
    <row r="749" spans="1:26" x14ac:dyDescent="0.3">
      <c r="A749" s="17"/>
      <c r="B749" s="17"/>
      <c r="C749" s="17"/>
      <c r="D749" s="17"/>
      <c r="E749" s="17"/>
      <c r="F749" s="17"/>
      <c r="G749" s="17"/>
      <c r="H749" s="17"/>
      <c r="I749" s="17"/>
      <c r="J749" s="17"/>
      <c r="K749" s="17"/>
      <c r="L749" s="15"/>
      <c r="M749" s="15"/>
      <c r="N749" s="15"/>
      <c r="O749" s="15"/>
      <c r="P749" s="15"/>
      <c r="Q749" s="15"/>
      <c r="R749" s="15"/>
      <c r="S749" s="15"/>
      <c r="T749" s="15"/>
      <c r="U749" s="15"/>
      <c r="V749" s="15"/>
      <c r="W749" s="15"/>
      <c r="X749" s="15"/>
      <c r="Y749" s="15"/>
      <c r="Z749" s="15"/>
    </row>
    <row r="750" spans="1:26" x14ac:dyDescent="0.3">
      <c r="A750" s="17"/>
      <c r="B750" s="17"/>
      <c r="C750" s="35" t="s">
        <v>1357</v>
      </c>
      <c r="D750" s="17"/>
      <c r="E750" s="17"/>
      <c r="F750" s="17"/>
      <c r="G750" s="17"/>
      <c r="H750" s="17"/>
      <c r="I750" s="17"/>
      <c r="J750" s="17"/>
      <c r="K750" s="17"/>
      <c r="L750" s="15"/>
      <c r="M750" s="15"/>
      <c r="N750" s="15"/>
      <c r="O750" s="15"/>
      <c r="P750" s="15"/>
      <c r="Q750" s="15"/>
      <c r="R750" s="15"/>
      <c r="S750" s="15"/>
      <c r="T750" s="15"/>
      <c r="U750" s="15"/>
      <c r="V750" s="15"/>
      <c r="W750" s="15"/>
      <c r="X750" s="15"/>
      <c r="Y750" s="15"/>
      <c r="Z750" s="15"/>
    </row>
    <row r="751" spans="1:26" x14ac:dyDescent="0.3">
      <c r="A751" s="17"/>
      <c r="B751" s="17"/>
      <c r="C751" s="17"/>
      <c r="D751" s="17"/>
      <c r="E751" s="17"/>
      <c r="F751" s="17"/>
      <c r="G751" s="17"/>
      <c r="H751" s="17"/>
      <c r="I751" s="17"/>
      <c r="J751" s="17"/>
      <c r="K751" s="17"/>
      <c r="L751" s="15"/>
      <c r="M751" s="15"/>
      <c r="N751" s="15"/>
      <c r="O751" s="15"/>
      <c r="P751" s="15"/>
      <c r="Q751" s="15"/>
      <c r="R751" s="15"/>
      <c r="S751" s="15"/>
      <c r="T751" s="15"/>
      <c r="U751" s="15"/>
      <c r="V751" s="15"/>
      <c r="W751" s="15"/>
      <c r="X751" s="15"/>
      <c r="Y751" s="15"/>
      <c r="Z751" s="15"/>
    </row>
    <row r="752" spans="1:26" x14ac:dyDescent="0.3">
      <c r="A752" s="37">
        <v>1</v>
      </c>
      <c r="B752" s="26" t="s">
        <v>1358</v>
      </c>
      <c r="C752" s="35" t="s">
        <v>1359</v>
      </c>
      <c r="D752" s="17"/>
      <c r="E752" s="17"/>
      <c r="F752" s="17"/>
      <c r="G752" s="17"/>
      <c r="H752" s="17"/>
      <c r="I752" s="17"/>
      <c r="J752" s="17"/>
      <c r="K752" s="17"/>
      <c r="L752" s="15"/>
      <c r="M752" s="15"/>
      <c r="N752" s="15"/>
      <c r="O752" s="15"/>
      <c r="P752" s="15"/>
      <c r="Q752" s="15"/>
      <c r="R752" s="15"/>
      <c r="S752" s="15"/>
      <c r="T752" s="15"/>
      <c r="U752" s="15"/>
      <c r="V752" s="15"/>
      <c r="W752" s="15"/>
      <c r="X752" s="15"/>
      <c r="Y752" s="15"/>
      <c r="Z752" s="15"/>
    </row>
    <row r="753" spans="1:26" x14ac:dyDescent="0.3">
      <c r="A753" s="36">
        <v>1.1000000000000001</v>
      </c>
      <c r="B753" s="26" t="s">
        <v>1360</v>
      </c>
      <c r="C753" s="27" t="s">
        <v>1361</v>
      </c>
      <c r="D753" s="26" t="s">
        <v>1362</v>
      </c>
      <c r="E753" s="26"/>
      <c r="F753" s="24">
        <v>1</v>
      </c>
      <c r="G753" s="24"/>
      <c r="H753" s="24"/>
      <c r="I753" s="24"/>
      <c r="J753" s="24"/>
      <c r="K753" s="24"/>
      <c r="L753" s="15"/>
      <c r="M753" s="15"/>
      <c r="N753" s="15"/>
      <c r="O753" s="15"/>
      <c r="P753" s="15"/>
      <c r="Q753" s="15"/>
      <c r="R753" s="15"/>
      <c r="S753" s="15"/>
      <c r="T753" s="15"/>
      <c r="U753" s="15"/>
      <c r="V753" s="15"/>
      <c r="W753" s="15"/>
      <c r="X753" s="15"/>
      <c r="Y753" s="15"/>
      <c r="Z753" s="15"/>
    </row>
    <row r="754" spans="1:26" x14ac:dyDescent="0.3">
      <c r="A754" s="36">
        <v>1.2</v>
      </c>
      <c r="B754" s="26" t="s">
        <v>1363</v>
      </c>
      <c r="C754" s="27" t="s">
        <v>1364</v>
      </c>
      <c r="D754" s="26" t="s">
        <v>1365</v>
      </c>
      <c r="E754" s="26"/>
      <c r="F754" s="24">
        <v>2</v>
      </c>
      <c r="G754" s="24"/>
      <c r="H754" s="24"/>
      <c r="I754" s="24"/>
      <c r="J754" s="24"/>
      <c r="K754" s="24"/>
      <c r="L754" s="15"/>
      <c r="M754" s="15"/>
      <c r="N754" s="15"/>
      <c r="O754" s="15"/>
      <c r="P754" s="15"/>
      <c r="Q754" s="15"/>
      <c r="R754" s="15"/>
      <c r="S754" s="15"/>
      <c r="T754" s="15"/>
      <c r="U754" s="15"/>
      <c r="V754" s="15"/>
      <c r="W754" s="15"/>
      <c r="X754" s="15"/>
      <c r="Y754" s="15"/>
      <c r="Z754" s="15"/>
    </row>
    <row r="755" spans="1:26" x14ac:dyDescent="0.3">
      <c r="A755" s="17"/>
      <c r="B755" s="17"/>
      <c r="C755" s="17" t="s">
        <v>1366</v>
      </c>
      <c r="D755" s="17"/>
      <c r="E755" s="17"/>
      <c r="F755" s="17"/>
      <c r="G755" s="17"/>
      <c r="H755" s="17"/>
      <c r="I755" s="17"/>
      <c r="J755" s="17"/>
      <c r="K755" s="17"/>
      <c r="L755" s="15"/>
      <c r="M755" s="15"/>
      <c r="N755" s="15"/>
      <c r="O755" s="15"/>
      <c r="P755" s="15"/>
      <c r="Q755" s="15"/>
      <c r="R755" s="15"/>
      <c r="S755" s="15"/>
      <c r="T755" s="15"/>
      <c r="U755" s="15"/>
      <c r="V755" s="15"/>
      <c r="W755" s="15"/>
      <c r="X755" s="15"/>
      <c r="Y755" s="15"/>
      <c r="Z755" s="15"/>
    </row>
    <row r="756" spans="1:26" x14ac:dyDescent="0.3">
      <c r="A756" s="17"/>
      <c r="B756" s="17"/>
      <c r="C756" s="17" t="s">
        <v>1367</v>
      </c>
      <c r="D756" s="17"/>
      <c r="E756" s="17"/>
      <c r="F756" s="17"/>
      <c r="G756" s="17"/>
      <c r="H756" s="17"/>
      <c r="I756" s="17"/>
      <c r="J756" s="17"/>
      <c r="K756" s="17"/>
      <c r="L756" s="15"/>
      <c r="M756" s="15"/>
      <c r="N756" s="15"/>
      <c r="O756" s="15"/>
      <c r="P756" s="15"/>
      <c r="Q756" s="15"/>
      <c r="R756" s="15"/>
      <c r="S756" s="15"/>
      <c r="T756" s="15"/>
      <c r="U756" s="15"/>
      <c r="V756" s="15"/>
      <c r="W756" s="15"/>
      <c r="X756" s="15"/>
      <c r="Y756" s="15"/>
      <c r="Z756" s="15"/>
    </row>
    <row r="757" spans="1:26" x14ac:dyDescent="0.3">
      <c r="A757" s="17"/>
      <c r="B757" s="17"/>
      <c r="C757" s="27" t="s">
        <v>1368</v>
      </c>
      <c r="D757" s="17"/>
      <c r="E757" s="17"/>
      <c r="F757" s="17"/>
      <c r="G757" s="17"/>
      <c r="H757" s="17"/>
      <c r="I757" s="17"/>
      <c r="J757" s="17"/>
      <c r="K757" s="17"/>
      <c r="L757" s="15"/>
      <c r="M757" s="15"/>
      <c r="N757" s="15"/>
      <c r="O757" s="15"/>
      <c r="P757" s="15"/>
      <c r="Q757" s="15"/>
      <c r="R757" s="15"/>
      <c r="S757" s="15"/>
      <c r="T757" s="15"/>
      <c r="U757" s="15"/>
      <c r="V757" s="15"/>
      <c r="W757" s="15"/>
      <c r="X757" s="15"/>
      <c r="Y757" s="15"/>
      <c r="Z757" s="15"/>
    </row>
    <row r="758" spans="1:26" x14ac:dyDescent="0.3">
      <c r="A758" s="17"/>
      <c r="B758" s="17"/>
      <c r="C758" s="27" t="s">
        <v>1369</v>
      </c>
      <c r="D758" s="17"/>
      <c r="E758" s="17"/>
      <c r="F758" s="17"/>
      <c r="G758" s="17"/>
      <c r="H758" s="17"/>
      <c r="I758" s="17"/>
      <c r="J758" s="17"/>
      <c r="K758" s="17"/>
      <c r="L758" s="15"/>
      <c r="M758" s="15"/>
      <c r="N758" s="15"/>
      <c r="O758" s="15"/>
      <c r="P758" s="15"/>
      <c r="Q758" s="15"/>
      <c r="R758" s="15"/>
      <c r="S758" s="15"/>
      <c r="T758" s="15"/>
      <c r="U758" s="15"/>
      <c r="V758" s="15"/>
      <c r="W758" s="15"/>
      <c r="X758" s="15"/>
      <c r="Y758" s="15"/>
      <c r="Z758" s="15"/>
    </row>
    <row r="759" spans="1:26" x14ac:dyDescent="0.3">
      <c r="A759" s="17"/>
      <c r="B759" s="17"/>
      <c r="C759" s="17"/>
      <c r="D759" s="17"/>
      <c r="E759" s="17"/>
      <c r="F759" s="17"/>
      <c r="G759" s="17"/>
      <c r="H759" s="17"/>
      <c r="I759" s="17"/>
      <c r="J759" s="17"/>
      <c r="K759" s="17"/>
      <c r="L759" s="15"/>
      <c r="M759" s="15"/>
      <c r="N759" s="15"/>
      <c r="O759" s="15"/>
      <c r="P759" s="15"/>
      <c r="Q759" s="15"/>
      <c r="R759" s="15"/>
      <c r="S759" s="15"/>
      <c r="T759" s="15"/>
      <c r="U759" s="15"/>
      <c r="V759" s="15"/>
      <c r="W759" s="15"/>
      <c r="X759" s="15"/>
      <c r="Y759" s="15"/>
      <c r="Z759" s="15"/>
    </row>
    <row r="760" spans="1:26" x14ac:dyDescent="0.3">
      <c r="A760" s="36">
        <v>1.3</v>
      </c>
      <c r="B760" s="35" t="s">
        <v>1370</v>
      </c>
      <c r="C760" s="35" t="s">
        <v>1371</v>
      </c>
      <c r="D760" s="26" t="s">
        <v>1372</v>
      </c>
      <c r="E760" s="26"/>
      <c r="F760" s="24">
        <v>2</v>
      </c>
      <c r="G760" s="24"/>
      <c r="H760" s="24"/>
      <c r="I760" s="24"/>
      <c r="J760" s="24"/>
      <c r="K760" s="24"/>
      <c r="L760" s="15"/>
      <c r="M760" s="15"/>
      <c r="N760" s="15"/>
      <c r="O760" s="15"/>
      <c r="P760" s="15"/>
      <c r="Q760" s="15"/>
      <c r="R760" s="15"/>
      <c r="S760" s="15"/>
      <c r="T760" s="15"/>
      <c r="U760" s="15"/>
      <c r="V760" s="15"/>
      <c r="W760" s="15"/>
      <c r="X760" s="15"/>
      <c r="Y760" s="15"/>
      <c r="Z760" s="15"/>
    </row>
    <row r="761" spans="1:26" x14ac:dyDescent="0.3">
      <c r="A761" s="17"/>
      <c r="B761" s="17"/>
      <c r="C761" s="27" t="s">
        <v>1373</v>
      </c>
      <c r="D761" s="17"/>
      <c r="E761" s="17"/>
      <c r="F761" s="17"/>
      <c r="G761" s="17"/>
      <c r="H761" s="17"/>
      <c r="I761" s="17"/>
      <c r="J761" s="17"/>
      <c r="K761" s="17"/>
      <c r="L761" s="15"/>
      <c r="M761" s="15"/>
      <c r="N761" s="15"/>
      <c r="O761" s="15"/>
      <c r="P761" s="15"/>
      <c r="Q761" s="15"/>
      <c r="R761" s="15"/>
      <c r="S761" s="15"/>
      <c r="T761" s="15"/>
      <c r="U761" s="15"/>
      <c r="V761" s="15"/>
      <c r="W761" s="15"/>
      <c r="X761" s="15"/>
      <c r="Y761" s="15"/>
      <c r="Z761" s="15"/>
    </row>
    <row r="762" spans="1:26" x14ac:dyDescent="0.3">
      <c r="A762" s="17"/>
      <c r="B762" s="17"/>
      <c r="C762" s="17"/>
      <c r="D762" s="17"/>
      <c r="E762" s="17"/>
      <c r="F762" s="17"/>
      <c r="G762" s="17"/>
      <c r="H762" s="17"/>
      <c r="I762" s="17"/>
      <c r="J762" s="17"/>
      <c r="K762" s="17"/>
      <c r="L762" s="15"/>
      <c r="M762" s="15"/>
      <c r="N762" s="15"/>
      <c r="O762" s="15"/>
      <c r="P762" s="15"/>
      <c r="Q762" s="15"/>
      <c r="R762" s="15"/>
      <c r="S762" s="15"/>
      <c r="T762" s="15"/>
      <c r="U762" s="15"/>
      <c r="V762" s="15"/>
      <c r="W762" s="15"/>
      <c r="X762" s="15"/>
      <c r="Y762" s="15"/>
      <c r="Z762" s="15"/>
    </row>
    <row r="763" spans="1:26" x14ac:dyDescent="0.3">
      <c r="A763" s="37">
        <v>2</v>
      </c>
      <c r="B763" s="17"/>
      <c r="C763" s="35" t="s">
        <v>1374</v>
      </c>
      <c r="D763" s="17"/>
      <c r="E763" s="17"/>
      <c r="F763" s="17"/>
      <c r="G763" s="17"/>
      <c r="H763" s="17"/>
      <c r="I763" s="17"/>
      <c r="J763" s="17"/>
      <c r="K763" s="17"/>
      <c r="L763" s="15"/>
      <c r="M763" s="15"/>
      <c r="N763" s="15"/>
      <c r="O763" s="15"/>
      <c r="P763" s="15"/>
      <c r="Q763" s="15"/>
      <c r="R763" s="15"/>
      <c r="S763" s="15"/>
      <c r="T763" s="15"/>
      <c r="U763" s="15"/>
      <c r="V763" s="15"/>
      <c r="W763" s="15"/>
      <c r="X763" s="15"/>
      <c r="Y763" s="15"/>
      <c r="Z763" s="15"/>
    </row>
    <row r="764" spans="1:26" x14ac:dyDescent="0.3">
      <c r="A764" s="36">
        <v>2.1</v>
      </c>
      <c r="B764" s="35" t="s">
        <v>1375</v>
      </c>
      <c r="C764" s="35" t="s">
        <v>1376</v>
      </c>
      <c r="D764" s="26" t="s">
        <v>1377</v>
      </c>
      <c r="E764" s="26"/>
      <c r="F764" s="24">
        <v>1</v>
      </c>
      <c r="G764" s="24"/>
      <c r="H764" s="24"/>
      <c r="I764" s="24"/>
      <c r="J764" s="24"/>
      <c r="K764" s="24"/>
      <c r="L764" s="15"/>
      <c r="M764" s="15"/>
      <c r="N764" s="15"/>
      <c r="O764" s="15"/>
      <c r="P764" s="15"/>
      <c r="Q764" s="15"/>
      <c r="R764" s="15"/>
      <c r="S764" s="15"/>
      <c r="T764" s="15"/>
      <c r="U764" s="15"/>
      <c r="V764" s="15"/>
      <c r="W764" s="15"/>
      <c r="X764" s="15"/>
      <c r="Y764" s="15"/>
      <c r="Z764" s="15"/>
    </row>
    <row r="765" spans="1:26" x14ac:dyDescent="0.3">
      <c r="A765" s="17"/>
      <c r="B765" s="17"/>
      <c r="C765" s="27" t="s">
        <v>1378</v>
      </c>
      <c r="D765" s="17"/>
      <c r="E765" s="17"/>
      <c r="F765" s="17"/>
      <c r="G765" s="17"/>
      <c r="H765" s="17"/>
      <c r="I765" s="17"/>
      <c r="J765" s="17"/>
      <c r="K765" s="17"/>
      <c r="L765" s="15"/>
      <c r="M765" s="15"/>
      <c r="N765" s="15"/>
      <c r="O765" s="15"/>
      <c r="P765" s="15"/>
      <c r="Q765" s="15"/>
      <c r="R765" s="15"/>
      <c r="S765" s="15"/>
      <c r="T765" s="15"/>
      <c r="U765" s="15"/>
      <c r="V765" s="15"/>
      <c r="W765" s="15"/>
      <c r="X765" s="15"/>
      <c r="Y765" s="15"/>
      <c r="Z765" s="15"/>
    </row>
    <row r="766" spans="1:26" x14ac:dyDescent="0.3">
      <c r="A766" s="17"/>
      <c r="B766" s="17"/>
      <c r="C766" s="17" t="s">
        <v>1379</v>
      </c>
      <c r="D766" s="17"/>
      <c r="E766" s="17"/>
      <c r="F766" s="17"/>
      <c r="G766" s="17"/>
      <c r="H766" s="17"/>
      <c r="I766" s="17"/>
      <c r="J766" s="17"/>
      <c r="K766" s="17"/>
      <c r="L766" s="15"/>
      <c r="M766" s="15"/>
      <c r="N766" s="15"/>
      <c r="O766" s="15"/>
      <c r="P766" s="15"/>
      <c r="Q766" s="15"/>
      <c r="R766" s="15"/>
      <c r="S766" s="15"/>
      <c r="T766" s="15"/>
      <c r="U766" s="15"/>
      <c r="V766" s="15"/>
      <c r="W766" s="15"/>
      <c r="X766" s="15"/>
      <c r="Y766" s="15"/>
      <c r="Z766" s="15"/>
    </row>
    <row r="767" spans="1:26" x14ac:dyDescent="0.3">
      <c r="A767" s="17"/>
      <c r="B767" s="17"/>
      <c r="C767" s="17"/>
      <c r="D767" s="17"/>
      <c r="E767" s="17"/>
      <c r="F767" s="17"/>
      <c r="G767" s="17"/>
      <c r="H767" s="17"/>
      <c r="I767" s="17"/>
      <c r="J767" s="17"/>
      <c r="K767" s="17"/>
      <c r="L767" s="15"/>
      <c r="M767" s="15"/>
      <c r="N767" s="15"/>
      <c r="O767" s="15"/>
      <c r="P767" s="15"/>
      <c r="Q767" s="15"/>
      <c r="R767" s="15"/>
      <c r="S767" s="15"/>
      <c r="T767" s="15"/>
      <c r="U767" s="15"/>
      <c r="V767" s="15"/>
      <c r="W767" s="15"/>
      <c r="X767" s="15"/>
      <c r="Y767" s="15"/>
      <c r="Z767" s="15"/>
    </row>
    <row r="768" spans="1:26" x14ac:dyDescent="0.3">
      <c r="A768" s="36">
        <v>2.2000000000000002</v>
      </c>
      <c r="B768" s="39" t="s">
        <v>1380</v>
      </c>
      <c r="C768" s="40" t="s">
        <v>1381</v>
      </c>
      <c r="D768" s="26" t="s">
        <v>1382</v>
      </c>
      <c r="E768" s="26"/>
      <c r="F768" s="24">
        <v>1</v>
      </c>
      <c r="G768" s="24"/>
      <c r="H768" s="24"/>
      <c r="I768" s="24"/>
      <c r="J768" s="24"/>
      <c r="K768" s="24"/>
      <c r="L768" s="15"/>
      <c r="M768" s="15"/>
      <c r="N768" s="15"/>
      <c r="O768" s="15"/>
      <c r="P768" s="15"/>
      <c r="Q768" s="15"/>
      <c r="R768" s="15"/>
      <c r="S768" s="15"/>
      <c r="T768" s="15"/>
      <c r="U768" s="15"/>
      <c r="V768" s="15"/>
      <c r="W768" s="15"/>
      <c r="X768" s="15"/>
      <c r="Y768" s="15"/>
      <c r="Z768" s="15"/>
    </row>
    <row r="769" spans="1:26" x14ac:dyDescent="0.3">
      <c r="A769" s="17"/>
      <c r="B769" s="17"/>
      <c r="C769" s="41" t="s">
        <v>1383</v>
      </c>
      <c r="D769" s="17"/>
      <c r="E769" s="17"/>
      <c r="F769" s="17"/>
      <c r="G769" s="17"/>
      <c r="H769" s="17"/>
      <c r="I769" s="17"/>
      <c r="J769" s="17"/>
      <c r="K769" s="17"/>
      <c r="L769" s="15"/>
      <c r="M769" s="15"/>
      <c r="N769" s="15"/>
      <c r="O769" s="15"/>
      <c r="P769" s="15"/>
      <c r="Q769" s="15"/>
      <c r="R769" s="15"/>
      <c r="S769" s="15"/>
      <c r="T769" s="15"/>
      <c r="U769" s="15"/>
      <c r="V769" s="15"/>
      <c r="W769" s="15"/>
      <c r="X769" s="15"/>
      <c r="Y769" s="15"/>
      <c r="Z769" s="15"/>
    </row>
    <row r="770" spans="1:26" x14ac:dyDescent="0.3">
      <c r="A770" s="17"/>
      <c r="B770" s="17"/>
      <c r="C770" s="17"/>
      <c r="D770" s="17"/>
      <c r="E770" s="17"/>
      <c r="F770" s="17"/>
      <c r="G770" s="17"/>
      <c r="H770" s="17"/>
      <c r="I770" s="17"/>
      <c r="J770" s="17"/>
      <c r="K770" s="17"/>
      <c r="L770" s="15"/>
      <c r="M770" s="15"/>
      <c r="N770" s="15"/>
      <c r="O770" s="15"/>
      <c r="P770" s="15"/>
      <c r="Q770" s="15"/>
      <c r="R770" s="15"/>
      <c r="S770" s="15"/>
      <c r="T770" s="15"/>
      <c r="U770" s="15"/>
      <c r="V770" s="15"/>
      <c r="W770" s="15"/>
      <c r="X770" s="15"/>
      <c r="Y770" s="15"/>
      <c r="Z770" s="15"/>
    </row>
    <row r="771" spans="1:26" x14ac:dyDescent="0.3">
      <c r="A771" s="36">
        <v>2.2999999999999998</v>
      </c>
      <c r="B771" s="35" t="s">
        <v>1384</v>
      </c>
      <c r="C771" s="35" t="s">
        <v>1385</v>
      </c>
      <c r="D771" s="26" t="s">
        <v>1386</v>
      </c>
      <c r="E771" s="26"/>
      <c r="F771" s="24">
        <v>1</v>
      </c>
      <c r="G771" s="24"/>
      <c r="H771" s="24"/>
      <c r="I771" s="24"/>
      <c r="J771" s="24"/>
      <c r="K771" s="24"/>
      <c r="L771" s="15"/>
      <c r="M771" s="15"/>
      <c r="N771" s="15"/>
      <c r="O771" s="15"/>
      <c r="P771" s="15"/>
      <c r="Q771" s="15"/>
      <c r="R771" s="15"/>
      <c r="S771" s="15"/>
      <c r="T771" s="15"/>
      <c r="U771" s="15"/>
      <c r="V771" s="15"/>
      <c r="W771" s="15"/>
      <c r="X771" s="15"/>
      <c r="Y771" s="15"/>
      <c r="Z771" s="15"/>
    </row>
    <row r="772" spans="1:26" x14ac:dyDescent="0.3">
      <c r="A772" s="17"/>
      <c r="B772" s="17"/>
      <c r="C772" s="17" t="s">
        <v>1387</v>
      </c>
      <c r="D772" s="17"/>
      <c r="E772" s="17"/>
      <c r="F772" s="17"/>
      <c r="G772" s="17"/>
      <c r="H772" s="17"/>
      <c r="I772" s="17"/>
      <c r="J772" s="17"/>
      <c r="K772" s="17"/>
      <c r="L772" s="15"/>
      <c r="M772" s="15"/>
      <c r="N772" s="15"/>
      <c r="O772" s="15"/>
      <c r="P772" s="15"/>
      <c r="Q772" s="15"/>
      <c r="R772" s="15"/>
      <c r="S772" s="15"/>
      <c r="T772" s="15"/>
      <c r="U772" s="15"/>
      <c r="V772" s="15"/>
      <c r="W772" s="15"/>
      <c r="X772" s="15"/>
      <c r="Y772" s="15"/>
      <c r="Z772" s="15"/>
    </row>
    <row r="773" spans="1:26" x14ac:dyDescent="0.3">
      <c r="A773" s="17"/>
      <c r="B773" s="17"/>
      <c r="C773" s="17"/>
      <c r="D773" s="17"/>
      <c r="E773" s="17"/>
      <c r="F773" s="17"/>
      <c r="G773" s="17"/>
      <c r="H773" s="17"/>
      <c r="I773" s="17"/>
      <c r="J773" s="17"/>
      <c r="K773" s="17"/>
      <c r="L773" s="15"/>
      <c r="M773" s="15"/>
      <c r="N773" s="15"/>
      <c r="O773" s="15"/>
      <c r="P773" s="15"/>
      <c r="Q773" s="15"/>
      <c r="R773" s="15"/>
      <c r="S773" s="15"/>
      <c r="T773" s="15"/>
      <c r="U773" s="15"/>
      <c r="V773" s="15"/>
      <c r="W773" s="15"/>
      <c r="X773" s="15"/>
      <c r="Y773" s="15"/>
      <c r="Z773" s="15"/>
    </row>
    <row r="774" spans="1:26" x14ac:dyDescent="0.3">
      <c r="A774" s="37">
        <v>3</v>
      </c>
      <c r="B774" s="17"/>
      <c r="C774" s="35" t="s">
        <v>1388</v>
      </c>
      <c r="D774" s="17"/>
      <c r="E774" s="17"/>
      <c r="F774" s="17"/>
      <c r="G774" s="17"/>
      <c r="H774" s="17"/>
      <c r="I774" s="17"/>
      <c r="J774" s="17"/>
      <c r="K774" s="17"/>
      <c r="L774" s="15"/>
      <c r="M774" s="15"/>
      <c r="N774" s="15"/>
      <c r="O774" s="15"/>
      <c r="P774" s="15"/>
      <c r="Q774" s="15"/>
      <c r="R774" s="15"/>
      <c r="S774" s="15"/>
      <c r="T774" s="15"/>
      <c r="U774" s="15"/>
      <c r="V774" s="15"/>
      <c r="W774" s="15"/>
      <c r="X774" s="15"/>
      <c r="Y774" s="15"/>
      <c r="Z774" s="15"/>
    </row>
    <row r="775" spans="1:26" x14ac:dyDescent="0.3">
      <c r="A775" s="42">
        <v>3.1</v>
      </c>
      <c r="B775" s="39" t="s">
        <v>1389</v>
      </c>
      <c r="C775" s="35" t="s">
        <v>1390</v>
      </c>
      <c r="D775" s="26" t="s">
        <v>1391</v>
      </c>
      <c r="E775" s="26"/>
      <c r="F775" s="24">
        <v>1657</v>
      </c>
      <c r="G775" s="24"/>
      <c r="H775" s="24"/>
      <c r="I775" s="24"/>
      <c r="J775" s="24"/>
      <c r="K775" s="24"/>
      <c r="L775" s="15"/>
      <c r="M775" s="15"/>
      <c r="N775" s="15"/>
      <c r="O775" s="15"/>
      <c r="P775" s="15"/>
      <c r="Q775" s="15"/>
      <c r="R775" s="15"/>
      <c r="S775" s="15"/>
      <c r="T775" s="15"/>
      <c r="U775" s="15"/>
      <c r="V775" s="15"/>
      <c r="W775" s="15"/>
      <c r="X775" s="15"/>
      <c r="Y775" s="15"/>
      <c r="Z775" s="15"/>
    </row>
    <row r="776" spans="1:26" x14ac:dyDescent="0.3">
      <c r="A776" s="17"/>
      <c r="B776" s="17"/>
      <c r="C776" s="17" t="s">
        <v>1392</v>
      </c>
      <c r="D776" s="17"/>
      <c r="E776" s="17"/>
      <c r="F776" s="17"/>
      <c r="G776" s="17"/>
      <c r="H776" s="17"/>
      <c r="I776" s="17"/>
      <c r="J776" s="17"/>
      <c r="K776" s="17"/>
      <c r="L776" s="15"/>
      <c r="M776" s="15"/>
      <c r="N776" s="15"/>
      <c r="O776" s="15"/>
      <c r="P776" s="15"/>
      <c r="Q776" s="15"/>
      <c r="R776" s="15"/>
      <c r="S776" s="15"/>
      <c r="T776" s="15"/>
      <c r="U776" s="15"/>
      <c r="V776" s="15"/>
      <c r="W776" s="15"/>
      <c r="X776" s="15"/>
      <c r="Y776" s="15"/>
      <c r="Z776" s="15"/>
    </row>
    <row r="777" spans="1:26" x14ac:dyDescent="0.3">
      <c r="A777" s="36">
        <v>3.2</v>
      </c>
      <c r="B777" s="39" t="s">
        <v>1393</v>
      </c>
      <c r="C777" s="35" t="s">
        <v>1394</v>
      </c>
      <c r="D777" s="26" t="s">
        <v>1395</v>
      </c>
      <c r="E777" s="26"/>
      <c r="F777" s="24">
        <v>1540</v>
      </c>
      <c r="G777" s="24"/>
      <c r="H777" s="24"/>
      <c r="I777" s="24"/>
      <c r="J777" s="24"/>
      <c r="K777" s="24"/>
      <c r="L777" s="15"/>
      <c r="M777" s="15"/>
      <c r="N777" s="15"/>
      <c r="O777" s="15"/>
      <c r="P777" s="15"/>
      <c r="Q777" s="15"/>
      <c r="R777" s="15"/>
      <c r="S777" s="15"/>
      <c r="T777" s="15"/>
      <c r="U777" s="15"/>
      <c r="V777" s="15"/>
      <c r="W777" s="15"/>
      <c r="X777" s="15"/>
      <c r="Y777" s="15"/>
      <c r="Z777" s="15"/>
    </row>
    <row r="778" spans="1:26" x14ac:dyDescent="0.3">
      <c r="A778" s="17"/>
      <c r="B778" s="17"/>
      <c r="C778" s="17" t="s">
        <v>1396</v>
      </c>
      <c r="D778" s="17"/>
      <c r="E778" s="17"/>
      <c r="F778" s="17"/>
      <c r="G778" s="17"/>
      <c r="H778" s="17"/>
      <c r="I778" s="17"/>
      <c r="J778" s="17"/>
      <c r="K778" s="17"/>
      <c r="L778" s="15"/>
      <c r="M778" s="15"/>
      <c r="N778" s="15"/>
      <c r="O778" s="15"/>
      <c r="P778" s="15"/>
      <c r="Q778" s="15"/>
      <c r="R778" s="15"/>
      <c r="S778" s="15"/>
      <c r="T778" s="15"/>
      <c r="U778" s="15"/>
      <c r="V778" s="15"/>
      <c r="W778" s="15"/>
      <c r="X778" s="15"/>
      <c r="Y778" s="15"/>
      <c r="Z778" s="15"/>
    </row>
    <row r="779" spans="1:26" x14ac:dyDescent="0.3">
      <c r="A779" s="17"/>
      <c r="B779" s="17"/>
      <c r="C779" s="17"/>
      <c r="D779" s="17"/>
      <c r="E779" s="17"/>
      <c r="F779" s="17"/>
      <c r="G779" s="17"/>
      <c r="H779" s="17"/>
      <c r="I779" s="17"/>
      <c r="J779" s="17"/>
      <c r="K779" s="17"/>
      <c r="L779" s="15"/>
      <c r="M779" s="15"/>
      <c r="N779" s="15"/>
      <c r="O779" s="15"/>
      <c r="P779" s="15"/>
      <c r="Q779" s="15"/>
      <c r="R779" s="15"/>
      <c r="S779" s="15"/>
      <c r="T779" s="15"/>
      <c r="U779" s="15"/>
      <c r="V779" s="15"/>
      <c r="W779" s="15"/>
      <c r="X779" s="15"/>
      <c r="Y779" s="15"/>
      <c r="Z779" s="15"/>
    </row>
    <row r="780" spans="1:26" x14ac:dyDescent="0.3">
      <c r="A780" s="36">
        <v>3.3</v>
      </c>
      <c r="B780" s="39" t="s">
        <v>1397</v>
      </c>
      <c r="C780" s="35" t="s">
        <v>1398</v>
      </c>
      <c r="D780" s="26" t="s">
        <v>1399</v>
      </c>
      <c r="E780" s="26"/>
      <c r="F780" s="24">
        <v>45</v>
      </c>
      <c r="G780" s="24"/>
      <c r="H780" s="24"/>
      <c r="I780" s="24"/>
      <c r="J780" s="24"/>
      <c r="K780" s="24"/>
      <c r="L780" s="15"/>
      <c r="M780" s="15"/>
      <c r="N780" s="15"/>
      <c r="O780" s="15"/>
      <c r="P780" s="15"/>
      <c r="Q780" s="15"/>
      <c r="R780" s="15"/>
      <c r="S780" s="15"/>
      <c r="T780" s="15"/>
      <c r="U780" s="15"/>
      <c r="V780" s="15"/>
      <c r="W780" s="15"/>
      <c r="X780" s="15"/>
      <c r="Y780" s="15"/>
      <c r="Z780" s="15"/>
    </row>
    <row r="781" spans="1:26" x14ac:dyDescent="0.3">
      <c r="A781" s="17"/>
      <c r="B781" s="17"/>
      <c r="C781" s="27" t="s">
        <v>1400</v>
      </c>
      <c r="D781" s="17"/>
      <c r="E781" s="17"/>
      <c r="F781" s="17"/>
      <c r="G781" s="17"/>
      <c r="H781" s="17"/>
      <c r="I781" s="17"/>
      <c r="J781" s="17"/>
      <c r="K781" s="17"/>
      <c r="L781" s="15"/>
      <c r="M781" s="15"/>
      <c r="N781" s="15"/>
      <c r="O781" s="15"/>
      <c r="P781" s="15"/>
      <c r="Q781" s="15"/>
      <c r="R781" s="15"/>
      <c r="S781" s="15"/>
      <c r="T781" s="15"/>
      <c r="U781" s="15"/>
      <c r="V781" s="15"/>
      <c r="W781" s="15"/>
      <c r="X781" s="15"/>
      <c r="Y781" s="15"/>
      <c r="Z781" s="15"/>
    </row>
    <row r="782" spans="1:26" x14ac:dyDescent="0.3">
      <c r="A782" s="17"/>
      <c r="B782" s="17"/>
      <c r="C782" s="17"/>
      <c r="D782" s="17"/>
      <c r="E782" s="17"/>
      <c r="F782" s="17"/>
      <c r="G782" s="17"/>
      <c r="H782" s="17"/>
      <c r="I782" s="17"/>
      <c r="J782" s="17"/>
      <c r="K782" s="17"/>
      <c r="L782" s="15"/>
      <c r="M782" s="15"/>
      <c r="N782" s="15"/>
      <c r="O782" s="15"/>
      <c r="P782" s="15"/>
      <c r="Q782" s="15"/>
      <c r="R782" s="15"/>
      <c r="S782" s="15"/>
      <c r="T782" s="15"/>
      <c r="U782" s="15"/>
      <c r="V782" s="15"/>
      <c r="W782" s="15"/>
      <c r="X782" s="15"/>
      <c r="Y782" s="15"/>
      <c r="Z782" s="15"/>
    </row>
    <row r="783" spans="1:26" x14ac:dyDescent="0.3">
      <c r="A783" s="36">
        <v>3.4</v>
      </c>
      <c r="B783" s="35" t="s">
        <v>1401</v>
      </c>
      <c r="C783" s="35" t="s">
        <v>1402</v>
      </c>
      <c r="D783" s="26" t="s">
        <v>1403</v>
      </c>
      <c r="E783" s="26"/>
      <c r="F783" s="24">
        <v>1540</v>
      </c>
      <c r="G783" s="24"/>
      <c r="H783" s="24"/>
      <c r="I783" s="24"/>
      <c r="J783" s="24"/>
      <c r="K783" s="24"/>
      <c r="L783" s="15"/>
      <c r="M783" s="15"/>
      <c r="N783" s="15"/>
      <c r="O783" s="15"/>
      <c r="P783" s="15"/>
      <c r="Q783" s="15"/>
      <c r="R783" s="15"/>
      <c r="S783" s="15"/>
      <c r="T783" s="15"/>
      <c r="U783" s="15"/>
      <c r="V783" s="15"/>
      <c r="W783" s="15"/>
      <c r="X783" s="15"/>
      <c r="Y783" s="15"/>
      <c r="Z783" s="15"/>
    </row>
    <row r="784" spans="1:26" x14ac:dyDescent="0.3">
      <c r="A784" s="17"/>
      <c r="B784" s="17"/>
      <c r="C784" s="17" t="s">
        <v>1404</v>
      </c>
      <c r="D784" s="17"/>
      <c r="E784" s="17"/>
      <c r="F784" s="17"/>
      <c r="G784" s="17"/>
      <c r="H784" s="17"/>
      <c r="I784" s="17"/>
      <c r="J784" s="17"/>
      <c r="K784" s="17"/>
      <c r="L784" s="15"/>
      <c r="M784" s="15"/>
      <c r="N784" s="15"/>
      <c r="O784" s="15"/>
      <c r="P784" s="15"/>
      <c r="Q784" s="15"/>
      <c r="R784" s="15"/>
      <c r="S784" s="15"/>
      <c r="T784" s="15"/>
      <c r="U784" s="15"/>
      <c r="V784" s="15"/>
      <c r="W784" s="15"/>
      <c r="X784" s="15"/>
      <c r="Y784" s="15"/>
      <c r="Z784" s="15"/>
    </row>
    <row r="785" spans="1:26" x14ac:dyDescent="0.3">
      <c r="A785" s="17"/>
      <c r="B785" s="17"/>
      <c r="C785" s="17"/>
      <c r="D785" s="17"/>
      <c r="E785" s="17"/>
      <c r="F785" s="17"/>
      <c r="G785" s="17"/>
      <c r="H785" s="17"/>
      <c r="I785" s="17"/>
      <c r="J785" s="17"/>
      <c r="K785" s="17"/>
      <c r="L785" s="15"/>
      <c r="M785" s="15"/>
      <c r="N785" s="15"/>
      <c r="O785" s="15"/>
      <c r="P785" s="15"/>
      <c r="Q785" s="15"/>
      <c r="R785" s="15"/>
      <c r="S785" s="15"/>
      <c r="T785" s="15"/>
      <c r="U785" s="15"/>
      <c r="V785" s="15"/>
      <c r="W785" s="15"/>
      <c r="X785" s="15"/>
      <c r="Y785" s="15"/>
      <c r="Z785" s="15"/>
    </row>
    <row r="786" spans="1:26" x14ac:dyDescent="0.3">
      <c r="A786" s="36">
        <v>3.5</v>
      </c>
      <c r="B786" s="39" t="s">
        <v>1405</v>
      </c>
      <c r="C786" s="35" t="s">
        <v>1406</v>
      </c>
      <c r="D786" s="26" t="s">
        <v>1407</v>
      </c>
      <c r="E786" s="26"/>
      <c r="F786" s="24">
        <v>2</v>
      </c>
      <c r="G786" s="24"/>
      <c r="H786" s="24"/>
      <c r="I786" s="24"/>
      <c r="J786" s="24"/>
      <c r="K786" s="24"/>
      <c r="L786" s="15"/>
      <c r="M786" s="15"/>
      <c r="N786" s="15"/>
      <c r="O786" s="15"/>
      <c r="P786" s="15"/>
      <c r="Q786" s="15"/>
      <c r="R786" s="15"/>
      <c r="S786" s="15"/>
      <c r="T786" s="15"/>
      <c r="U786" s="15"/>
      <c r="V786" s="15"/>
      <c r="W786" s="15"/>
      <c r="X786" s="15"/>
      <c r="Y786" s="15"/>
      <c r="Z786" s="15"/>
    </row>
    <row r="787" spans="1:26" x14ac:dyDescent="0.3">
      <c r="A787" s="17"/>
      <c r="B787" s="17"/>
      <c r="C787" s="17" t="s">
        <v>1408</v>
      </c>
      <c r="D787" s="17"/>
      <c r="E787" s="17"/>
      <c r="F787" s="17"/>
      <c r="G787" s="17"/>
      <c r="H787" s="17"/>
      <c r="I787" s="17"/>
      <c r="J787" s="17"/>
      <c r="K787" s="17"/>
      <c r="L787" s="15"/>
      <c r="M787" s="15"/>
      <c r="N787" s="15"/>
      <c r="O787" s="15"/>
      <c r="P787" s="15"/>
      <c r="Q787" s="15"/>
      <c r="R787" s="15"/>
      <c r="S787" s="15"/>
      <c r="T787" s="15"/>
      <c r="U787" s="15"/>
      <c r="V787" s="15"/>
      <c r="W787" s="15"/>
      <c r="X787" s="15"/>
      <c r="Y787" s="15"/>
      <c r="Z787" s="15"/>
    </row>
    <row r="788" spans="1:26" x14ac:dyDescent="0.3">
      <c r="A788" s="17"/>
      <c r="B788" s="17"/>
      <c r="C788" s="17"/>
      <c r="D788" s="17"/>
      <c r="E788" s="17"/>
      <c r="F788" s="17"/>
      <c r="G788" s="17"/>
      <c r="H788" s="17"/>
      <c r="I788" s="17"/>
      <c r="J788" s="17"/>
      <c r="K788" s="17"/>
      <c r="L788" s="15"/>
      <c r="M788" s="15"/>
      <c r="N788" s="15"/>
      <c r="O788" s="15"/>
      <c r="P788" s="15"/>
      <c r="Q788" s="15"/>
      <c r="R788" s="15"/>
      <c r="S788" s="15"/>
      <c r="T788" s="15"/>
      <c r="U788" s="15"/>
      <c r="V788" s="15"/>
      <c r="W788" s="15"/>
      <c r="X788" s="15"/>
      <c r="Y788" s="15"/>
      <c r="Z788" s="15"/>
    </row>
    <row r="789" spans="1:26" x14ac:dyDescent="0.3">
      <c r="A789" s="36">
        <v>3.6</v>
      </c>
      <c r="B789" s="39" t="s">
        <v>1409</v>
      </c>
      <c r="C789" s="35" t="s">
        <v>1410</v>
      </c>
      <c r="D789" s="26" t="s">
        <v>1411</v>
      </c>
      <c r="E789" s="26"/>
      <c r="F789" s="24">
        <v>2</v>
      </c>
      <c r="G789" s="24"/>
      <c r="H789" s="24"/>
      <c r="I789" s="24"/>
      <c r="J789" s="24"/>
      <c r="K789" s="24"/>
      <c r="L789" s="15"/>
      <c r="M789" s="15"/>
      <c r="N789" s="15"/>
      <c r="O789" s="15"/>
      <c r="P789" s="15"/>
      <c r="Q789" s="15"/>
      <c r="R789" s="15"/>
      <c r="S789" s="15"/>
      <c r="T789" s="15"/>
      <c r="U789" s="15"/>
      <c r="V789" s="15"/>
      <c r="W789" s="15"/>
      <c r="X789" s="15"/>
      <c r="Y789" s="15"/>
      <c r="Z789" s="15"/>
    </row>
    <row r="790" spans="1:26" x14ac:dyDescent="0.3">
      <c r="A790" s="17"/>
      <c r="B790" s="17"/>
      <c r="C790" s="17" t="s">
        <v>1412</v>
      </c>
      <c r="D790" s="17"/>
      <c r="E790" s="17"/>
      <c r="F790" s="17"/>
      <c r="G790" s="17"/>
      <c r="H790" s="17"/>
      <c r="I790" s="17"/>
      <c r="J790" s="17"/>
      <c r="K790" s="17"/>
      <c r="L790" s="15"/>
      <c r="M790" s="15"/>
      <c r="N790" s="15"/>
      <c r="O790" s="15"/>
      <c r="P790" s="15"/>
      <c r="Q790" s="15"/>
      <c r="R790" s="15"/>
      <c r="S790" s="15"/>
      <c r="T790" s="15"/>
      <c r="U790" s="15"/>
      <c r="V790" s="15"/>
      <c r="W790" s="15"/>
      <c r="X790" s="15"/>
      <c r="Y790" s="15"/>
      <c r="Z790" s="15"/>
    </row>
    <row r="791" spans="1:26" x14ac:dyDescent="0.3">
      <c r="A791" s="17"/>
      <c r="B791" s="17"/>
      <c r="C791" s="17"/>
      <c r="D791" s="17"/>
      <c r="E791" s="17"/>
      <c r="F791" s="17"/>
      <c r="G791" s="17"/>
      <c r="H791" s="17"/>
      <c r="I791" s="17"/>
      <c r="J791" s="17"/>
      <c r="K791" s="17"/>
      <c r="L791" s="15"/>
      <c r="M791" s="15"/>
      <c r="N791" s="15"/>
      <c r="O791" s="15"/>
      <c r="P791" s="15"/>
      <c r="Q791" s="15"/>
      <c r="R791" s="15"/>
      <c r="S791" s="15"/>
      <c r="T791" s="15"/>
      <c r="U791" s="15"/>
      <c r="V791" s="15"/>
      <c r="W791" s="15"/>
      <c r="X791" s="15"/>
      <c r="Y791" s="15"/>
      <c r="Z791" s="15"/>
    </row>
    <row r="792" spans="1:26" x14ac:dyDescent="0.3">
      <c r="A792" s="37">
        <v>4</v>
      </c>
      <c r="B792" s="39" t="s">
        <v>1413</v>
      </c>
      <c r="C792" s="35" t="s">
        <v>1414</v>
      </c>
      <c r="D792" s="17"/>
      <c r="E792" s="17"/>
      <c r="F792" s="17"/>
      <c r="G792" s="17"/>
      <c r="H792" s="17"/>
      <c r="I792" s="17"/>
      <c r="J792" s="17"/>
      <c r="K792" s="17"/>
      <c r="L792" s="15"/>
      <c r="M792" s="15"/>
      <c r="N792" s="15"/>
      <c r="O792" s="15"/>
      <c r="P792" s="15"/>
      <c r="Q792" s="15"/>
      <c r="R792" s="15"/>
      <c r="S792" s="15"/>
      <c r="T792" s="15"/>
      <c r="U792" s="15"/>
      <c r="V792" s="15"/>
      <c r="W792" s="15"/>
      <c r="X792" s="15"/>
      <c r="Y792" s="15"/>
      <c r="Z792" s="15"/>
    </row>
    <row r="793" spans="1:26" x14ac:dyDescent="0.3">
      <c r="A793" s="36">
        <v>4.0999999999999996</v>
      </c>
      <c r="B793" s="43">
        <v>42794</v>
      </c>
      <c r="C793" s="35" t="s">
        <v>1415</v>
      </c>
      <c r="D793" s="26" t="s">
        <v>1416</v>
      </c>
      <c r="E793" s="26"/>
      <c r="F793" s="24">
        <v>30</v>
      </c>
      <c r="G793" s="24"/>
      <c r="H793" s="24"/>
      <c r="I793" s="24"/>
      <c r="J793" s="24"/>
      <c r="K793" s="24"/>
      <c r="L793" s="15"/>
      <c r="M793" s="15"/>
      <c r="N793" s="15"/>
      <c r="O793" s="15"/>
      <c r="P793" s="15"/>
      <c r="Q793" s="15"/>
      <c r="R793" s="15"/>
      <c r="S793" s="15"/>
      <c r="T793" s="15"/>
      <c r="U793" s="15"/>
      <c r="V793" s="15"/>
      <c r="W793" s="15"/>
      <c r="X793" s="15"/>
      <c r="Y793" s="15"/>
      <c r="Z793" s="15"/>
    </row>
    <row r="794" spans="1:26" x14ac:dyDescent="0.3">
      <c r="A794" s="17"/>
      <c r="B794" s="17"/>
      <c r="C794" s="17" t="s">
        <v>1417</v>
      </c>
      <c r="D794" s="17"/>
      <c r="E794" s="17"/>
      <c r="F794" s="17"/>
      <c r="G794" s="17"/>
      <c r="H794" s="17"/>
      <c r="I794" s="17"/>
      <c r="J794" s="17"/>
      <c r="K794" s="17"/>
      <c r="L794" s="15"/>
      <c r="M794" s="15"/>
      <c r="N794" s="15"/>
      <c r="O794" s="15"/>
      <c r="P794" s="15"/>
      <c r="Q794" s="15"/>
      <c r="R794" s="15"/>
      <c r="S794" s="15"/>
      <c r="T794" s="15"/>
      <c r="U794" s="15"/>
      <c r="V794" s="15"/>
      <c r="W794" s="15"/>
      <c r="X794" s="15"/>
      <c r="Y794" s="15"/>
      <c r="Z794" s="15"/>
    </row>
    <row r="795" spans="1:26" x14ac:dyDescent="0.3">
      <c r="A795" s="17"/>
      <c r="B795" s="17"/>
      <c r="C795" s="17"/>
      <c r="D795" s="17"/>
      <c r="E795" s="17"/>
      <c r="F795" s="17"/>
      <c r="G795" s="17"/>
      <c r="H795" s="17"/>
      <c r="I795" s="17"/>
      <c r="J795" s="17"/>
      <c r="K795" s="17"/>
      <c r="L795" s="15"/>
      <c r="M795" s="15"/>
      <c r="N795" s="15"/>
      <c r="O795" s="15"/>
      <c r="P795" s="15"/>
      <c r="Q795" s="15"/>
      <c r="R795" s="15"/>
      <c r="S795" s="15"/>
      <c r="T795" s="15"/>
      <c r="U795" s="15"/>
      <c r="V795" s="15"/>
      <c r="W795" s="15"/>
      <c r="X795" s="15"/>
      <c r="Y795" s="15"/>
      <c r="Z795" s="15"/>
    </row>
    <row r="796" spans="1:26" x14ac:dyDescent="0.3">
      <c r="A796" s="36">
        <v>4.2</v>
      </c>
      <c r="B796" s="35" t="s">
        <v>1418</v>
      </c>
      <c r="C796" s="35" t="s">
        <v>1419</v>
      </c>
      <c r="D796" s="17"/>
      <c r="E796" s="17"/>
      <c r="F796" s="17"/>
      <c r="G796" s="17"/>
      <c r="H796" s="17"/>
      <c r="I796" s="17"/>
      <c r="J796" s="17"/>
      <c r="K796" s="17"/>
      <c r="L796" s="15"/>
      <c r="M796" s="15"/>
      <c r="N796" s="15"/>
      <c r="O796" s="15"/>
      <c r="P796" s="15"/>
      <c r="Q796" s="15"/>
      <c r="R796" s="15"/>
      <c r="S796" s="15"/>
      <c r="T796" s="15"/>
      <c r="U796" s="15"/>
      <c r="V796" s="15"/>
      <c r="W796" s="15"/>
      <c r="X796" s="15"/>
      <c r="Y796" s="15"/>
      <c r="Z796" s="15"/>
    </row>
    <row r="797" spans="1:26" x14ac:dyDescent="0.3">
      <c r="A797" s="17"/>
      <c r="B797" s="17"/>
      <c r="C797" s="17" t="s">
        <v>1420</v>
      </c>
      <c r="D797" s="17"/>
      <c r="E797" s="17"/>
      <c r="F797" s="17"/>
      <c r="G797" s="17"/>
      <c r="H797" s="17"/>
      <c r="I797" s="17"/>
      <c r="J797" s="17"/>
      <c r="K797" s="17"/>
      <c r="L797" s="15"/>
      <c r="M797" s="15"/>
      <c r="N797" s="15"/>
      <c r="O797" s="15"/>
      <c r="P797" s="15"/>
      <c r="Q797" s="15"/>
      <c r="R797" s="15"/>
      <c r="S797" s="15"/>
      <c r="T797" s="15"/>
      <c r="U797" s="15"/>
      <c r="V797" s="15"/>
      <c r="W797" s="15"/>
      <c r="X797" s="15"/>
      <c r="Y797" s="15"/>
      <c r="Z797" s="15"/>
    </row>
    <row r="798" spans="1:26" x14ac:dyDescent="0.3">
      <c r="A798" s="26" t="s">
        <v>1421</v>
      </c>
      <c r="B798" s="35" t="s">
        <v>1422</v>
      </c>
      <c r="C798" s="27" t="s">
        <v>1423</v>
      </c>
      <c r="D798" s="26" t="s">
        <v>1424</v>
      </c>
      <c r="E798" s="26"/>
      <c r="F798" s="24">
        <v>12</v>
      </c>
      <c r="G798" s="24"/>
      <c r="H798" s="24"/>
      <c r="I798" s="24"/>
      <c r="J798" s="24"/>
      <c r="K798" s="24"/>
      <c r="L798" s="15"/>
      <c r="M798" s="15"/>
      <c r="N798" s="15"/>
      <c r="O798" s="15"/>
      <c r="P798" s="15"/>
      <c r="Q798" s="15"/>
      <c r="R798" s="15"/>
      <c r="S798" s="15"/>
      <c r="T798" s="15"/>
      <c r="U798" s="15"/>
      <c r="V798" s="15"/>
      <c r="W798" s="15"/>
      <c r="X798" s="15"/>
      <c r="Y798" s="15"/>
      <c r="Z798" s="15"/>
    </row>
    <row r="799" spans="1:26" x14ac:dyDescent="0.3">
      <c r="A799" s="26" t="s">
        <v>1425</v>
      </c>
      <c r="B799" s="35" t="s">
        <v>1426</v>
      </c>
      <c r="C799" s="27" t="s">
        <v>1427</v>
      </c>
      <c r="D799" s="26" t="s">
        <v>1428</v>
      </c>
      <c r="E799" s="26"/>
      <c r="F799" s="24">
        <v>21</v>
      </c>
      <c r="G799" s="24"/>
      <c r="H799" s="24"/>
      <c r="I799" s="24"/>
      <c r="J799" s="24"/>
      <c r="K799" s="24"/>
      <c r="L799" s="15"/>
      <c r="M799" s="15"/>
      <c r="N799" s="15"/>
      <c r="O799" s="15"/>
      <c r="P799" s="15"/>
      <c r="Q799" s="15"/>
      <c r="R799" s="15"/>
      <c r="S799" s="15"/>
      <c r="T799" s="15"/>
      <c r="U799" s="15"/>
      <c r="V799" s="15"/>
      <c r="W799" s="15"/>
      <c r="X799" s="15"/>
      <c r="Y799" s="15"/>
      <c r="Z799" s="15"/>
    </row>
    <row r="800" spans="1:26" x14ac:dyDescent="0.3">
      <c r="A800" s="26" t="s">
        <v>1429</v>
      </c>
      <c r="B800" s="35" t="s">
        <v>1430</v>
      </c>
      <c r="C800" s="27" t="s">
        <v>1431</v>
      </c>
      <c r="D800" s="26" t="s">
        <v>1432</v>
      </c>
      <c r="E800" s="26"/>
      <c r="F800" s="24">
        <v>33</v>
      </c>
      <c r="G800" s="24"/>
      <c r="H800" s="24"/>
      <c r="I800" s="24"/>
      <c r="J800" s="24"/>
      <c r="K800" s="24"/>
      <c r="L800" s="15"/>
      <c r="M800" s="15"/>
      <c r="N800" s="15"/>
      <c r="O800" s="15"/>
      <c r="P800" s="15"/>
      <c r="Q800" s="15"/>
      <c r="R800" s="15"/>
      <c r="S800" s="15"/>
      <c r="T800" s="15"/>
      <c r="U800" s="15"/>
      <c r="V800" s="15"/>
      <c r="W800" s="15"/>
      <c r="X800" s="15"/>
      <c r="Y800" s="15"/>
      <c r="Z800" s="15"/>
    </row>
    <row r="801" spans="1:26" x14ac:dyDescent="0.3">
      <c r="A801" s="17"/>
      <c r="B801" s="17"/>
      <c r="C801" s="17"/>
      <c r="D801" s="17"/>
      <c r="E801" s="17"/>
      <c r="F801" s="17"/>
      <c r="G801" s="17"/>
      <c r="H801" s="17"/>
      <c r="I801" s="17"/>
      <c r="J801" s="17"/>
      <c r="K801" s="17"/>
      <c r="L801" s="15"/>
      <c r="M801" s="15"/>
      <c r="N801" s="15"/>
      <c r="O801" s="15"/>
      <c r="P801" s="15"/>
      <c r="Q801" s="15"/>
      <c r="R801" s="15"/>
      <c r="S801" s="15"/>
      <c r="T801" s="15"/>
      <c r="U801" s="15"/>
      <c r="V801" s="15"/>
      <c r="W801" s="15"/>
      <c r="X801" s="15"/>
      <c r="Y801" s="15"/>
      <c r="Z801" s="15"/>
    </row>
    <row r="802" spans="1:26" x14ac:dyDescent="0.3">
      <c r="A802" s="36">
        <v>4.3</v>
      </c>
      <c r="B802" s="39" t="s">
        <v>1433</v>
      </c>
      <c r="C802" s="35" t="s">
        <v>1434</v>
      </c>
      <c r="D802" s="17"/>
      <c r="E802" s="17"/>
      <c r="F802" s="17"/>
      <c r="G802" s="17"/>
      <c r="H802" s="17"/>
      <c r="I802" s="17"/>
      <c r="J802" s="17"/>
      <c r="K802" s="17"/>
      <c r="L802" s="15"/>
      <c r="M802" s="15"/>
      <c r="N802" s="15"/>
      <c r="O802" s="15"/>
      <c r="P802" s="15"/>
      <c r="Q802" s="15"/>
      <c r="R802" s="15"/>
      <c r="S802" s="15"/>
      <c r="T802" s="15"/>
      <c r="U802" s="15"/>
      <c r="V802" s="15"/>
      <c r="W802" s="15"/>
      <c r="X802" s="15"/>
      <c r="Y802" s="15"/>
      <c r="Z802" s="15"/>
    </row>
    <row r="803" spans="1:26" x14ac:dyDescent="0.3">
      <c r="A803" s="17"/>
      <c r="B803" s="17"/>
      <c r="C803" s="17" t="s">
        <v>1435</v>
      </c>
      <c r="D803" s="17"/>
      <c r="E803" s="17"/>
      <c r="F803" s="17"/>
      <c r="G803" s="17"/>
      <c r="H803" s="17"/>
      <c r="I803" s="17"/>
      <c r="J803" s="17"/>
      <c r="K803" s="17"/>
      <c r="L803" s="15"/>
      <c r="M803" s="15"/>
      <c r="N803" s="15"/>
      <c r="O803" s="15"/>
      <c r="P803" s="15"/>
      <c r="Q803" s="15"/>
      <c r="R803" s="15"/>
      <c r="S803" s="15"/>
      <c r="T803" s="15"/>
      <c r="U803" s="15"/>
      <c r="V803" s="15"/>
      <c r="W803" s="15"/>
      <c r="X803" s="15"/>
      <c r="Y803" s="15"/>
      <c r="Z803" s="15"/>
    </row>
    <row r="804" spans="1:26" x14ac:dyDescent="0.3">
      <c r="A804" s="26" t="s">
        <v>1436</v>
      </c>
      <c r="B804" s="17"/>
      <c r="C804" s="27" t="s">
        <v>1437</v>
      </c>
      <c r="D804" s="26" t="s">
        <v>1438</v>
      </c>
      <c r="E804" s="26"/>
      <c r="F804" s="24">
        <v>20</v>
      </c>
      <c r="G804" s="24"/>
      <c r="H804" s="24"/>
      <c r="I804" s="24"/>
      <c r="J804" s="24"/>
      <c r="K804" s="24"/>
      <c r="L804" s="15"/>
      <c r="M804" s="15"/>
      <c r="N804" s="15"/>
      <c r="O804" s="15"/>
      <c r="P804" s="15"/>
      <c r="Q804" s="15"/>
      <c r="R804" s="15"/>
      <c r="S804" s="15"/>
      <c r="T804" s="15"/>
      <c r="U804" s="15"/>
      <c r="V804" s="15"/>
      <c r="W804" s="15"/>
      <c r="X804" s="15"/>
      <c r="Y804" s="15"/>
      <c r="Z804" s="15"/>
    </row>
    <row r="805" spans="1:26" x14ac:dyDescent="0.3">
      <c r="A805" s="26" t="s">
        <v>1439</v>
      </c>
      <c r="B805" s="17"/>
      <c r="C805" s="27" t="s">
        <v>1440</v>
      </c>
      <c r="D805" s="26" t="s">
        <v>1441</v>
      </c>
      <c r="E805" s="26"/>
      <c r="F805" s="24">
        <v>2</v>
      </c>
      <c r="G805" s="24"/>
      <c r="H805" s="24"/>
      <c r="I805" s="24"/>
      <c r="J805" s="24"/>
      <c r="K805" s="24"/>
      <c r="L805" s="15"/>
      <c r="M805" s="15"/>
      <c r="N805" s="15"/>
      <c r="O805" s="15"/>
      <c r="P805" s="15"/>
      <c r="Q805" s="15"/>
      <c r="R805" s="15"/>
      <c r="S805" s="15"/>
      <c r="T805" s="15"/>
      <c r="U805" s="15"/>
      <c r="V805" s="15"/>
      <c r="W805" s="15"/>
      <c r="X805" s="15"/>
      <c r="Y805" s="15"/>
      <c r="Z805" s="15"/>
    </row>
    <row r="806" spans="1:26" x14ac:dyDescent="0.3">
      <c r="A806" s="26" t="s">
        <v>1442</v>
      </c>
      <c r="B806" s="17"/>
      <c r="C806" s="27" t="s">
        <v>1443</v>
      </c>
      <c r="D806" s="26" t="s">
        <v>1444</v>
      </c>
      <c r="E806" s="26"/>
      <c r="F806" s="24">
        <v>2</v>
      </c>
      <c r="G806" s="24"/>
      <c r="H806" s="24"/>
      <c r="I806" s="24"/>
      <c r="J806" s="24"/>
      <c r="K806" s="24"/>
      <c r="L806" s="15"/>
      <c r="M806" s="15"/>
      <c r="N806" s="15"/>
      <c r="O806" s="15"/>
      <c r="P806" s="15"/>
      <c r="Q806" s="15"/>
      <c r="R806" s="15"/>
      <c r="S806" s="15"/>
      <c r="T806" s="15"/>
      <c r="U806" s="15"/>
      <c r="V806" s="15"/>
      <c r="W806" s="15"/>
      <c r="X806" s="15"/>
      <c r="Y806" s="15"/>
      <c r="Z806" s="15"/>
    </row>
    <row r="807" spans="1:26" x14ac:dyDescent="0.3">
      <c r="A807" s="26" t="s">
        <v>1445</v>
      </c>
      <c r="B807" s="17"/>
      <c r="C807" s="27" t="s">
        <v>1446</v>
      </c>
      <c r="D807" s="26" t="s">
        <v>1447</v>
      </c>
      <c r="E807" s="26"/>
      <c r="F807" s="24">
        <v>22</v>
      </c>
      <c r="G807" s="24"/>
      <c r="H807" s="24"/>
      <c r="I807" s="24"/>
      <c r="J807" s="24"/>
      <c r="K807" s="24"/>
      <c r="L807" s="15"/>
      <c r="M807" s="15"/>
      <c r="N807" s="15"/>
      <c r="O807" s="15"/>
      <c r="P807" s="15"/>
      <c r="Q807" s="15"/>
      <c r="R807" s="15"/>
      <c r="S807" s="15"/>
      <c r="T807" s="15"/>
      <c r="U807" s="15"/>
      <c r="V807" s="15"/>
      <c r="W807" s="15"/>
      <c r="X807" s="15"/>
      <c r="Y807" s="15"/>
      <c r="Z807" s="15"/>
    </row>
    <row r="808" spans="1:26" x14ac:dyDescent="0.3">
      <c r="A808" s="17"/>
      <c r="B808" s="17"/>
      <c r="C808" s="17"/>
      <c r="D808" s="17"/>
      <c r="E808" s="17"/>
      <c r="F808" s="17"/>
      <c r="G808" s="17"/>
      <c r="H808" s="17"/>
      <c r="I808" s="17"/>
      <c r="J808" s="17"/>
      <c r="K808" s="17"/>
      <c r="L808" s="15"/>
      <c r="M808" s="15"/>
      <c r="N808" s="15"/>
      <c r="O808" s="15"/>
      <c r="P808" s="15"/>
      <c r="Q808" s="15"/>
      <c r="R808" s="15"/>
      <c r="S808" s="15"/>
      <c r="T808" s="15"/>
      <c r="U808" s="15"/>
      <c r="V808" s="15"/>
      <c r="W808" s="15"/>
      <c r="X808" s="15"/>
      <c r="Y808" s="15"/>
      <c r="Z808" s="15"/>
    </row>
    <row r="809" spans="1:26" x14ac:dyDescent="0.3">
      <c r="A809" s="36">
        <v>4.4000000000000004</v>
      </c>
      <c r="B809" s="17"/>
      <c r="C809" s="35" t="s">
        <v>1448</v>
      </c>
      <c r="D809" s="17"/>
      <c r="E809" s="17"/>
      <c r="F809" s="17"/>
      <c r="G809" s="17"/>
      <c r="H809" s="17"/>
      <c r="I809" s="17"/>
      <c r="J809" s="17"/>
      <c r="K809" s="17"/>
      <c r="L809" s="15"/>
      <c r="M809" s="15"/>
      <c r="N809" s="15"/>
      <c r="O809" s="15"/>
      <c r="P809" s="15"/>
      <c r="Q809" s="15"/>
      <c r="R809" s="15"/>
      <c r="S809" s="15"/>
      <c r="T809" s="15"/>
      <c r="U809" s="15"/>
      <c r="V809" s="15"/>
      <c r="W809" s="15"/>
      <c r="X809" s="15"/>
      <c r="Y809" s="15"/>
      <c r="Z809" s="15"/>
    </row>
    <row r="810" spans="1:26" x14ac:dyDescent="0.3">
      <c r="A810" s="17"/>
      <c r="B810" s="17"/>
      <c r="C810" s="17" t="s">
        <v>1449</v>
      </c>
      <c r="D810" s="17"/>
      <c r="E810" s="17"/>
      <c r="F810" s="17"/>
      <c r="G810" s="17"/>
      <c r="H810" s="17"/>
      <c r="I810" s="17"/>
      <c r="J810" s="17"/>
      <c r="K810" s="17"/>
      <c r="L810" s="15"/>
      <c r="M810" s="15"/>
      <c r="N810" s="15"/>
      <c r="O810" s="15"/>
      <c r="P810" s="15"/>
      <c r="Q810" s="15"/>
      <c r="R810" s="15"/>
      <c r="S810" s="15"/>
      <c r="T810" s="15"/>
      <c r="U810" s="15"/>
      <c r="V810" s="15"/>
      <c r="W810" s="15"/>
      <c r="X810" s="15"/>
      <c r="Y810" s="15"/>
      <c r="Z810" s="15"/>
    </row>
    <row r="811" spans="1:26" x14ac:dyDescent="0.3">
      <c r="A811" s="26" t="s">
        <v>1450</v>
      </c>
      <c r="B811" s="17"/>
      <c r="C811" s="27" t="s">
        <v>1451</v>
      </c>
      <c r="D811" s="26" t="s">
        <v>1452</v>
      </c>
      <c r="E811" s="26"/>
      <c r="F811" s="24">
        <v>26</v>
      </c>
      <c r="G811" s="24"/>
      <c r="H811" s="24"/>
      <c r="I811" s="24"/>
      <c r="J811" s="24"/>
      <c r="K811" s="24"/>
      <c r="L811" s="15"/>
      <c r="M811" s="15"/>
      <c r="N811" s="15"/>
      <c r="O811" s="15"/>
      <c r="P811" s="15"/>
      <c r="Q811" s="15"/>
      <c r="R811" s="15"/>
      <c r="S811" s="15"/>
      <c r="T811" s="15"/>
      <c r="U811" s="15"/>
      <c r="V811" s="15"/>
      <c r="W811" s="15"/>
      <c r="X811" s="15"/>
      <c r="Y811" s="15"/>
      <c r="Z811" s="15"/>
    </row>
    <row r="812" spans="1:26" x14ac:dyDescent="0.3">
      <c r="A812" s="26" t="s">
        <v>1453</v>
      </c>
      <c r="B812" s="17"/>
      <c r="C812" s="27" t="s">
        <v>1454</v>
      </c>
      <c r="D812" s="26" t="s">
        <v>1455</v>
      </c>
      <c r="E812" s="26"/>
      <c r="F812" s="24">
        <v>22</v>
      </c>
      <c r="G812" s="24"/>
      <c r="H812" s="24"/>
      <c r="I812" s="24"/>
      <c r="J812" s="24"/>
      <c r="K812" s="24"/>
      <c r="L812" s="15"/>
      <c r="M812" s="15"/>
      <c r="N812" s="15"/>
      <c r="O812" s="15"/>
      <c r="P812" s="15"/>
      <c r="Q812" s="15"/>
      <c r="R812" s="15"/>
      <c r="S812" s="15"/>
      <c r="T812" s="15"/>
      <c r="U812" s="15"/>
      <c r="V812" s="15"/>
      <c r="W812" s="15"/>
      <c r="X812" s="15"/>
      <c r="Y812" s="15"/>
      <c r="Z812" s="15"/>
    </row>
    <row r="813" spans="1:26" x14ac:dyDescent="0.3">
      <c r="A813" s="26" t="s">
        <v>1456</v>
      </c>
      <c r="B813" s="17"/>
      <c r="C813" s="27" t="s">
        <v>1457</v>
      </c>
      <c r="D813" s="26" t="s">
        <v>1458</v>
      </c>
      <c r="E813" s="26"/>
      <c r="F813" s="24">
        <v>2</v>
      </c>
      <c r="G813" s="24"/>
      <c r="H813" s="24"/>
      <c r="I813" s="24"/>
      <c r="J813" s="24"/>
      <c r="K813" s="24"/>
      <c r="L813" s="15"/>
      <c r="M813" s="15"/>
      <c r="N813" s="15"/>
      <c r="O813" s="15"/>
      <c r="P813" s="15"/>
      <c r="Q813" s="15"/>
      <c r="R813" s="15"/>
      <c r="S813" s="15"/>
      <c r="T813" s="15"/>
      <c r="U813" s="15"/>
      <c r="V813" s="15"/>
      <c r="W813" s="15"/>
      <c r="X813" s="15"/>
      <c r="Y813" s="15"/>
      <c r="Z813" s="15"/>
    </row>
    <row r="814" spans="1:26" x14ac:dyDescent="0.3">
      <c r="A814" s="17"/>
      <c r="B814" s="17"/>
      <c r="C814" s="17"/>
      <c r="D814" s="17"/>
      <c r="E814" s="17"/>
      <c r="F814" s="17"/>
      <c r="G814" s="17"/>
      <c r="H814" s="17"/>
      <c r="I814" s="17"/>
      <c r="J814" s="17"/>
      <c r="K814" s="17"/>
      <c r="L814" s="15"/>
      <c r="M814" s="15"/>
      <c r="N814" s="15"/>
      <c r="O814" s="15"/>
      <c r="P814" s="15"/>
      <c r="Q814" s="15"/>
      <c r="R814" s="15"/>
      <c r="S814" s="15"/>
      <c r="T814" s="15"/>
      <c r="U814" s="15"/>
      <c r="V814" s="15"/>
      <c r="W814" s="15"/>
      <c r="X814" s="15"/>
      <c r="Y814" s="15"/>
      <c r="Z814" s="15"/>
    </row>
    <row r="815" spans="1:26" x14ac:dyDescent="0.3">
      <c r="A815" s="36">
        <v>4.5</v>
      </c>
      <c r="B815" s="35" t="s">
        <v>1459</v>
      </c>
      <c r="C815" s="35" t="s">
        <v>1460</v>
      </c>
      <c r="D815" s="26" t="s">
        <v>1461</v>
      </c>
      <c r="E815" s="26"/>
      <c r="F815" s="24">
        <v>129</v>
      </c>
      <c r="G815" s="24"/>
      <c r="H815" s="24"/>
      <c r="I815" s="24"/>
      <c r="J815" s="24"/>
      <c r="K815" s="24"/>
      <c r="L815" s="15"/>
      <c r="M815" s="15"/>
      <c r="N815" s="15"/>
      <c r="O815" s="15"/>
      <c r="P815" s="15"/>
      <c r="Q815" s="15"/>
      <c r="R815" s="15"/>
      <c r="S815" s="15"/>
      <c r="T815" s="15"/>
      <c r="U815" s="15"/>
      <c r="V815" s="15"/>
      <c r="W815" s="15"/>
      <c r="X815" s="15"/>
      <c r="Y815" s="15"/>
      <c r="Z815" s="15"/>
    </row>
    <row r="816" spans="1:26" x14ac:dyDescent="0.3">
      <c r="A816" s="17"/>
      <c r="B816" s="17"/>
      <c r="C816" s="17" t="s">
        <v>1462</v>
      </c>
      <c r="D816" s="17"/>
      <c r="E816" s="17"/>
      <c r="F816" s="17"/>
      <c r="G816" s="17"/>
      <c r="H816" s="17"/>
      <c r="I816" s="17"/>
      <c r="J816" s="17"/>
      <c r="K816" s="17"/>
      <c r="L816" s="15"/>
      <c r="M816" s="15"/>
      <c r="N816" s="15"/>
      <c r="O816" s="15"/>
      <c r="P816" s="15"/>
      <c r="Q816" s="15"/>
      <c r="R816" s="15"/>
      <c r="S816" s="15"/>
      <c r="T816" s="15"/>
      <c r="U816" s="15"/>
      <c r="V816" s="15"/>
      <c r="W816" s="15"/>
      <c r="X816" s="15"/>
      <c r="Y816" s="15"/>
      <c r="Z816" s="15"/>
    </row>
    <row r="817" spans="1:26" x14ac:dyDescent="0.3">
      <c r="A817" s="17"/>
      <c r="B817" s="17"/>
      <c r="C817" s="17"/>
      <c r="D817" s="17"/>
      <c r="E817" s="17"/>
      <c r="F817" s="17"/>
      <c r="G817" s="17"/>
      <c r="H817" s="17"/>
      <c r="I817" s="17"/>
      <c r="J817" s="17"/>
      <c r="K817" s="17"/>
      <c r="L817" s="15"/>
      <c r="M817" s="15"/>
      <c r="N817" s="15"/>
      <c r="O817" s="15"/>
      <c r="P817" s="15"/>
      <c r="Q817" s="15"/>
      <c r="R817" s="15"/>
      <c r="S817" s="15"/>
      <c r="T817" s="15"/>
      <c r="U817" s="15"/>
      <c r="V817" s="15"/>
      <c r="W817" s="15"/>
      <c r="X817" s="15"/>
      <c r="Y817" s="15"/>
      <c r="Z817" s="15"/>
    </row>
    <row r="818" spans="1:26" x14ac:dyDescent="0.3">
      <c r="A818" s="37">
        <v>5</v>
      </c>
      <c r="B818" s="17"/>
      <c r="C818" s="35" t="s">
        <v>1463</v>
      </c>
      <c r="D818" s="17"/>
      <c r="E818" s="17"/>
      <c r="F818" s="17"/>
      <c r="G818" s="17"/>
      <c r="H818" s="17"/>
      <c r="I818" s="17"/>
      <c r="J818" s="17"/>
      <c r="K818" s="17"/>
      <c r="L818" s="15"/>
      <c r="M818" s="15"/>
      <c r="N818" s="15"/>
      <c r="O818" s="15"/>
      <c r="P818" s="15"/>
      <c r="Q818" s="15"/>
      <c r="R818" s="15"/>
      <c r="S818" s="15"/>
      <c r="T818" s="15"/>
      <c r="U818" s="15"/>
      <c r="V818" s="15"/>
      <c r="W818" s="15"/>
      <c r="X818" s="15"/>
      <c r="Y818" s="15"/>
      <c r="Z818" s="15"/>
    </row>
    <row r="819" spans="1:26" x14ac:dyDescent="0.3">
      <c r="A819" s="36">
        <v>5.0999999999999996</v>
      </c>
      <c r="B819" s="35" t="s">
        <v>1464</v>
      </c>
      <c r="C819" s="35" t="s">
        <v>1465</v>
      </c>
      <c r="D819" s="26" t="s">
        <v>1466</v>
      </c>
      <c r="E819" s="26"/>
      <c r="F819" s="24">
        <v>30</v>
      </c>
      <c r="G819" s="24"/>
      <c r="H819" s="24"/>
      <c r="I819" s="24"/>
      <c r="J819" s="24"/>
      <c r="K819" s="24"/>
      <c r="L819" s="15"/>
      <c r="M819" s="15"/>
      <c r="N819" s="15"/>
      <c r="O819" s="15"/>
      <c r="P819" s="15"/>
      <c r="Q819" s="15"/>
      <c r="R819" s="15"/>
      <c r="S819" s="15"/>
      <c r="T819" s="15"/>
      <c r="U819" s="15"/>
      <c r="V819" s="15"/>
      <c r="W819" s="15"/>
      <c r="X819" s="15"/>
      <c r="Y819" s="15"/>
      <c r="Z819" s="15"/>
    </row>
    <row r="820" spans="1:26" x14ac:dyDescent="0.3">
      <c r="A820" s="17"/>
      <c r="B820" s="17"/>
      <c r="C820" s="17" t="s">
        <v>1467</v>
      </c>
      <c r="D820" s="17"/>
      <c r="E820" s="17"/>
      <c r="F820" s="17"/>
      <c r="G820" s="17"/>
      <c r="H820" s="17"/>
      <c r="I820" s="17"/>
      <c r="J820" s="17"/>
      <c r="K820" s="17"/>
      <c r="L820" s="15"/>
      <c r="M820" s="15"/>
      <c r="N820" s="15"/>
      <c r="O820" s="15"/>
      <c r="P820" s="15"/>
      <c r="Q820" s="15"/>
      <c r="R820" s="15"/>
      <c r="S820" s="15"/>
      <c r="T820" s="15"/>
      <c r="U820" s="15"/>
      <c r="V820" s="15"/>
      <c r="W820" s="15"/>
      <c r="X820" s="15"/>
      <c r="Y820" s="15"/>
      <c r="Z820" s="15"/>
    </row>
    <row r="821" spans="1:26" x14ac:dyDescent="0.3">
      <c r="A821" s="17"/>
      <c r="B821" s="17"/>
      <c r="C821" s="17"/>
      <c r="D821" s="17"/>
      <c r="E821" s="17"/>
      <c r="F821" s="17"/>
      <c r="G821" s="17"/>
      <c r="H821" s="17"/>
      <c r="I821" s="17"/>
      <c r="J821" s="17"/>
      <c r="K821" s="17"/>
      <c r="L821" s="15"/>
      <c r="M821" s="15"/>
      <c r="N821" s="15"/>
      <c r="O821" s="15"/>
      <c r="P821" s="15"/>
      <c r="Q821" s="15"/>
      <c r="R821" s="15"/>
      <c r="S821" s="15"/>
      <c r="T821" s="15"/>
      <c r="U821" s="15"/>
      <c r="V821" s="15"/>
      <c r="W821" s="15"/>
      <c r="X821" s="15"/>
      <c r="Y821" s="15"/>
      <c r="Z821" s="15"/>
    </row>
    <row r="822" spans="1:26" x14ac:dyDescent="0.3">
      <c r="A822" s="24">
        <v>6</v>
      </c>
      <c r="B822" s="39" t="s">
        <v>1468</v>
      </c>
      <c r="C822" s="35" t="s">
        <v>1469</v>
      </c>
      <c r="D822" s="26" t="s">
        <v>1470</v>
      </c>
      <c r="E822" s="26"/>
      <c r="F822" s="24">
        <v>3</v>
      </c>
      <c r="G822" s="24"/>
      <c r="H822" s="24"/>
      <c r="I822" s="24"/>
      <c r="J822" s="24"/>
      <c r="K822" s="24"/>
      <c r="L822" s="15"/>
      <c r="M822" s="15"/>
      <c r="N822" s="15"/>
      <c r="O822" s="15"/>
      <c r="P822" s="15"/>
      <c r="Q822" s="15"/>
      <c r="R822" s="15"/>
      <c r="S822" s="15"/>
      <c r="T822" s="15"/>
      <c r="U822" s="15"/>
      <c r="V822" s="15"/>
      <c r="W822" s="15"/>
      <c r="X822" s="15"/>
      <c r="Y822" s="15"/>
      <c r="Z822" s="15"/>
    </row>
    <row r="823" spans="1:26" x14ac:dyDescent="0.3">
      <c r="A823" s="17"/>
      <c r="B823" s="17"/>
      <c r="C823" s="17" t="s">
        <v>1471</v>
      </c>
      <c r="D823" s="17"/>
      <c r="E823" s="17"/>
      <c r="F823" s="17"/>
      <c r="G823" s="17"/>
      <c r="H823" s="17"/>
      <c r="I823" s="17"/>
      <c r="J823" s="17"/>
      <c r="K823" s="17"/>
      <c r="L823" s="15"/>
      <c r="M823" s="15"/>
      <c r="N823" s="15"/>
      <c r="O823" s="15"/>
      <c r="P823" s="15"/>
      <c r="Q823" s="15"/>
      <c r="R823" s="15"/>
      <c r="S823" s="15"/>
      <c r="T823" s="15"/>
      <c r="U823" s="15"/>
      <c r="V823" s="15"/>
      <c r="W823" s="15"/>
      <c r="X823" s="15"/>
      <c r="Y823" s="15"/>
      <c r="Z823" s="15"/>
    </row>
    <row r="824" spans="1:26" x14ac:dyDescent="0.3">
      <c r="A824" s="17"/>
      <c r="B824" s="17"/>
      <c r="C824" s="17"/>
      <c r="D824" s="17"/>
      <c r="E824" s="17"/>
      <c r="F824" s="17"/>
      <c r="G824" s="17"/>
      <c r="H824" s="17"/>
      <c r="I824" s="17"/>
      <c r="J824" s="17"/>
      <c r="K824" s="17"/>
      <c r="L824" s="15"/>
      <c r="M824" s="15"/>
      <c r="N824" s="15"/>
      <c r="O824" s="15"/>
      <c r="P824" s="15"/>
      <c r="Q824" s="15"/>
      <c r="R824" s="15"/>
      <c r="S824" s="15"/>
      <c r="T824" s="15"/>
      <c r="U824" s="15"/>
      <c r="V824" s="15"/>
      <c r="W824" s="15"/>
      <c r="X824" s="15"/>
      <c r="Y824" s="15"/>
      <c r="Z824" s="15"/>
    </row>
    <row r="825" spans="1:26" x14ac:dyDescent="0.3">
      <c r="A825" s="37">
        <v>7</v>
      </c>
      <c r="B825" s="17"/>
      <c r="C825" s="35" t="s">
        <v>1472</v>
      </c>
      <c r="D825" s="17"/>
      <c r="E825" s="17"/>
      <c r="F825" s="17"/>
      <c r="G825" s="17"/>
      <c r="H825" s="17"/>
      <c r="I825" s="17"/>
      <c r="J825" s="17"/>
      <c r="K825" s="17"/>
      <c r="L825" s="15"/>
      <c r="M825" s="15"/>
      <c r="N825" s="15"/>
      <c r="O825" s="15"/>
      <c r="P825" s="15"/>
      <c r="Q825" s="15"/>
      <c r="R825" s="15"/>
      <c r="S825" s="15"/>
      <c r="T825" s="15"/>
      <c r="U825" s="15"/>
      <c r="V825" s="15"/>
      <c r="W825" s="15"/>
      <c r="X825" s="15"/>
      <c r="Y825" s="15"/>
      <c r="Z825" s="15"/>
    </row>
    <row r="826" spans="1:26" x14ac:dyDescent="0.3">
      <c r="A826" s="36">
        <v>7.1</v>
      </c>
      <c r="B826" s="35" t="s">
        <v>1473</v>
      </c>
      <c r="C826" s="35" t="s">
        <v>1474</v>
      </c>
      <c r="D826" s="26" t="s">
        <v>1475</v>
      </c>
      <c r="E826" s="26"/>
      <c r="F826" s="24">
        <v>11</v>
      </c>
      <c r="G826" s="24"/>
      <c r="H826" s="24"/>
      <c r="I826" s="24"/>
      <c r="J826" s="24"/>
      <c r="K826" s="24"/>
      <c r="L826" s="15"/>
      <c r="M826" s="15"/>
      <c r="N826" s="15"/>
      <c r="O826" s="15"/>
      <c r="P826" s="15"/>
      <c r="Q826" s="15"/>
      <c r="R826" s="15"/>
      <c r="S826" s="15"/>
      <c r="T826" s="15"/>
      <c r="U826" s="15"/>
      <c r="V826" s="15"/>
      <c r="W826" s="15"/>
      <c r="X826" s="15"/>
      <c r="Y826" s="15"/>
      <c r="Z826" s="15"/>
    </row>
    <row r="827" spans="1:26" x14ac:dyDescent="0.3">
      <c r="A827" s="17"/>
      <c r="B827" s="17"/>
      <c r="C827" s="17" t="s">
        <v>1476</v>
      </c>
      <c r="D827" s="17"/>
      <c r="E827" s="17"/>
      <c r="F827" s="17"/>
      <c r="G827" s="17"/>
      <c r="H827" s="17"/>
      <c r="I827" s="17"/>
      <c r="J827" s="17"/>
      <c r="K827" s="17"/>
      <c r="L827" s="15"/>
      <c r="M827" s="15"/>
      <c r="N827" s="15"/>
      <c r="O827" s="15"/>
      <c r="P827" s="15"/>
      <c r="Q827" s="15"/>
      <c r="R827" s="15"/>
      <c r="S827" s="15"/>
      <c r="T827" s="15"/>
      <c r="U827" s="15"/>
      <c r="V827" s="15"/>
      <c r="W827" s="15"/>
      <c r="X827" s="15"/>
      <c r="Y827" s="15"/>
      <c r="Z827" s="15"/>
    </row>
    <row r="828" spans="1:26" x14ac:dyDescent="0.3">
      <c r="A828" s="36">
        <v>7.2</v>
      </c>
      <c r="B828" s="35" t="s">
        <v>1477</v>
      </c>
      <c r="C828" s="35" t="s">
        <v>1478</v>
      </c>
      <c r="D828" s="26" t="s">
        <v>1479</v>
      </c>
      <c r="E828" s="26"/>
      <c r="F828" s="24">
        <v>4</v>
      </c>
      <c r="G828" s="24"/>
      <c r="H828" s="24"/>
      <c r="I828" s="24"/>
      <c r="J828" s="24"/>
      <c r="K828" s="24"/>
      <c r="L828" s="15"/>
      <c r="M828" s="15"/>
      <c r="N828" s="15"/>
      <c r="O828" s="15"/>
      <c r="P828" s="15"/>
      <c r="Q828" s="15"/>
      <c r="R828" s="15"/>
      <c r="S828" s="15"/>
      <c r="T828" s="15"/>
      <c r="U828" s="15"/>
      <c r="V828" s="15"/>
      <c r="W828" s="15"/>
      <c r="X828" s="15"/>
      <c r="Y828" s="15"/>
      <c r="Z828" s="15"/>
    </row>
    <row r="829" spans="1:26" x14ac:dyDescent="0.3">
      <c r="A829" s="17"/>
      <c r="B829" s="17"/>
      <c r="C829" s="17" t="s">
        <v>1480</v>
      </c>
      <c r="D829" s="17"/>
      <c r="E829" s="17"/>
      <c r="F829" s="17"/>
      <c r="G829" s="17"/>
      <c r="H829" s="17"/>
      <c r="I829" s="17"/>
      <c r="J829" s="17"/>
      <c r="K829" s="17"/>
      <c r="L829" s="15"/>
      <c r="M829" s="15"/>
      <c r="N829" s="15"/>
      <c r="O829" s="15"/>
      <c r="P829" s="15"/>
      <c r="Q829" s="15"/>
      <c r="R829" s="15"/>
      <c r="S829" s="15"/>
      <c r="T829" s="15"/>
      <c r="U829" s="15"/>
      <c r="V829" s="15"/>
      <c r="W829" s="15"/>
      <c r="X829" s="15"/>
      <c r="Y829" s="15"/>
      <c r="Z829" s="15"/>
    </row>
    <row r="830" spans="1:26" x14ac:dyDescent="0.3">
      <c r="A830" s="36">
        <v>7.3</v>
      </c>
      <c r="B830" s="17"/>
      <c r="C830" s="35" t="s">
        <v>1481</v>
      </c>
      <c r="D830" s="26" t="s">
        <v>1482</v>
      </c>
      <c r="E830" s="26"/>
      <c r="F830" s="24">
        <v>26</v>
      </c>
      <c r="G830" s="24"/>
      <c r="H830" s="24"/>
      <c r="I830" s="24"/>
      <c r="J830" s="24"/>
      <c r="K830" s="24"/>
      <c r="L830" s="15"/>
      <c r="M830" s="15"/>
      <c r="N830" s="15"/>
      <c r="O830" s="15"/>
      <c r="P830" s="15"/>
      <c r="Q830" s="15"/>
      <c r="R830" s="15"/>
      <c r="S830" s="15"/>
      <c r="T830" s="15"/>
      <c r="U830" s="15"/>
      <c r="V830" s="15"/>
      <c r="W830" s="15"/>
      <c r="X830" s="15"/>
      <c r="Y830" s="15"/>
      <c r="Z830" s="15"/>
    </row>
    <row r="831" spans="1:26" x14ac:dyDescent="0.3">
      <c r="A831" s="17"/>
      <c r="B831" s="17"/>
      <c r="C831" s="17" t="s">
        <v>1483</v>
      </c>
      <c r="D831" s="17"/>
      <c r="E831" s="17"/>
      <c r="F831" s="17"/>
      <c r="G831" s="17"/>
      <c r="H831" s="17"/>
      <c r="I831" s="17"/>
      <c r="J831" s="17"/>
      <c r="K831" s="17"/>
      <c r="L831" s="15"/>
      <c r="M831" s="15"/>
      <c r="N831" s="15"/>
      <c r="O831" s="15"/>
      <c r="P831" s="15"/>
      <c r="Q831" s="15"/>
      <c r="R831" s="15"/>
      <c r="S831" s="15"/>
      <c r="T831" s="15"/>
      <c r="U831" s="15"/>
      <c r="V831" s="15"/>
      <c r="W831" s="15"/>
      <c r="X831" s="15"/>
      <c r="Y831" s="15"/>
      <c r="Z831" s="15"/>
    </row>
    <row r="832" spans="1:26" x14ac:dyDescent="0.3">
      <c r="A832" s="17"/>
      <c r="B832" s="17"/>
      <c r="C832" s="17"/>
      <c r="D832" s="17"/>
      <c r="E832" s="17"/>
      <c r="F832" s="17"/>
      <c r="G832" s="17"/>
      <c r="H832" s="17"/>
      <c r="I832" s="17"/>
      <c r="J832" s="17"/>
      <c r="K832" s="17"/>
      <c r="L832" s="15"/>
      <c r="M832" s="15"/>
      <c r="N832" s="15"/>
      <c r="O832" s="15"/>
      <c r="P832" s="15"/>
      <c r="Q832" s="15"/>
      <c r="R832" s="15"/>
      <c r="S832" s="15"/>
      <c r="T832" s="15"/>
      <c r="U832" s="15"/>
      <c r="V832" s="15"/>
      <c r="W832" s="15"/>
      <c r="X832" s="15"/>
      <c r="Y832" s="15"/>
      <c r="Z832" s="15"/>
    </row>
    <row r="833" spans="1:26" x14ac:dyDescent="0.3">
      <c r="A833" s="37">
        <v>8</v>
      </c>
      <c r="B833" s="17"/>
      <c r="C833" s="35" t="s">
        <v>1484</v>
      </c>
      <c r="D833" s="17"/>
      <c r="E833" s="17"/>
      <c r="F833" s="17"/>
      <c r="G833" s="17"/>
      <c r="H833" s="17"/>
      <c r="I833" s="17"/>
      <c r="J833" s="17"/>
      <c r="K833" s="17"/>
      <c r="L833" s="15"/>
      <c r="M833" s="15"/>
      <c r="N833" s="15"/>
      <c r="O833" s="15"/>
      <c r="P833" s="15"/>
      <c r="Q833" s="15"/>
      <c r="R833" s="15"/>
      <c r="S833" s="15"/>
      <c r="T833" s="15"/>
      <c r="U833" s="15"/>
      <c r="V833" s="15"/>
      <c r="W833" s="15"/>
      <c r="X833" s="15"/>
      <c r="Y833" s="15"/>
      <c r="Z833" s="15"/>
    </row>
    <row r="834" spans="1:26" x14ac:dyDescent="0.3">
      <c r="A834" s="36">
        <v>8.1</v>
      </c>
      <c r="B834" s="35" t="s">
        <v>1485</v>
      </c>
      <c r="C834" s="35" t="s">
        <v>1486</v>
      </c>
      <c r="D834" s="26" t="s">
        <v>1487</v>
      </c>
      <c r="E834" s="26"/>
      <c r="F834" s="24">
        <v>1306</v>
      </c>
      <c r="G834" s="24"/>
      <c r="H834" s="24"/>
      <c r="I834" s="24"/>
      <c r="J834" s="24"/>
      <c r="K834" s="24"/>
      <c r="L834" s="15"/>
      <c r="M834" s="15"/>
      <c r="N834" s="15"/>
      <c r="O834" s="15"/>
      <c r="P834" s="15"/>
      <c r="Q834" s="15"/>
      <c r="R834" s="15"/>
      <c r="S834" s="15"/>
      <c r="T834" s="15"/>
      <c r="U834" s="15"/>
      <c r="V834" s="15"/>
      <c r="W834" s="15"/>
      <c r="X834" s="15"/>
      <c r="Y834" s="15"/>
      <c r="Z834" s="15"/>
    </row>
    <row r="835" spans="1:26" x14ac:dyDescent="0.3">
      <c r="A835" s="17"/>
      <c r="B835" s="17"/>
      <c r="C835" s="17" t="s">
        <v>1488</v>
      </c>
      <c r="D835" s="17"/>
      <c r="E835" s="17"/>
      <c r="F835" s="17"/>
      <c r="G835" s="17"/>
      <c r="H835" s="17"/>
      <c r="I835" s="17"/>
      <c r="J835" s="17"/>
      <c r="K835" s="17"/>
      <c r="L835" s="15"/>
      <c r="M835" s="15"/>
      <c r="N835" s="15"/>
      <c r="O835" s="15"/>
      <c r="P835" s="15"/>
      <c r="Q835" s="15"/>
      <c r="R835" s="15"/>
      <c r="S835" s="15"/>
      <c r="T835" s="15"/>
      <c r="U835" s="15"/>
      <c r="V835" s="15"/>
      <c r="W835" s="15"/>
      <c r="X835" s="15"/>
      <c r="Y835" s="15"/>
      <c r="Z835" s="15"/>
    </row>
    <row r="836" spans="1:26" x14ac:dyDescent="0.3">
      <c r="A836" s="17"/>
      <c r="B836" s="17"/>
      <c r="C836" s="17"/>
      <c r="D836" s="17"/>
      <c r="E836" s="17"/>
      <c r="F836" s="17"/>
      <c r="G836" s="17"/>
      <c r="H836" s="17"/>
      <c r="I836" s="17"/>
      <c r="J836" s="17"/>
      <c r="K836" s="17"/>
      <c r="L836" s="15"/>
      <c r="M836" s="15"/>
      <c r="N836" s="15"/>
      <c r="O836" s="15"/>
      <c r="P836" s="15"/>
      <c r="Q836" s="15"/>
      <c r="R836" s="15"/>
      <c r="S836" s="15"/>
      <c r="T836" s="15"/>
      <c r="U836" s="15"/>
      <c r="V836" s="15"/>
      <c r="W836" s="15"/>
      <c r="X836" s="15"/>
      <c r="Y836" s="15"/>
      <c r="Z836" s="15"/>
    </row>
    <row r="837" spans="1:26" x14ac:dyDescent="0.3">
      <c r="A837" s="36">
        <v>8.1999999999999993</v>
      </c>
      <c r="B837" s="35" t="s">
        <v>1489</v>
      </c>
      <c r="C837" s="35" t="s">
        <v>1490</v>
      </c>
      <c r="D837" s="26" t="s">
        <v>1491</v>
      </c>
      <c r="E837" s="26"/>
      <c r="F837" s="24">
        <v>84</v>
      </c>
      <c r="G837" s="24"/>
      <c r="H837" s="24"/>
      <c r="I837" s="24"/>
      <c r="J837" s="24"/>
      <c r="K837" s="24"/>
      <c r="L837" s="15"/>
      <c r="M837" s="15"/>
      <c r="N837" s="15"/>
      <c r="O837" s="15"/>
      <c r="P837" s="15"/>
      <c r="Q837" s="15"/>
      <c r="R837" s="15"/>
      <c r="S837" s="15"/>
      <c r="T837" s="15"/>
      <c r="U837" s="15"/>
      <c r="V837" s="15"/>
      <c r="W837" s="15"/>
      <c r="X837" s="15"/>
      <c r="Y837" s="15"/>
      <c r="Z837" s="15"/>
    </row>
    <row r="838" spans="1:26" x14ac:dyDescent="0.3">
      <c r="A838" s="17"/>
      <c r="B838" s="17"/>
      <c r="C838" s="27" t="s">
        <v>1492</v>
      </c>
      <c r="D838" s="17"/>
      <c r="E838" s="17"/>
      <c r="F838" s="17"/>
      <c r="G838" s="17"/>
      <c r="H838" s="17"/>
      <c r="I838" s="17"/>
      <c r="J838" s="17"/>
      <c r="K838" s="17"/>
      <c r="L838" s="15"/>
      <c r="M838" s="15"/>
      <c r="N838" s="15"/>
      <c r="O838" s="15"/>
      <c r="P838" s="15"/>
      <c r="Q838" s="15"/>
      <c r="R838" s="15"/>
      <c r="S838" s="15"/>
      <c r="T838" s="15"/>
      <c r="U838" s="15"/>
      <c r="V838" s="15"/>
      <c r="W838" s="15"/>
      <c r="X838" s="15"/>
      <c r="Y838" s="15"/>
      <c r="Z838" s="15"/>
    </row>
    <row r="839" spans="1:26" x14ac:dyDescent="0.3">
      <c r="A839" s="17"/>
      <c r="B839" s="17"/>
      <c r="C839" s="17"/>
      <c r="D839" s="17"/>
      <c r="E839" s="17"/>
      <c r="F839" s="17"/>
      <c r="G839" s="17"/>
      <c r="H839" s="17"/>
      <c r="I839" s="17"/>
      <c r="J839" s="17"/>
      <c r="K839" s="17"/>
      <c r="L839" s="15"/>
      <c r="M839" s="15"/>
      <c r="N839" s="15"/>
      <c r="O839" s="15"/>
      <c r="P839" s="15"/>
      <c r="Q839" s="15"/>
      <c r="R839" s="15"/>
      <c r="S839" s="15"/>
      <c r="T839" s="15"/>
      <c r="U839" s="15"/>
      <c r="V839" s="15"/>
      <c r="W839" s="15"/>
      <c r="X839" s="15"/>
      <c r="Y839" s="15"/>
      <c r="Z839" s="15"/>
    </row>
    <row r="840" spans="1:26" x14ac:dyDescent="0.3">
      <c r="A840" s="36">
        <v>8.3000000000000007</v>
      </c>
      <c r="B840" s="39" t="s">
        <v>1493</v>
      </c>
      <c r="C840" s="35" t="s">
        <v>1494</v>
      </c>
      <c r="D840" s="26" t="s">
        <v>1495</v>
      </c>
      <c r="E840" s="26"/>
      <c r="F840" s="24">
        <v>28</v>
      </c>
      <c r="G840" s="24"/>
      <c r="H840" s="24"/>
      <c r="I840" s="24"/>
      <c r="J840" s="24"/>
      <c r="K840" s="24"/>
      <c r="L840" s="15"/>
      <c r="M840" s="15"/>
      <c r="N840" s="15"/>
      <c r="O840" s="15"/>
      <c r="P840" s="15"/>
      <c r="Q840" s="15"/>
      <c r="R840" s="15"/>
      <c r="S840" s="15"/>
      <c r="T840" s="15"/>
      <c r="U840" s="15"/>
      <c r="V840" s="15"/>
      <c r="W840" s="15"/>
      <c r="X840" s="15"/>
      <c r="Y840" s="15"/>
      <c r="Z840" s="15"/>
    </row>
    <row r="841" spans="1:26" x14ac:dyDescent="0.3">
      <c r="A841" s="17"/>
      <c r="B841" s="17"/>
      <c r="C841" s="27" t="s">
        <v>1496</v>
      </c>
      <c r="D841" s="17"/>
      <c r="E841" s="17"/>
      <c r="F841" s="17"/>
      <c r="G841" s="17"/>
      <c r="H841" s="17"/>
      <c r="I841" s="17"/>
      <c r="J841" s="17"/>
      <c r="K841" s="17"/>
      <c r="L841" s="15"/>
      <c r="M841" s="15"/>
      <c r="N841" s="15"/>
      <c r="O841" s="15"/>
      <c r="P841" s="15"/>
      <c r="Q841" s="15"/>
      <c r="R841" s="15"/>
      <c r="S841" s="15"/>
      <c r="T841" s="15"/>
      <c r="U841" s="15"/>
      <c r="V841" s="15"/>
      <c r="W841" s="15"/>
      <c r="X841" s="15"/>
      <c r="Y841" s="15"/>
      <c r="Z841" s="15"/>
    </row>
    <row r="842" spans="1:26" x14ac:dyDescent="0.3">
      <c r="A842" s="17"/>
      <c r="B842" s="17"/>
      <c r="C842" s="17"/>
      <c r="D842" s="17"/>
      <c r="E842" s="17"/>
      <c r="F842" s="17"/>
      <c r="G842" s="17"/>
      <c r="H842" s="17"/>
      <c r="I842" s="17"/>
      <c r="J842" s="17"/>
      <c r="K842" s="17"/>
      <c r="L842" s="15"/>
      <c r="M842" s="15"/>
      <c r="N842" s="15"/>
      <c r="O842" s="15"/>
      <c r="P842" s="15"/>
      <c r="Q842" s="15"/>
      <c r="R842" s="15"/>
      <c r="S842" s="15"/>
      <c r="T842" s="15"/>
      <c r="U842" s="15"/>
      <c r="V842" s="15"/>
      <c r="W842" s="15"/>
      <c r="X842" s="15"/>
      <c r="Y842" s="15"/>
      <c r="Z842" s="15"/>
    </row>
    <row r="843" spans="1:26" x14ac:dyDescent="0.3">
      <c r="A843" s="36">
        <v>8.4</v>
      </c>
      <c r="B843" s="39" t="s">
        <v>1497</v>
      </c>
      <c r="C843" s="35" t="s">
        <v>1498</v>
      </c>
      <c r="D843" s="26" t="s">
        <v>1499</v>
      </c>
      <c r="E843" s="26"/>
      <c r="F843" s="24">
        <v>1</v>
      </c>
      <c r="G843" s="24"/>
      <c r="H843" s="24"/>
      <c r="I843" s="24"/>
      <c r="J843" s="24"/>
      <c r="K843" s="24"/>
      <c r="L843" s="15"/>
      <c r="M843" s="15"/>
      <c r="N843" s="15"/>
      <c r="O843" s="15"/>
      <c r="P843" s="15"/>
      <c r="Q843" s="15"/>
      <c r="R843" s="15"/>
      <c r="S843" s="15"/>
      <c r="T843" s="15"/>
      <c r="U843" s="15"/>
      <c r="V843" s="15"/>
      <c r="W843" s="15"/>
      <c r="X843" s="15"/>
      <c r="Y843" s="15"/>
      <c r="Z843" s="15"/>
    </row>
    <row r="844" spans="1:26" x14ac:dyDescent="0.3">
      <c r="A844" s="17"/>
      <c r="B844" s="17"/>
      <c r="C844" s="17" t="s">
        <v>1500</v>
      </c>
      <c r="D844" s="17"/>
      <c r="E844" s="17"/>
      <c r="F844" s="17"/>
      <c r="G844" s="17"/>
      <c r="H844" s="17"/>
      <c r="I844" s="17"/>
      <c r="J844" s="17"/>
      <c r="K844" s="17"/>
      <c r="L844" s="15"/>
      <c r="M844" s="15"/>
      <c r="N844" s="15"/>
      <c r="O844" s="15"/>
      <c r="P844" s="15"/>
      <c r="Q844" s="15"/>
      <c r="R844" s="15"/>
      <c r="S844" s="15"/>
      <c r="T844" s="15"/>
      <c r="U844" s="15"/>
      <c r="V844" s="15"/>
      <c r="W844" s="15"/>
      <c r="X844" s="15"/>
      <c r="Y844" s="15"/>
      <c r="Z844" s="15"/>
    </row>
    <row r="845" spans="1:26" x14ac:dyDescent="0.3">
      <c r="A845" s="17"/>
      <c r="B845" s="17"/>
      <c r="C845" s="17"/>
      <c r="D845" s="17"/>
      <c r="E845" s="17"/>
      <c r="F845" s="17"/>
      <c r="G845" s="17"/>
      <c r="H845" s="17"/>
      <c r="I845" s="17"/>
      <c r="J845" s="17"/>
      <c r="K845" s="17"/>
      <c r="L845" s="15"/>
      <c r="M845" s="15"/>
      <c r="N845" s="15"/>
      <c r="O845" s="15"/>
      <c r="P845" s="15"/>
      <c r="Q845" s="15"/>
      <c r="R845" s="15"/>
      <c r="S845" s="15"/>
      <c r="T845" s="15"/>
      <c r="U845" s="15"/>
      <c r="V845" s="15"/>
      <c r="W845" s="15"/>
      <c r="X845" s="15"/>
      <c r="Y845" s="15"/>
      <c r="Z845" s="15"/>
    </row>
    <row r="846" spans="1:26" x14ac:dyDescent="0.3">
      <c r="A846" s="36">
        <v>8.5</v>
      </c>
      <c r="B846" s="39" t="s">
        <v>1501</v>
      </c>
      <c r="C846" s="35" t="s">
        <v>1502</v>
      </c>
      <c r="D846" s="26" t="s">
        <v>1503</v>
      </c>
      <c r="E846" s="26"/>
      <c r="F846" s="24">
        <v>18</v>
      </c>
      <c r="G846" s="24"/>
      <c r="H846" s="24"/>
      <c r="I846" s="24"/>
      <c r="J846" s="24"/>
      <c r="K846" s="24"/>
      <c r="L846" s="15"/>
      <c r="M846" s="15"/>
      <c r="N846" s="15"/>
      <c r="O846" s="15"/>
      <c r="P846" s="15"/>
      <c r="Q846" s="15"/>
      <c r="R846" s="15"/>
      <c r="S846" s="15"/>
      <c r="T846" s="15"/>
      <c r="U846" s="15"/>
      <c r="V846" s="15"/>
      <c r="W846" s="15"/>
      <c r="X846" s="15"/>
      <c r="Y846" s="15"/>
      <c r="Z846" s="15"/>
    </row>
    <row r="847" spans="1:26" x14ac:dyDescent="0.3">
      <c r="A847" s="17"/>
      <c r="B847" s="17"/>
      <c r="C847" s="17" t="s">
        <v>1504</v>
      </c>
      <c r="D847" s="17"/>
      <c r="E847" s="17"/>
      <c r="F847" s="17"/>
      <c r="G847" s="17"/>
      <c r="H847" s="17"/>
      <c r="I847" s="17"/>
      <c r="J847" s="17"/>
      <c r="K847" s="17"/>
      <c r="L847" s="15"/>
      <c r="M847" s="15"/>
      <c r="N847" s="15"/>
      <c r="O847" s="15"/>
      <c r="P847" s="15"/>
      <c r="Q847" s="15"/>
      <c r="R847" s="15"/>
      <c r="S847" s="15"/>
      <c r="T847" s="15"/>
      <c r="U847" s="15"/>
      <c r="V847" s="15"/>
      <c r="W847" s="15"/>
      <c r="X847" s="15"/>
      <c r="Y847" s="15"/>
      <c r="Z847" s="15"/>
    </row>
    <row r="848" spans="1:26" x14ac:dyDescent="0.3">
      <c r="A848" s="17"/>
      <c r="B848" s="17"/>
      <c r="C848" s="17"/>
      <c r="D848" s="17"/>
      <c r="E848" s="17"/>
      <c r="F848" s="17"/>
      <c r="G848" s="17"/>
      <c r="H848" s="17"/>
      <c r="I848" s="17"/>
      <c r="J848" s="17"/>
      <c r="K848" s="17"/>
      <c r="L848" s="15"/>
      <c r="M848" s="15"/>
      <c r="N848" s="15"/>
      <c r="O848" s="15"/>
      <c r="P848" s="15"/>
      <c r="Q848" s="15"/>
      <c r="R848" s="15"/>
      <c r="S848" s="15"/>
      <c r="T848" s="15"/>
      <c r="U848" s="15"/>
      <c r="V848" s="15"/>
      <c r="W848" s="15"/>
      <c r="X848" s="15"/>
      <c r="Y848" s="15"/>
      <c r="Z848" s="15"/>
    </row>
    <row r="849" spans="1:26" x14ac:dyDescent="0.3">
      <c r="A849" s="36">
        <v>8.6</v>
      </c>
      <c r="B849" s="39" t="s">
        <v>1505</v>
      </c>
      <c r="C849" s="35" t="s">
        <v>1506</v>
      </c>
      <c r="D849" s="26" t="s">
        <v>1507</v>
      </c>
      <c r="E849" s="26"/>
      <c r="F849" s="24">
        <v>1</v>
      </c>
      <c r="G849" s="24"/>
      <c r="H849" s="24"/>
      <c r="I849" s="24"/>
      <c r="J849" s="24"/>
      <c r="K849" s="24"/>
      <c r="L849" s="15"/>
      <c r="M849" s="15"/>
      <c r="N849" s="15"/>
      <c r="O849" s="15"/>
      <c r="P849" s="15"/>
      <c r="Q849" s="15"/>
      <c r="R849" s="15"/>
      <c r="S849" s="15"/>
      <c r="T849" s="15"/>
      <c r="U849" s="15"/>
      <c r="V849" s="15"/>
      <c r="W849" s="15"/>
      <c r="X849" s="15"/>
      <c r="Y849" s="15"/>
      <c r="Z849" s="15"/>
    </row>
    <row r="850" spans="1:26" x14ac:dyDescent="0.3">
      <c r="A850" s="17"/>
      <c r="B850" s="17"/>
      <c r="C850" s="17" t="s">
        <v>1508</v>
      </c>
      <c r="D850" s="17"/>
      <c r="E850" s="17"/>
      <c r="F850" s="17"/>
      <c r="G850" s="17"/>
      <c r="H850" s="17"/>
      <c r="I850" s="17"/>
      <c r="J850" s="17"/>
      <c r="K850" s="17"/>
      <c r="L850" s="15"/>
      <c r="M850" s="15"/>
      <c r="N850" s="15"/>
      <c r="O850" s="15"/>
      <c r="P850" s="15"/>
      <c r="Q850" s="15"/>
      <c r="R850" s="15"/>
      <c r="S850" s="15"/>
      <c r="T850" s="15"/>
      <c r="U850" s="15"/>
      <c r="V850" s="15"/>
      <c r="W850" s="15"/>
      <c r="X850" s="15"/>
      <c r="Y850" s="15"/>
      <c r="Z850" s="15"/>
    </row>
    <row r="851" spans="1:26" x14ac:dyDescent="0.3">
      <c r="A851" s="17"/>
      <c r="B851" s="17"/>
      <c r="C851" s="17"/>
      <c r="D851" s="17"/>
      <c r="E851" s="17"/>
      <c r="F851" s="17"/>
      <c r="G851" s="17"/>
      <c r="H851" s="17"/>
      <c r="I851" s="17"/>
      <c r="J851" s="17"/>
      <c r="K851" s="17"/>
      <c r="L851" s="15"/>
      <c r="M851" s="15"/>
      <c r="N851" s="15"/>
      <c r="O851" s="15"/>
      <c r="P851" s="15"/>
      <c r="Q851" s="15"/>
      <c r="R851" s="15"/>
      <c r="S851" s="15"/>
      <c r="T851" s="15"/>
      <c r="U851" s="15"/>
      <c r="V851" s="15"/>
      <c r="W851" s="15"/>
      <c r="X851" s="15"/>
      <c r="Y851" s="15"/>
      <c r="Z851" s="15"/>
    </row>
    <row r="852" spans="1:26" x14ac:dyDescent="0.3">
      <c r="A852" s="36">
        <v>8.6999999999999993</v>
      </c>
      <c r="B852" s="39" t="s">
        <v>1509</v>
      </c>
      <c r="C852" s="35" t="s">
        <v>1510</v>
      </c>
      <c r="D852" s="26" t="s">
        <v>1511</v>
      </c>
      <c r="E852" s="26"/>
      <c r="F852" s="24">
        <v>182</v>
      </c>
      <c r="G852" s="24"/>
      <c r="H852" s="24"/>
      <c r="I852" s="24"/>
      <c r="J852" s="24"/>
      <c r="K852" s="24"/>
      <c r="L852" s="15"/>
      <c r="M852" s="15"/>
      <c r="N852" s="15"/>
      <c r="O852" s="15"/>
      <c r="P852" s="15"/>
      <c r="Q852" s="15"/>
      <c r="R852" s="15"/>
      <c r="S852" s="15"/>
      <c r="T852" s="15"/>
      <c r="U852" s="15"/>
      <c r="V852" s="15"/>
      <c r="W852" s="15"/>
      <c r="X852" s="15"/>
      <c r="Y852" s="15"/>
      <c r="Z852" s="15"/>
    </row>
    <row r="853" spans="1:26" x14ac:dyDescent="0.3">
      <c r="A853" s="17"/>
      <c r="B853" s="17"/>
      <c r="C853" s="17"/>
      <c r="D853" s="17"/>
      <c r="E853" s="17"/>
      <c r="F853" s="17"/>
      <c r="G853" s="17"/>
      <c r="H853" s="17"/>
      <c r="I853" s="17"/>
      <c r="J853" s="17"/>
      <c r="K853" s="17"/>
      <c r="L853" s="15"/>
      <c r="M853" s="15"/>
      <c r="N853" s="15"/>
      <c r="O853" s="15"/>
      <c r="P853" s="15"/>
      <c r="Q853" s="15"/>
      <c r="R853" s="15"/>
      <c r="S853" s="15"/>
      <c r="T853" s="15"/>
      <c r="U853" s="15"/>
      <c r="V853" s="15"/>
      <c r="W853" s="15"/>
      <c r="X853" s="15"/>
      <c r="Y853" s="15"/>
      <c r="Z853" s="15"/>
    </row>
    <row r="854" spans="1:26" x14ac:dyDescent="0.3">
      <c r="A854" s="36">
        <v>8.8000000000000007</v>
      </c>
      <c r="B854" s="39" t="s">
        <v>1512</v>
      </c>
      <c r="C854" s="35" t="s">
        <v>1513</v>
      </c>
      <c r="D854" s="26" t="s">
        <v>1514</v>
      </c>
      <c r="E854" s="26"/>
      <c r="F854" s="24">
        <v>1</v>
      </c>
      <c r="G854" s="24"/>
      <c r="H854" s="24"/>
      <c r="I854" s="24"/>
      <c r="J854" s="24"/>
      <c r="K854" s="24"/>
      <c r="L854" s="15"/>
      <c r="M854" s="15"/>
      <c r="N854" s="15"/>
      <c r="O854" s="15"/>
      <c r="P854" s="15"/>
      <c r="Q854" s="15"/>
      <c r="R854" s="15"/>
      <c r="S854" s="15"/>
      <c r="T854" s="15"/>
      <c r="U854" s="15"/>
      <c r="V854" s="15"/>
      <c r="W854" s="15"/>
      <c r="X854" s="15"/>
      <c r="Y854" s="15"/>
      <c r="Z854" s="15"/>
    </row>
    <row r="855" spans="1:26" x14ac:dyDescent="0.3">
      <c r="A855" s="17"/>
      <c r="B855" s="17"/>
      <c r="C855" s="27" t="s">
        <v>1515</v>
      </c>
      <c r="D855" s="17"/>
      <c r="E855" s="17"/>
      <c r="F855" s="17"/>
      <c r="G855" s="17"/>
      <c r="H855" s="17"/>
      <c r="I855" s="17"/>
      <c r="J855" s="17"/>
      <c r="K855" s="17"/>
      <c r="L855" s="15"/>
      <c r="M855" s="15"/>
      <c r="N855" s="15"/>
      <c r="O855" s="15"/>
      <c r="P855" s="15"/>
      <c r="Q855" s="15"/>
      <c r="R855" s="15"/>
      <c r="S855" s="15"/>
      <c r="T855" s="15"/>
      <c r="U855" s="15"/>
      <c r="V855" s="15"/>
      <c r="W855" s="15"/>
      <c r="X855" s="15"/>
      <c r="Y855" s="15"/>
      <c r="Z855" s="15"/>
    </row>
    <row r="856" spans="1:26" x14ac:dyDescent="0.3">
      <c r="A856" s="17"/>
      <c r="B856" s="17"/>
      <c r="C856" s="17"/>
      <c r="D856" s="17"/>
      <c r="E856" s="17"/>
      <c r="F856" s="17"/>
      <c r="G856" s="17"/>
      <c r="H856" s="17"/>
      <c r="I856" s="17"/>
      <c r="J856" s="17"/>
      <c r="K856" s="17"/>
      <c r="L856" s="15"/>
      <c r="M856" s="15"/>
      <c r="N856" s="15"/>
      <c r="O856" s="15"/>
      <c r="P856" s="15"/>
      <c r="Q856" s="15"/>
      <c r="R856" s="15"/>
      <c r="S856" s="15"/>
      <c r="T856" s="15"/>
      <c r="U856" s="15"/>
      <c r="V856" s="15"/>
      <c r="W856" s="15"/>
      <c r="X856" s="15"/>
      <c r="Y856" s="15"/>
      <c r="Z856" s="15"/>
    </row>
    <row r="857" spans="1:26" x14ac:dyDescent="0.3">
      <c r="A857" s="37">
        <v>9</v>
      </c>
      <c r="B857" s="27" t="s">
        <v>1516</v>
      </c>
      <c r="C857" s="27" t="s">
        <v>1517</v>
      </c>
      <c r="D857" s="17"/>
      <c r="E857" s="17"/>
      <c r="F857" s="17"/>
      <c r="G857" s="17"/>
      <c r="H857" s="17"/>
      <c r="I857" s="17"/>
      <c r="J857" s="17"/>
      <c r="K857" s="17"/>
      <c r="L857" s="15"/>
      <c r="M857" s="15"/>
      <c r="N857" s="15"/>
      <c r="O857" s="15"/>
      <c r="P857" s="15"/>
      <c r="Q857" s="15"/>
      <c r="R857" s="15"/>
      <c r="S857" s="15"/>
      <c r="T857" s="15"/>
      <c r="U857" s="15"/>
      <c r="V857" s="15"/>
      <c r="W857" s="15"/>
      <c r="X857" s="15"/>
      <c r="Y857" s="15"/>
      <c r="Z857" s="15"/>
    </row>
    <row r="858" spans="1:26" x14ac:dyDescent="0.3">
      <c r="A858" s="25">
        <v>9.1</v>
      </c>
      <c r="B858" s="17"/>
      <c r="C858" s="27" t="s">
        <v>1518</v>
      </c>
      <c r="D858" s="26" t="s">
        <v>1519</v>
      </c>
      <c r="E858" s="26"/>
      <c r="F858" s="24">
        <v>32300</v>
      </c>
      <c r="G858" s="24"/>
      <c r="H858" s="24"/>
      <c r="I858" s="24"/>
      <c r="J858" s="24"/>
      <c r="K858" s="24"/>
      <c r="L858" s="15"/>
      <c r="M858" s="15"/>
      <c r="N858" s="15"/>
      <c r="O858" s="15"/>
      <c r="P858" s="15"/>
      <c r="Q858" s="15"/>
      <c r="R858" s="15"/>
      <c r="S858" s="15"/>
      <c r="T858" s="15"/>
      <c r="U858" s="15"/>
      <c r="V858" s="15"/>
      <c r="W858" s="15"/>
      <c r="X858" s="15"/>
      <c r="Y858" s="15"/>
      <c r="Z858" s="15"/>
    </row>
    <row r="859" spans="1:26" x14ac:dyDescent="0.3">
      <c r="A859" s="25">
        <v>9.1999999999999993</v>
      </c>
      <c r="B859" s="17"/>
      <c r="C859" s="27" t="s">
        <v>1520</v>
      </c>
      <c r="D859" s="26" t="s">
        <v>1521</v>
      </c>
      <c r="E859" s="26"/>
      <c r="F859" s="24">
        <v>15350</v>
      </c>
      <c r="G859" s="24"/>
      <c r="H859" s="24"/>
      <c r="I859" s="24"/>
      <c r="J859" s="24"/>
      <c r="K859" s="24"/>
      <c r="L859" s="15"/>
      <c r="M859" s="15"/>
      <c r="N859" s="15"/>
      <c r="O859" s="15"/>
      <c r="P859" s="15"/>
      <c r="Q859" s="15"/>
      <c r="R859" s="15"/>
      <c r="S859" s="15"/>
      <c r="T859" s="15"/>
      <c r="U859" s="15"/>
      <c r="V859" s="15"/>
      <c r="W859" s="15"/>
      <c r="X859" s="15"/>
      <c r="Y859" s="15"/>
      <c r="Z859" s="15"/>
    </row>
    <row r="860" spans="1:26" x14ac:dyDescent="0.3">
      <c r="A860" s="17"/>
      <c r="B860" s="17"/>
      <c r="C860" s="17"/>
      <c r="D860" s="17"/>
      <c r="E860" s="17"/>
      <c r="F860" s="17"/>
      <c r="G860" s="17"/>
      <c r="H860" s="17"/>
      <c r="I860" s="17"/>
      <c r="J860" s="17"/>
      <c r="K860" s="17"/>
      <c r="L860" s="15"/>
      <c r="M860" s="15"/>
      <c r="N860" s="15"/>
      <c r="O860" s="15"/>
      <c r="P860" s="15"/>
      <c r="Q860" s="15"/>
      <c r="R860" s="15"/>
      <c r="S860" s="15"/>
      <c r="T860" s="15"/>
      <c r="U860" s="15"/>
      <c r="V860" s="15"/>
      <c r="W860" s="15"/>
      <c r="X860" s="15"/>
      <c r="Y860" s="15"/>
      <c r="Z860" s="15"/>
    </row>
    <row r="861" spans="1:26" x14ac:dyDescent="0.3">
      <c r="A861" s="17"/>
      <c r="B861" s="17"/>
      <c r="C861" s="35" t="s">
        <v>1522</v>
      </c>
      <c r="D861" s="17"/>
      <c r="E861" s="17"/>
      <c r="F861" s="17"/>
      <c r="G861" s="17"/>
      <c r="H861" s="17"/>
      <c r="I861" s="17"/>
      <c r="J861" s="17"/>
      <c r="K861" s="17"/>
      <c r="L861" s="15"/>
      <c r="M861" s="15"/>
      <c r="N861" s="15"/>
      <c r="O861" s="15"/>
      <c r="P861" s="15"/>
      <c r="Q861" s="15"/>
      <c r="R861" s="15"/>
      <c r="S861" s="15"/>
      <c r="T861" s="15"/>
      <c r="U861" s="15"/>
      <c r="V861" s="15"/>
      <c r="W861" s="15"/>
      <c r="X861" s="15"/>
      <c r="Y861" s="15"/>
      <c r="Z861" s="15"/>
    </row>
    <row r="862" spans="1:26" x14ac:dyDescent="0.3">
      <c r="A862" s="17"/>
      <c r="B862" s="17"/>
      <c r="C862" s="35" t="s">
        <v>1523</v>
      </c>
      <c r="D862" s="17"/>
      <c r="E862" s="17"/>
      <c r="F862" s="17"/>
      <c r="G862" s="17"/>
      <c r="H862" s="17"/>
      <c r="I862" s="17"/>
      <c r="J862" s="17"/>
      <c r="K862" s="17"/>
      <c r="L862" s="15"/>
      <c r="M862" s="15"/>
      <c r="N862" s="15"/>
      <c r="O862" s="15"/>
      <c r="P862" s="15"/>
      <c r="Q862" s="15"/>
      <c r="R862" s="15"/>
      <c r="S862" s="15"/>
      <c r="T862" s="15"/>
      <c r="U862" s="15"/>
      <c r="V862" s="15"/>
      <c r="W862" s="15"/>
      <c r="X862" s="15"/>
      <c r="Y862" s="15"/>
      <c r="Z862" s="15"/>
    </row>
    <row r="863" spans="1:26" x14ac:dyDescent="0.3">
      <c r="A863" s="17"/>
      <c r="B863" s="17"/>
      <c r="C863" s="35" t="s">
        <v>1524</v>
      </c>
      <c r="D863" s="17"/>
      <c r="E863" s="17"/>
      <c r="F863" s="17"/>
      <c r="G863" s="17"/>
      <c r="H863" s="17"/>
      <c r="I863" s="17"/>
      <c r="J863" s="17"/>
      <c r="K863" s="17"/>
      <c r="L863" s="15"/>
      <c r="M863" s="15"/>
      <c r="N863" s="15"/>
      <c r="O863" s="15"/>
      <c r="P863" s="15"/>
      <c r="Q863" s="15"/>
      <c r="R863" s="15"/>
      <c r="S863" s="15"/>
      <c r="T863" s="15"/>
      <c r="U863" s="15"/>
      <c r="V863" s="15"/>
      <c r="W863" s="15"/>
      <c r="X863" s="15"/>
      <c r="Y863" s="15"/>
      <c r="Z863" s="15"/>
    </row>
    <row r="864" spans="1:26" x14ac:dyDescent="0.3">
      <c r="A864" s="17"/>
      <c r="B864" s="17"/>
      <c r="C864" s="35" t="s">
        <v>1525</v>
      </c>
      <c r="D864" s="17"/>
      <c r="E864" s="17"/>
      <c r="F864" s="17"/>
      <c r="G864" s="17"/>
      <c r="H864" s="17"/>
      <c r="I864" s="17"/>
      <c r="J864" s="17"/>
      <c r="K864" s="17"/>
      <c r="L864" s="15"/>
      <c r="M864" s="15"/>
      <c r="N864" s="15"/>
      <c r="O864" s="15"/>
      <c r="P864" s="15"/>
      <c r="Q864" s="15"/>
      <c r="R864" s="15"/>
      <c r="S864" s="15"/>
      <c r="T864" s="15"/>
      <c r="U864" s="15"/>
      <c r="V864" s="15"/>
      <c r="W864" s="15"/>
      <c r="X864" s="15"/>
      <c r="Y864" s="15"/>
      <c r="Z864" s="15"/>
    </row>
    <row r="865" spans="1:26" x14ac:dyDescent="0.3">
      <c r="A865" s="17"/>
      <c r="B865" s="17"/>
      <c r="C865" s="17" t="s">
        <v>1526</v>
      </c>
      <c r="D865" s="17"/>
      <c r="E865" s="17"/>
      <c r="F865" s="17"/>
      <c r="G865" s="17"/>
      <c r="H865" s="17"/>
      <c r="I865" s="17"/>
      <c r="J865" s="17"/>
      <c r="K865" s="17"/>
      <c r="L865" s="15"/>
      <c r="M865" s="15"/>
      <c r="N865" s="15"/>
      <c r="O865" s="15"/>
      <c r="P865" s="15"/>
      <c r="Q865" s="15"/>
      <c r="R865" s="15"/>
      <c r="S865" s="15"/>
      <c r="T865" s="15"/>
      <c r="U865" s="15"/>
      <c r="V865" s="15"/>
      <c r="W865" s="15"/>
      <c r="X865" s="15"/>
      <c r="Y865" s="15"/>
      <c r="Z865" s="15"/>
    </row>
    <row r="866" spans="1:26" x14ac:dyDescent="0.3">
      <c r="A866" s="17"/>
      <c r="B866" s="17"/>
      <c r="C866" s="35" t="s">
        <v>1527</v>
      </c>
      <c r="D866" s="17"/>
      <c r="E866" s="17"/>
      <c r="F866" s="17"/>
      <c r="G866" s="17"/>
      <c r="H866" s="17"/>
      <c r="I866" s="17"/>
      <c r="J866" s="17"/>
      <c r="K866" s="17"/>
      <c r="L866" s="15"/>
      <c r="M866" s="15"/>
      <c r="N866" s="15"/>
      <c r="O866" s="15"/>
      <c r="P866" s="15"/>
      <c r="Q866" s="15"/>
      <c r="R866" s="15"/>
      <c r="S866" s="15"/>
      <c r="T866" s="15"/>
      <c r="U866" s="15"/>
      <c r="V866" s="15"/>
      <c r="W866" s="15"/>
      <c r="X866" s="15"/>
      <c r="Y866" s="15"/>
      <c r="Z866" s="15"/>
    </row>
    <row r="867" spans="1:26" x14ac:dyDescent="0.3">
      <c r="A867" s="17"/>
      <c r="B867" s="17"/>
      <c r="C867" s="35" t="s">
        <v>1528</v>
      </c>
      <c r="D867" s="17"/>
      <c r="E867" s="17"/>
      <c r="F867" s="17"/>
      <c r="G867" s="17"/>
      <c r="H867" s="17"/>
      <c r="I867" s="17"/>
      <c r="J867" s="17"/>
      <c r="K867" s="17"/>
      <c r="L867" s="15"/>
      <c r="M867" s="15"/>
      <c r="N867" s="15"/>
      <c r="O867" s="15"/>
      <c r="P867" s="15"/>
      <c r="Q867" s="15"/>
      <c r="R867" s="15"/>
      <c r="S867" s="15"/>
      <c r="T867" s="15"/>
      <c r="U867" s="15"/>
      <c r="V867" s="15"/>
      <c r="W867" s="15"/>
      <c r="X867" s="15"/>
      <c r="Y867" s="15"/>
      <c r="Z867" s="15"/>
    </row>
    <row r="868" spans="1:26" x14ac:dyDescent="0.3">
      <c r="A868" s="17"/>
      <c r="B868" s="17"/>
      <c r="C868" s="17"/>
      <c r="D868" s="17"/>
      <c r="E868" s="17"/>
      <c r="F868" s="17"/>
      <c r="G868" s="17"/>
      <c r="H868" s="17"/>
      <c r="I868" s="17"/>
      <c r="J868" s="17"/>
      <c r="K868" s="17"/>
      <c r="L868" s="15"/>
      <c r="M868" s="15"/>
      <c r="N868" s="15"/>
      <c r="O868" s="15"/>
      <c r="P868" s="15"/>
      <c r="Q868" s="15"/>
      <c r="R868" s="15"/>
      <c r="S868" s="15"/>
      <c r="T868" s="15"/>
      <c r="U868" s="15"/>
      <c r="V868" s="15"/>
      <c r="W868" s="15"/>
      <c r="X868" s="15"/>
      <c r="Y868" s="15"/>
      <c r="Z868" s="15"/>
    </row>
    <row r="869" spans="1:26" x14ac:dyDescent="0.3">
      <c r="A869" s="17"/>
      <c r="B869" s="17"/>
      <c r="C869" s="17"/>
      <c r="D869" s="17"/>
      <c r="E869" s="17"/>
      <c r="F869" s="17"/>
      <c r="G869" s="17"/>
      <c r="H869" s="17"/>
      <c r="I869" s="17"/>
      <c r="J869" s="17"/>
      <c r="K869" s="17"/>
      <c r="L869" s="15"/>
      <c r="M869" s="15"/>
      <c r="N869" s="15"/>
      <c r="O869" s="15"/>
      <c r="P869" s="15"/>
      <c r="Q869" s="15"/>
      <c r="R869" s="15"/>
      <c r="S869" s="15"/>
      <c r="T869" s="15"/>
      <c r="U869" s="15"/>
      <c r="V869" s="15"/>
      <c r="W869" s="15"/>
      <c r="X869" s="15"/>
      <c r="Y869" s="15"/>
      <c r="Z869" s="15"/>
    </row>
    <row r="870" spans="1:26" x14ac:dyDescent="0.3">
      <c r="A870" s="22"/>
      <c r="B870" s="22"/>
      <c r="C870" s="21" t="s">
        <v>1529</v>
      </c>
      <c r="D870" s="22"/>
      <c r="E870" s="22"/>
      <c r="F870" s="22"/>
      <c r="G870" s="22"/>
      <c r="H870" s="22"/>
      <c r="I870" s="22"/>
      <c r="J870" s="22"/>
      <c r="K870" s="22"/>
      <c r="L870" s="15"/>
      <c r="M870" s="15"/>
      <c r="N870" s="15"/>
      <c r="O870" s="15"/>
      <c r="P870" s="15"/>
      <c r="Q870" s="15"/>
      <c r="R870" s="15"/>
      <c r="S870" s="15"/>
      <c r="T870" s="15"/>
      <c r="U870" s="15"/>
      <c r="V870" s="15"/>
      <c r="W870" s="15"/>
      <c r="X870" s="15"/>
      <c r="Y870" s="15"/>
      <c r="Z870" s="15"/>
    </row>
    <row r="871" spans="1:26" x14ac:dyDescent="0.3">
      <c r="A871" s="17"/>
      <c r="B871" s="17"/>
      <c r="C871" s="17"/>
      <c r="D871" s="17"/>
      <c r="E871" s="17"/>
      <c r="F871" s="17"/>
      <c r="G871" s="17"/>
      <c r="H871" s="17"/>
      <c r="I871" s="17"/>
      <c r="J871" s="17"/>
      <c r="K871" s="17"/>
      <c r="L871" s="15"/>
      <c r="M871" s="15"/>
      <c r="N871" s="15"/>
      <c r="O871" s="15"/>
      <c r="P871" s="15"/>
      <c r="Q871" s="15"/>
      <c r="R871" s="15"/>
      <c r="S871" s="15"/>
      <c r="T871" s="15"/>
      <c r="U871" s="15"/>
      <c r="V871" s="15"/>
      <c r="W871" s="15"/>
      <c r="X871" s="15"/>
      <c r="Y871" s="15"/>
      <c r="Z871" s="15"/>
    </row>
    <row r="872" spans="1:26" x14ac:dyDescent="0.3">
      <c r="A872" s="20" t="s">
        <v>1530</v>
      </c>
      <c r="B872" s="22"/>
      <c r="C872" s="21" t="s">
        <v>1531</v>
      </c>
      <c r="D872" s="22"/>
      <c r="E872" s="22"/>
      <c r="F872" s="22"/>
      <c r="G872" s="22"/>
      <c r="H872" s="22"/>
      <c r="I872" s="22"/>
      <c r="J872" s="22"/>
      <c r="K872" s="22"/>
      <c r="L872" s="15"/>
      <c r="M872" s="15"/>
      <c r="N872" s="15"/>
      <c r="O872" s="15"/>
      <c r="P872" s="15"/>
      <c r="Q872" s="15"/>
      <c r="R872" s="15"/>
      <c r="S872" s="15"/>
      <c r="T872" s="15"/>
      <c r="U872" s="15"/>
      <c r="V872" s="15"/>
      <c r="W872" s="15"/>
      <c r="X872" s="15"/>
      <c r="Y872" s="15"/>
      <c r="Z872" s="15"/>
    </row>
    <row r="873" spans="1:26" x14ac:dyDescent="0.3">
      <c r="A873" s="17"/>
      <c r="B873" s="17"/>
      <c r="C873" s="17"/>
      <c r="D873" s="17"/>
      <c r="E873" s="17"/>
      <c r="F873" s="17"/>
      <c r="G873" s="17"/>
      <c r="H873" s="17"/>
      <c r="I873" s="17"/>
      <c r="J873" s="17"/>
      <c r="K873" s="17"/>
      <c r="L873" s="15"/>
      <c r="M873" s="15"/>
      <c r="N873" s="15"/>
      <c r="O873" s="15"/>
      <c r="P873" s="15"/>
      <c r="Q873" s="15"/>
      <c r="R873" s="15"/>
      <c r="S873" s="15"/>
      <c r="T873" s="15"/>
      <c r="U873" s="15"/>
      <c r="V873" s="15"/>
      <c r="W873" s="15"/>
      <c r="X873" s="15"/>
      <c r="Y873" s="15"/>
      <c r="Z873" s="15"/>
    </row>
    <row r="874" spans="1:26" x14ac:dyDescent="0.3">
      <c r="A874" s="17"/>
      <c r="B874" s="17"/>
      <c r="C874" s="35" t="s">
        <v>1532</v>
      </c>
      <c r="D874" s="17"/>
      <c r="E874" s="17"/>
      <c r="F874" s="17"/>
      <c r="G874" s="17"/>
      <c r="H874" s="17"/>
      <c r="I874" s="17"/>
      <c r="J874" s="17"/>
      <c r="K874" s="17"/>
      <c r="L874" s="15"/>
      <c r="M874" s="15"/>
      <c r="N874" s="15"/>
      <c r="O874" s="15"/>
      <c r="P874" s="15"/>
      <c r="Q874" s="15"/>
      <c r="R874" s="15"/>
      <c r="S874" s="15"/>
      <c r="T874" s="15"/>
      <c r="U874" s="15"/>
      <c r="V874" s="15"/>
      <c r="W874" s="15"/>
      <c r="X874" s="15"/>
      <c r="Y874" s="15"/>
      <c r="Z874" s="15"/>
    </row>
    <row r="875" spans="1:26" x14ac:dyDescent="0.3">
      <c r="A875" s="37">
        <v>1</v>
      </c>
      <c r="B875" s="39" t="s">
        <v>1533</v>
      </c>
      <c r="C875" s="35" t="s">
        <v>1534</v>
      </c>
      <c r="D875" s="26" t="s">
        <v>1535</v>
      </c>
      <c r="E875" s="26"/>
      <c r="F875" s="24">
        <v>3</v>
      </c>
      <c r="G875" s="24"/>
      <c r="H875" s="24"/>
      <c r="I875" s="24"/>
      <c r="J875" s="24"/>
      <c r="K875" s="24"/>
      <c r="L875" s="15"/>
      <c r="M875" s="15"/>
      <c r="N875" s="15"/>
      <c r="O875" s="15"/>
      <c r="P875" s="15"/>
      <c r="Q875" s="15"/>
      <c r="R875" s="15"/>
      <c r="S875" s="15"/>
      <c r="T875" s="15"/>
      <c r="U875" s="15"/>
      <c r="V875" s="15"/>
      <c r="W875" s="15"/>
      <c r="X875" s="15"/>
      <c r="Y875" s="15"/>
      <c r="Z875" s="15"/>
    </row>
    <row r="876" spans="1:26" x14ac:dyDescent="0.3">
      <c r="A876" s="17"/>
      <c r="B876" s="17"/>
      <c r="C876" s="17" t="s">
        <v>1536</v>
      </c>
      <c r="D876" s="17"/>
      <c r="E876" s="17"/>
      <c r="F876" s="17"/>
      <c r="G876" s="17"/>
      <c r="H876" s="17"/>
      <c r="I876" s="17"/>
      <c r="J876" s="17"/>
      <c r="K876" s="17"/>
      <c r="L876" s="15"/>
      <c r="M876" s="15"/>
      <c r="N876" s="15"/>
      <c r="O876" s="15"/>
      <c r="P876" s="15"/>
      <c r="Q876" s="15"/>
      <c r="R876" s="15"/>
      <c r="S876" s="15"/>
      <c r="T876" s="15"/>
      <c r="U876" s="15"/>
      <c r="V876" s="15"/>
      <c r="W876" s="15"/>
      <c r="X876" s="15"/>
      <c r="Y876" s="15"/>
      <c r="Z876" s="15"/>
    </row>
    <row r="877" spans="1:26" x14ac:dyDescent="0.3">
      <c r="A877" s="17"/>
      <c r="B877" s="17"/>
      <c r="C877" s="17"/>
      <c r="D877" s="17"/>
      <c r="E877" s="17"/>
      <c r="F877" s="17"/>
      <c r="G877" s="17"/>
      <c r="H877" s="17"/>
      <c r="I877" s="17"/>
      <c r="J877" s="17"/>
      <c r="K877" s="17"/>
      <c r="L877" s="15"/>
      <c r="M877" s="15"/>
      <c r="N877" s="15"/>
      <c r="O877" s="15"/>
      <c r="P877" s="15"/>
      <c r="Q877" s="15"/>
      <c r="R877" s="15"/>
      <c r="S877" s="15"/>
      <c r="T877" s="15"/>
      <c r="U877" s="15"/>
      <c r="V877" s="15"/>
      <c r="W877" s="15"/>
      <c r="X877" s="15"/>
      <c r="Y877" s="15"/>
      <c r="Z877" s="15"/>
    </row>
    <row r="878" spans="1:26" x14ac:dyDescent="0.3">
      <c r="A878" s="37">
        <v>2</v>
      </c>
      <c r="B878" s="39" t="s">
        <v>1537</v>
      </c>
      <c r="C878" s="35" t="s">
        <v>1538</v>
      </c>
      <c r="D878" s="26" t="s">
        <v>1539</v>
      </c>
      <c r="E878" s="26"/>
      <c r="F878" s="24">
        <v>3</v>
      </c>
      <c r="G878" s="24"/>
      <c r="H878" s="24"/>
      <c r="I878" s="24"/>
      <c r="J878" s="24"/>
      <c r="K878" s="24"/>
      <c r="L878" s="15"/>
      <c r="M878" s="15"/>
      <c r="N878" s="15"/>
      <c r="O878" s="15"/>
      <c r="P878" s="15"/>
      <c r="Q878" s="15"/>
      <c r="R878" s="15"/>
      <c r="S878" s="15"/>
      <c r="T878" s="15"/>
      <c r="U878" s="15"/>
      <c r="V878" s="15"/>
      <c r="W878" s="15"/>
      <c r="X878" s="15"/>
      <c r="Y878" s="15"/>
      <c r="Z878" s="15"/>
    </row>
    <row r="879" spans="1:26" x14ac:dyDescent="0.3">
      <c r="A879" s="17"/>
      <c r="B879" s="17"/>
      <c r="C879" s="27" t="s">
        <v>1540</v>
      </c>
      <c r="D879" s="17"/>
      <c r="E879" s="17"/>
      <c r="F879" s="17"/>
      <c r="G879" s="17"/>
      <c r="H879" s="17"/>
      <c r="I879" s="17"/>
      <c r="J879" s="17"/>
      <c r="K879" s="17"/>
      <c r="L879" s="15"/>
      <c r="M879" s="15"/>
      <c r="N879" s="15"/>
      <c r="O879" s="15"/>
      <c r="P879" s="15"/>
      <c r="Q879" s="15"/>
      <c r="R879" s="15"/>
      <c r="S879" s="15"/>
      <c r="T879" s="15"/>
      <c r="U879" s="15"/>
      <c r="V879" s="15"/>
      <c r="W879" s="15"/>
      <c r="X879" s="15"/>
      <c r="Y879" s="15"/>
      <c r="Z879" s="15"/>
    </row>
    <row r="880" spans="1:26" x14ac:dyDescent="0.3">
      <c r="A880" s="17"/>
      <c r="B880" s="17"/>
      <c r="C880" s="17"/>
      <c r="D880" s="17"/>
      <c r="E880" s="17"/>
      <c r="F880" s="17"/>
      <c r="G880" s="17"/>
      <c r="H880" s="17"/>
      <c r="I880" s="17"/>
      <c r="J880" s="17"/>
      <c r="K880" s="17"/>
      <c r="L880" s="15"/>
      <c r="M880" s="15"/>
      <c r="N880" s="15"/>
      <c r="O880" s="15"/>
      <c r="P880" s="15"/>
      <c r="Q880" s="15"/>
      <c r="R880" s="15"/>
      <c r="S880" s="15"/>
      <c r="T880" s="15"/>
      <c r="U880" s="15"/>
      <c r="V880" s="15"/>
      <c r="W880" s="15"/>
      <c r="X880" s="15"/>
      <c r="Y880" s="15"/>
      <c r="Z880" s="15"/>
    </row>
    <row r="881" spans="1:26" x14ac:dyDescent="0.3">
      <c r="A881" s="37">
        <v>3</v>
      </c>
      <c r="B881" s="39" t="s">
        <v>1541</v>
      </c>
      <c r="C881" s="35" t="s">
        <v>1542</v>
      </c>
      <c r="D881" s="26" t="s">
        <v>1543</v>
      </c>
      <c r="E881" s="26"/>
      <c r="F881" s="24">
        <v>11</v>
      </c>
      <c r="G881" s="24"/>
      <c r="H881" s="24"/>
      <c r="I881" s="24"/>
      <c r="J881" s="24"/>
      <c r="K881" s="24"/>
      <c r="L881" s="15"/>
      <c r="M881" s="15"/>
      <c r="N881" s="15"/>
      <c r="O881" s="15"/>
      <c r="P881" s="15"/>
      <c r="Q881" s="15"/>
      <c r="R881" s="15"/>
      <c r="S881" s="15"/>
      <c r="T881" s="15"/>
      <c r="U881" s="15"/>
      <c r="V881" s="15"/>
      <c r="W881" s="15"/>
      <c r="X881" s="15"/>
      <c r="Y881" s="15"/>
      <c r="Z881" s="15"/>
    </row>
    <row r="882" spans="1:26" x14ac:dyDescent="0.3">
      <c r="A882" s="17"/>
      <c r="B882" s="17"/>
      <c r="C882" s="27" t="s">
        <v>1544</v>
      </c>
      <c r="D882" s="17"/>
      <c r="E882" s="17"/>
      <c r="F882" s="17"/>
      <c r="G882" s="17"/>
      <c r="H882" s="17"/>
      <c r="I882" s="17"/>
      <c r="J882" s="17"/>
      <c r="K882" s="17"/>
      <c r="L882" s="15"/>
      <c r="M882" s="15"/>
      <c r="N882" s="15"/>
      <c r="O882" s="15"/>
      <c r="P882" s="15"/>
      <c r="Q882" s="15"/>
      <c r="R882" s="15"/>
      <c r="S882" s="15"/>
      <c r="T882" s="15"/>
      <c r="U882" s="15"/>
      <c r="V882" s="15"/>
      <c r="W882" s="15"/>
      <c r="X882" s="15"/>
      <c r="Y882" s="15"/>
      <c r="Z882" s="15"/>
    </row>
    <row r="883" spans="1:26" x14ac:dyDescent="0.3">
      <c r="A883" s="17"/>
      <c r="B883" s="17"/>
      <c r="C883" s="17"/>
      <c r="D883" s="17"/>
      <c r="E883" s="17"/>
      <c r="F883" s="17"/>
      <c r="G883" s="17"/>
      <c r="H883" s="17"/>
      <c r="I883" s="17"/>
      <c r="J883" s="17"/>
      <c r="K883" s="17"/>
      <c r="L883" s="15"/>
      <c r="M883" s="15"/>
      <c r="N883" s="15"/>
      <c r="O883" s="15"/>
      <c r="P883" s="15"/>
      <c r="Q883" s="15"/>
      <c r="R883" s="15"/>
      <c r="S883" s="15"/>
      <c r="T883" s="15"/>
      <c r="U883" s="15"/>
      <c r="V883" s="15"/>
      <c r="W883" s="15"/>
      <c r="X883" s="15"/>
      <c r="Y883" s="15"/>
      <c r="Z883" s="15"/>
    </row>
    <row r="884" spans="1:26" x14ac:dyDescent="0.3">
      <c r="A884" s="37">
        <v>4</v>
      </c>
      <c r="B884" s="39" t="s">
        <v>1545</v>
      </c>
      <c r="C884" s="35" t="s">
        <v>1546</v>
      </c>
      <c r="D884" s="26" t="s">
        <v>1547</v>
      </c>
      <c r="E884" s="26"/>
      <c r="F884" s="24">
        <v>7</v>
      </c>
      <c r="G884" s="24"/>
      <c r="H884" s="24"/>
      <c r="I884" s="24"/>
      <c r="J884" s="24"/>
      <c r="K884" s="24"/>
      <c r="L884" s="15"/>
      <c r="M884" s="15"/>
      <c r="N884" s="15"/>
      <c r="O884" s="15"/>
      <c r="P884" s="15"/>
      <c r="Q884" s="15"/>
      <c r="R884" s="15"/>
      <c r="S884" s="15"/>
      <c r="T884" s="15"/>
      <c r="U884" s="15"/>
      <c r="V884" s="15"/>
      <c r="W884" s="15"/>
      <c r="X884" s="15"/>
      <c r="Y884" s="15"/>
      <c r="Z884" s="15"/>
    </row>
    <row r="885" spans="1:26" x14ac:dyDescent="0.3">
      <c r="A885" s="17"/>
      <c r="B885" s="17"/>
      <c r="C885" s="27" t="s">
        <v>1548</v>
      </c>
      <c r="D885" s="17"/>
      <c r="E885" s="17"/>
      <c r="F885" s="17"/>
      <c r="G885" s="17"/>
      <c r="H885" s="17"/>
      <c r="I885" s="17"/>
      <c r="J885" s="17"/>
      <c r="K885" s="17"/>
      <c r="L885" s="15"/>
      <c r="M885" s="15"/>
      <c r="N885" s="15"/>
      <c r="O885" s="15"/>
      <c r="P885" s="15"/>
      <c r="Q885" s="15"/>
      <c r="R885" s="15"/>
      <c r="S885" s="15"/>
      <c r="T885" s="15"/>
      <c r="U885" s="15"/>
      <c r="V885" s="15"/>
      <c r="W885" s="15"/>
      <c r="X885" s="15"/>
      <c r="Y885" s="15"/>
      <c r="Z885" s="15"/>
    </row>
    <row r="886" spans="1:26" x14ac:dyDescent="0.3">
      <c r="A886" s="17"/>
      <c r="B886" s="17"/>
      <c r="C886" s="17"/>
      <c r="D886" s="17"/>
      <c r="E886" s="17"/>
      <c r="F886" s="17"/>
      <c r="G886" s="17"/>
      <c r="H886" s="17"/>
      <c r="I886" s="17"/>
      <c r="J886" s="17"/>
      <c r="K886" s="17"/>
      <c r="L886" s="15"/>
      <c r="M886" s="15"/>
      <c r="N886" s="15"/>
      <c r="O886" s="15"/>
      <c r="P886" s="15"/>
      <c r="Q886" s="15"/>
      <c r="R886" s="15"/>
      <c r="S886" s="15"/>
      <c r="T886" s="15"/>
      <c r="U886" s="15"/>
      <c r="V886" s="15"/>
      <c r="W886" s="15"/>
      <c r="X886" s="15"/>
      <c r="Y886" s="15"/>
      <c r="Z886" s="15"/>
    </row>
    <row r="887" spans="1:26" x14ac:dyDescent="0.3">
      <c r="A887" s="37">
        <v>5</v>
      </c>
      <c r="B887" s="39" t="s">
        <v>1549</v>
      </c>
      <c r="C887" s="35" t="s">
        <v>1550</v>
      </c>
      <c r="D887" s="26" t="s">
        <v>1551</v>
      </c>
      <c r="E887" s="26"/>
      <c r="F887" s="24">
        <v>150</v>
      </c>
      <c r="G887" s="24"/>
      <c r="H887" s="24"/>
      <c r="I887" s="24"/>
      <c r="J887" s="24"/>
      <c r="K887" s="24"/>
      <c r="L887" s="15"/>
      <c r="M887" s="15"/>
      <c r="N887" s="15"/>
      <c r="O887" s="15"/>
      <c r="P887" s="15"/>
      <c r="Q887" s="15"/>
      <c r="R887" s="15"/>
      <c r="S887" s="15"/>
      <c r="T887" s="15"/>
      <c r="U887" s="15"/>
      <c r="V887" s="15"/>
      <c r="W887" s="15"/>
      <c r="X887" s="15"/>
      <c r="Y887" s="15"/>
      <c r="Z887" s="15"/>
    </row>
    <row r="888" spans="1:26" x14ac:dyDescent="0.3">
      <c r="A888" s="17"/>
      <c r="B888" s="17"/>
      <c r="C888" s="27" t="s">
        <v>1552</v>
      </c>
      <c r="D888" s="17"/>
      <c r="E888" s="17"/>
      <c r="F888" s="17"/>
      <c r="G888" s="17"/>
      <c r="H888" s="17"/>
      <c r="I888" s="17"/>
      <c r="J888" s="17"/>
      <c r="K888" s="17"/>
      <c r="L888" s="15"/>
      <c r="M888" s="15"/>
      <c r="N888" s="15"/>
      <c r="O888" s="15"/>
      <c r="P888" s="15"/>
      <c r="Q888" s="15"/>
      <c r="R888" s="15"/>
      <c r="S888" s="15"/>
      <c r="T888" s="15"/>
      <c r="U888" s="15"/>
      <c r="V888" s="15"/>
      <c r="W888" s="15"/>
      <c r="X888" s="15"/>
      <c r="Y888" s="15"/>
      <c r="Z888" s="15"/>
    </row>
    <row r="889" spans="1:26" x14ac:dyDescent="0.3">
      <c r="A889" s="17"/>
      <c r="B889" s="17"/>
      <c r="C889" s="17"/>
      <c r="D889" s="17"/>
      <c r="E889" s="17"/>
      <c r="F889" s="17"/>
      <c r="G889" s="17"/>
      <c r="H889" s="17"/>
      <c r="I889" s="17"/>
      <c r="J889" s="17"/>
      <c r="K889" s="17"/>
      <c r="L889" s="15"/>
      <c r="M889" s="15"/>
      <c r="N889" s="15"/>
      <c r="O889" s="15"/>
      <c r="P889" s="15"/>
      <c r="Q889" s="15"/>
      <c r="R889" s="15"/>
      <c r="S889" s="15"/>
      <c r="T889" s="15"/>
      <c r="U889" s="15"/>
      <c r="V889" s="15"/>
      <c r="W889" s="15"/>
      <c r="X889" s="15"/>
      <c r="Y889" s="15"/>
      <c r="Z889" s="15"/>
    </row>
    <row r="890" spans="1:26" x14ac:dyDescent="0.3">
      <c r="A890" s="37">
        <v>6</v>
      </c>
      <c r="B890" s="39" t="s">
        <v>1553</v>
      </c>
      <c r="C890" s="35" t="s">
        <v>1554</v>
      </c>
      <c r="D890" s="26" t="s">
        <v>1555</v>
      </c>
      <c r="E890" s="26"/>
      <c r="F890" s="24">
        <v>3</v>
      </c>
      <c r="G890" s="24"/>
      <c r="H890" s="24"/>
      <c r="I890" s="24"/>
      <c r="J890" s="24"/>
      <c r="K890" s="24"/>
      <c r="L890" s="15"/>
      <c r="M890" s="15"/>
      <c r="N890" s="15"/>
      <c r="O890" s="15"/>
      <c r="P890" s="15"/>
      <c r="Q890" s="15"/>
      <c r="R890" s="15"/>
      <c r="S890" s="15"/>
      <c r="T890" s="15"/>
      <c r="U890" s="15"/>
      <c r="V890" s="15"/>
      <c r="W890" s="15"/>
      <c r="X890" s="15"/>
      <c r="Y890" s="15"/>
      <c r="Z890" s="15"/>
    </row>
    <row r="891" spans="1:26" x14ac:dyDescent="0.3">
      <c r="A891" s="17"/>
      <c r="B891" s="17"/>
      <c r="C891" s="27" t="s">
        <v>1556</v>
      </c>
      <c r="D891" s="17"/>
      <c r="E891" s="17"/>
      <c r="F891" s="17"/>
      <c r="G891" s="17"/>
      <c r="H891" s="17"/>
      <c r="I891" s="17"/>
      <c r="J891" s="17"/>
      <c r="K891" s="17"/>
      <c r="L891" s="15"/>
      <c r="M891" s="15"/>
      <c r="N891" s="15"/>
      <c r="O891" s="15"/>
      <c r="P891" s="15"/>
      <c r="Q891" s="15"/>
      <c r="R891" s="15"/>
      <c r="S891" s="15"/>
      <c r="T891" s="15"/>
      <c r="U891" s="15"/>
      <c r="V891" s="15"/>
      <c r="W891" s="15"/>
      <c r="X891" s="15"/>
      <c r="Y891" s="15"/>
      <c r="Z891" s="15"/>
    </row>
    <row r="892" spans="1:26" x14ac:dyDescent="0.3">
      <c r="A892" s="17"/>
      <c r="B892" s="17"/>
      <c r="C892" s="17"/>
      <c r="D892" s="17"/>
      <c r="E892" s="17"/>
      <c r="F892" s="17"/>
      <c r="G892" s="17"/>
      <c r="H892" s="17"/>
      <c r="I892" s="17"/>
      <c r="J892" s="17"/>
      <c r="K892" s="17"/>
      <c r="L892" s="15"/>
      <c r="M892" s="15"/>
      <c r="N892" s="15"/>
      <c r="O892" s="15"/>
      <c r="P892" s="15"/>
      <c r="Q892" s="15"/>
      <c r="R892" s="15"/>
      <c r="S892" s="15"/>
      <c r="T892" s="15"/>
      <c r="U892" s="15"/>
      <c r="V892" s="15"/>
      <c r="W892" s="15"/>
      <c r="X892" s="15"/>
      <c r="Y892" s="15"/>
      <c r="Z892" s="15"/>
    </row>
    <row r="893" spans="1:26" x14ac:dyDescent="0.3">
      <c r="A893" s="17"/>
      <c r="B893" s="17"/>
      <c r="C893" s="27" t="s">
        <v>1557</v>
      </c>
      <c r="D893" s="17"/>
      <c r="E893" s="17"/>
      <c r="F893" s="17"/>
      <c r="G893" s="17"/>
      <c r="H893" s="17"/>
      <c r="I893" s="17"/>
      <c r="J893" s="17"/>
      <c r="K893" s="17"/>
      <c r="L893" s="15"/>
      <c r="M893" s="15"/>
      <c r="N893" s="15"/>
      <c r="O893" s="15"/>
      <c r="P893" s="15"/>
      <c r="Q893" s="15"/>
      <c r="R893" s="15"/>
      <c r="S893" s="15"/>
      <c r="T893" s="15"/>
      <c r="U893" s="15"/>
      <c r="V893" s="15"/>
      <c r="W893" s="15"/>
      <c r="X893" s="15"/>
      <c r="Y893" s="15"/>
      <c r="Z893" s="15"/>
    </row>
    <row r="894" spans="1:26" x14ac:dyDescent="0.3">
      <c r="A894" s="17"/>
      <c r="B894" s="17"/>
      <c r="C894" s="17"/>
      <c r="D894" s="17"/>
      <c r="E894" s="17"/>
      <c r="F894" s="17"/>
      <c r="G894" s="17"/>
      <c r="H894" s="17"/>
      <c r="I894" s="17"/>
      <c r="J894" s="17"/>
      <c r="K894" s="17"/>
      <c r="L894" s="15"/>
      <c r="M894" s="15"/>
      <c r="N894" s="15"/>
      <c r="O894" s="15"/>
      <c r="P894" s="15"/>
      <c r="Q894" s="15"/>
      <c r="R894" s="15"/>
      <c r="S894" s="15"/>
      <c r="T894" s="15"/>
      <c r="U894" s="15"/>
      <c r="V894" s="15"/>
      <c r="W894" s="15"/>
      <c r="X894" s="15"/>
      <c r="Y894" s="15"/>
      <c r="Z894" s="15"/>
    </row>
    <row r="895" spans="1:26" x14ac:dyDescent="0.3">
      <c r="A895" s="22"/>
      <c r="B895" s="22"/>
      <c r="C895" s="21" t="s">
        <v>1558</v>
      </c>
      <c r="D895" s="22"/>
      <c r="E895" s="22"/>
      <c r="F895" s="22"/>
      <c r="G895" s="22"/>
      <c r="H895" s="22"/>
      <c r="I895" s="22"/>
      <c r="J895" s="22"/>
      <c r="K895" s="22"/>
      <c r="L895" s="15"/>
      <c r="M895" s="15"/>
      <c r="N895" s="15"/>
      <c r="O895" s="15"/>
      <c r="P895" s="15"/>
      <c r="Q895" s="15"/>
      <c r="R895" s="15"/>
      <c r="S895" s="15"/>
      <c r="T895" s="15"/>
      <c r="U895" s="15"/>
      <c r="V895" s="15"/>
      <c r="W895" s="15"/>
      <c r="X895" s="15"/>
      <c r="Y895" s="15"/>
      <c r="Z895" s="15"/>
    </row>
    <row r="896" spans="1:26" x14ac:dyDescent="0.3">
      <c r="A896" s="17"/>
      <c r="B896" s="17"/>
      <c r="C896" s="17"/>
      <c r="D896" s="17"/>
      <c r="E896" s="17"/>
      <c r="F896" s="17"/>
      <c r="G896" s="17"/>
      <c r="H896" s="17"/>
      <c r="I896" s="17"/>
      <c r="J896" s="17"/>
      <c r="K896" s="17"/>
      <c r="L896" s="15"/>
      <c r="M896" s="15"/>
      <c r="N896" s="15"/>
      <c r="O896" s="15"/>
      <c r="P896" s="15"/>
      <c r="Q896" s="15"/>
      <c r="R896" s="15"/>
      <c r="S896" s="15"/>
      <c r="T896" s="15"/>
      <c r="U896" s="15"/>
      <c r="V896" s="15"/>
      <c r="W896" s="15"/>
      <c r="X896" s="15"/>
      <c r="Y896" s="15"/>
      <c r="Z896" s="15"/>
    </row>
    <row r="897" spans="1:26" x14ac:dyDescent="0.3">
      <c r="A897" s="20" t="s">
        <v>1559</v>
      </c>
      <c r="B897" s="22"/>
      <c r="C897" s="21" t="s">
        <v>1560</v>
      </c>
      <c r="D897" s="22"/>
      <c r="E897" s="22"/>
      <c r="F897" s="22"/>
      <c r="G897" s="22"/>
      <c r="H897" s="22"/>
      <c r="I897" s="22"/>
      <c r="J897" s="22"/>
      <c r="K897" s="22"/>
      <c r="L897" s="15"/>
      <c r="M897" s="15"/>
      <c r="N897" s="15"/>
      <c r="O897" s="15"/>
      <c r="P897" s="15"/>
      <c r="Q897" s="15"/>
      <c r="R897" s="15"/>
      <c r="S897" s="15"/>
      <c r="T897" s="15"/>
      <c r="U897" s="15"/>
      <c r="V897" s="15"/>
      <c r="W897" s="15"/>
      <c r="X897" s="15"/>
      <c r="Y897" s="15"/>
      <c r="Z897" s="15"/>
    </row>
    <row r="898" spans="1:26" x14ac:dyDescent="0.3">
      <c r="A898" s="17"/>
      <c r="B898" s="17"/>
      <c r="C898" s="17"/>
      <c r="D898" s="17"/>
      <c r="E898" s="17"/>
      <c r="F898" s="17"/>
      <c r="G898" s="17"/>
      <c r="H898" s="17"/>
      <c r="I898" s="17"/>
      <c r="J898" s="17"/>
      <c r="K898" s="17"/>
      <c r="L898" s="15"/>
      <c r="M898" s="15"/>
      <c r="N898" s="15"/>
      <c r="O898" s="15"/>
      <c r="P898" s="15"/>
      <c r="Q898" s="15"/>
      <c r="R898" s="15"/>
      <c r="S898" s="15"/>
      <c r="T898" s="15"/>
      <c r="U898" s="15"/>
      <c r="V898" s="15"/>
      <c r="W898" s="15"/>
      <c r="X898" s="15"/>
      <c r="Y898" s="15"/>
      <c r="Z898" s="15"/>
    </row>
    <row r="899" spans="1:26" x14ac:dyDescent="0.3">
      <c r="A899" s="17"/>
      <c r="B899" s="17"/>
      <c r="C899" s="35" t="s">
        <v>1561</v>
      </c>
      <c r="D899" s="17"/>
      <c r="E899" s="17"/>
      <c r="F899" s="17"/>
      <c r="G899" s="17"/>
      <c r="H899" s="17"/>
      <c r="I899" s="17"/>
      <c r="J899" s="17"/>
      <c r="K899" s="17"/>
      <c r="L899" s="15"/>
      <c r="M899" s="15"/>
      <c r="N899" s="15"/>
      <c r="O899" s="15"/>
      <c r="P899" s="15"/>
      <c r="Q899" s="15"/>
      <c r="R899" s="15"/>
      <c r="S899" s="15"/>
      <c r="T899" s="15"/>
      <c r="U899" s="15"/>
      <c r="V899" s="15"/>
      <c r="W899" s="15"/>
      <c r="X899" s="15"/>
      <c r="Y899" s="15"/>
      <c r="Z899" s="15"/>
    </row>
    <row r="900" spans="1:26" x14ac:dyDescent="0.3">
      <c r="A900" s="24">
        <v>1</v>
      </c>
      <c r="B900" s="17"/>
      <c r="C900" s="35" t="s">
        <v>1562</v>
      </c>
      <c r="D900" s="17"/>
      <c r="E900" s="17"/>
      <c r="F900" s="17"/>
      <c r="G900" s="17"/>
      <c r="H900" s="17"/>
      <c r="I900" s="17"/>
      <c r="J900" s="17"/>
      <c r="K900" s="17"/>
      <c r="L900" s="15"/>
      <c r="M900" s="15"/>
      <c r="N900" s="15"/>
      <c r="O900" s="15"/>
      <c r="P900" s="15"/>
      <c r="Q900" s="15"/>
      <c r="R900" s="15"/>
      <c r="S900" s="15"/>
      <c r="T900" s="15"/>
      <c r="U900" s="15"/>
      <c r="V900" s="15"/>
      <c r="W900" s="15"/>
      <c r="X900" s="15"/>
      <c r="Y900" s="15"/>
      <c r="Z900" s="15"/>
    </row>
    <row r="901" spans="1:26" x14ac:dyDescent="0.3">
      <c r="A901" s="25">
        <v>1.1000000000000001</v>
      </c>
      <c r="B901" s="27" t="s">
        <v>1563</v>
      </c>
      <c r="C901" s="27" t="s">
        <v>1564</v>
      </c>
      <c r="D901" s="26" t="s">
        <v>1565</v>
      </c>
      <c r="E901" s="26"/>
      <c r="F901" s="24">
        <v>1</v>
      </c>
      <c r="G901" s="24"/>
      <c r="H901" s="24"/>
      <c r="I901" s="24"/>
      <c r="J901" s="24"/>
      <c r="K901" s="24"/>
      <c r="L901" s="15"/>
      <c r="M901" s="15"/>
      <c r="N901" s="15"/>
      <c r="O901" s="15"/>
      <c r="P901" s="15"/>
      <c r="Q901" s="15"/>
      <c r="R901" s="15"/>
      <c r="S901" s="15"/>
      <c r="T901" s="15"/>
      <c r="U901" s="15"/>
      <c r="V901" s="15"/>
      <c r="W901" s="15"/>
      <c r="X901" s="15"/>
      <c r="Y901" s="15"/>
      <c r="Z901" s="15"/>
    </row>
    <row r="902" spans="1:26" x14ac:dyDescent="0.3">
      <c r="A902" s="17"/>
      <c r="B902" s="17"/>
      <c r="C902" s="17"/>
      <c r="D902" s="17"/>
      <c r="E902" s="17"/>
      <c r="F902" s="17"/>
      <c r="G902" s="17"/>
      <c r="H902" s="17"/>
      <c r="I902" s="17"/>
      <c r="J902" s="17"/>
      <c r="K902" s="17"/>
      <c r="L902" s="15"/>
      <c r="M902" s="15"/>
      <c r="N902" s="15"/>
      <c r="O902" s="15"/>
      <c r="P902" s="15"/>
      <c r="Q902" s="15"/>
      <c r="R902" s="15"/>
      <c r="S902" s="15"/>
      <c r="T902" s="15"/>
      <c r="U902" s="15"/>
      <c r="V902" s="15"/>
      <c r="W902" s="15"/>
      <c r="X902" s="15"/>
      <c r="Y902" s="15"/>
      <c r="Z902" s="15"/>
    </row>
    <row r="903" spans="1:26" x14ac:dyDescent="0.3">
      <c r="A903" s="24">
        <v>2</v>
      </c>
      <c r="B903" s="26" t="s">
        <v>1566</v>
      </c>
      <c r="C903" s="35" t="s">
        <v>1567</v>
      </c>
      <c r="D903" s="17"/>
      <c r="E903" s="17"/>
      <c r="F903" s="17"/>
      <c r="G903" s="17"/>
      <c r="H903" s="17"/>
      <c r="I903" s="17"/>
      <c r="J903" s="17"/>
      <c r="K903" s="17"/>
      <c r="L903" s="15"/>
      <c r="M903" s="15"/>
      <c r="N903" s="15"/>
      <c r="O903" s="15"/>
      <c r="P903" s="15"/>
      <c r="Q903" s="15"/>
      <c r="R903" s="15"/>
      <c r="S903" s="15"/>
      <c r="T903" s="15"/>
      <c r="U903" s="15"/>
      <c r="V903" s="15"/>
      <c r="W903" s="15"/>
      <c r="X903" s="15"/>
      <c r="Y903" s="15"/>
      <c r="Z903" s="15"/>
    </row>
    <row r="904" spans="1:26" x14ac:dyDescent="0.3">
      <c r="A904" s="17"/>
      <c r="B904" s="17"/>
      <c r="C904" s="27" t="s">
        <v>1568</v>
      </c>
      <c r="D904" s="26" t="s">
        <v>1569</v>
      </c>
      <c r="E904" s="26"/>
      <c r="F904" s="24">
        <v>1</v>
      </c>
      <c r="G904" s="24"/>
      <c r="H904" s="24"/>
      <c r="I904" s="24"/>
      <c r="J904" s="24"/>
      <c r="K904" s="24"/>
      <c r="L904" s="15"/>
      <c r="M904" s="15"/>
      <c r="N904" s="15"/>
      <c r="O904" s="15"/>
      <c r="P904" s="15"/>
      <c r="Q904" s="15"/>
      <c r="R904" s="15"/>
      <c r="S904" s="15"/>
      <c r="T904" s="15"/>
      <c r="U904" s="15"/>
      <c r="V904" s="15"/>
      <c r="W904" s="15"/>
      <c r="X904" s="15"/>
      <c r="Y904" s="15"/>
      <c r="Z904" s="15"/>
    </row>
    <row r="905" spans="1:26" x14ac:dyDescent="0.3">
      <c r="A905" s="17"/>
      <c r="B905" s="17"/>
      <c r="C905" s="17"/>
      <c r="D905" s="17"/>
      <c r="E905" s="17"/>
      <c r="F905" s="17"/>
      <c r="G905" s="17"/>
      <c r="H905" s="17"/>
      <c r="I905" s="17"/>
      <c r="J905" s="17"/>
      <c r="K905" s="17"/>
      <c r="L905" s="15"/>
      <c r="M905" s="15"/>
      <c r="N905" s="15"/>
      <c r="O905" s="15"/>
      <c r="P905" s="15"/>
      <c r="Q905" s="15"/>
      <c r="R905" s="15"/>
      <c r="S905" s="15"/>
      <c r="T905" s="15"/>
      <c r="U905" s="15"/>
      <c r="V905" s="15"/>
      <c r="W905" s="15"/>
      <c r="X905" s="15"/>
      <c r="Y905" s="15"/>
      <c r="Z905" s="15"/>
    </row>
    <row r="906" spans="1:26" x14ac:dyDescent="0.3">
      <c r="A906" s="24">
        <v>3</v>
      </c>
      <c r="B906" s="17"/>
      <c r="C906" s="35" t="s">
        <v>1570</v>
      </c>
      <c r="D906" s="17"/>
      <c r="E906" s="17"/>
      <c r="F906" s="17"/>
      <c r="G906" s="17"/>
      <c r="H906" s="17"/>
      <c r="I906" s="17"/>
      <c r="J906" s="17"/>
      <c r="K906" s="17"/>
      <c r="L906" s="15"/>
      <c r="M906" s="15"/>
      <c r="N906" s="15"/>
      <c r="O906" s="15"/>
      <c r="P906" s="15"/>
      <c r="Q906" s="15"/>
      <c r="R906" s="15"/>
      <c r="S906" s="15"/>
      <c r="T906" s="15"/>
      <c r="U906" s="15"/>
      <c r="V906" s="15"/>
      <c r="W906" s="15"/>
      <c r="X906" s="15"/>
      <c r="Y906" s="15"/>
      <c r="Z906" s="15"/>
    </row>
    <row r="907" spans="1:26" x14ac:dyDescent="0.3">
      <c r="A907" s="25">
        <v>3.1</v>
      </c>
      <c r="B907" s="27" t="s">
        <v>1571</v>
      </c>
      <c r="C907" s="27" t="s">
        <v>1572</v>
      </c>
      <c r="D907" s="17"/>
      <c r="E907" s="17"/>
      <c r="F907" s="17"/>
      <c r="G907" s="17"/>
      <c r="H907" s="17"/>
      <c r="I907" s="17"/>
      <c r="J907" s="17"/>
      <c r="K907" s="17"/>
      <c r="L907" s="15"/>
      <c r="M907" s="15"/>
      <c r="N907" s="15"/>
      <c r="O907" s="15"/>
      <c r="P907" s="15"/>
      <c r="Q907" s="15"/>
      <c r="R907" s="15"/>
      <c r="S907" s="15"/>
      <c r="T907" s="15"/>
      <c r="U907" s="15"/>
      <c r="V907" s="15"/>
      <c r="W907" s="15"/>
      <c r="X907" s="15"/>
      <c r="Y907" s="15"/>
      <c r="Z907" s="15"/>
    </row>
    <row r="908" spans="1:26" x14ac:dyDescent="0.3">
      <c r="A908" s="17"/>
      <c r="B908" s="27" t="s">
        <v>1573</v>
      </c>
      <c r="C908" s="27" t="s">
        <v>1574</v>
      </c>
      <c r="D908" s="26" t="s">
        <v>1575</v>
      </c>
      <c r="E908" s="26"/>
      <c r="F908" s="24">
        <v>28</v>
      </c>
      <c r="G908" s="24"/>
      <c r="H908" s="24"/>
      <c r="I908" s="24"/>
      <c r="J908" s="24"/>
      <c r="K908" s="24"/>
      <c r="L908" s="15"/>
      <c r="M908" s="15"/>
      <c r="N908" s="15"/>
      <c r="O908" s="15"/>
      <c r="P908" s="15"/>
      <c r="Q908" s="15"/>
      <c r="R908" s="15"/>
      <c r="S908" s="15"/>
      <c r="T908" s="15"/>
      <c r="U908" s="15"/>
      <c r="V908" s="15"/>
      <c r="W908" s="15"/>
      <c r="X908" s="15"/>
      <c r="Y908" s="15"/>
      <c r="Z908" s="15"/>
    </row>
    <row r="909" spans="1:26" x14ac:dyDescent="0.3">
      <c r="A909" s="17"/>
      <c r="B909" s="17"/>
      <c r="C909" s="17"/>
      <c r="D909" s="17"/>
      <c r="E909" s="17"/>
      <c r="F909" s="17"/>
      <c r="G909" s="17"/>
      <c r="H909" s="17"/>
      <c r="I909" s="17"/>
      <c r="J909" s="17"/>
      <c r="K909" s="17"/>
      <c r="L909" s="15"/>
      <c r="M909" s="15"/>
      <c r="N909" s="15"/>
      <c r="O909" s="15"/>
      <c r="P909" s="15"/>
      <c r="Q909" s="15"/>
      <c r="R909" s="15"/>
      <c r="S909" s="15"/>
      <c r="T909" s="15"/>
      <c r="U909" s="15"/>
      <c r="V909" s="15"/>
      <c r="W909" s="15"/>
      <c r="X909" s="15"/>
      <c r="Y909" s="15"/>
      <c r="Z909" s="15"/>
    </row>
    <row r="910" spans="1:26" x14ac:dyDescent="0.3">
      <c r="A910" s="24">
        <v>4</v>
      </c>
      <c r="B910" s="26" t="s">
        <v>1576</v>
      </c>
      <c r="C910" s="35" t="s">
        <v>1577</v>
      </c>
      <c r="D910" s="17"/>
      <c r="E910" s="17"/>
      <c r="F910" s="17"/>
      <c r="G910" s="17"/>
      <c r="H910" s="17"/>
      <c r="I910" s="17"/>
      <c r="J910" s="17"/>
      <c r="K910" s="17"/>
      <c r="L910" s="15"/>
      <c r="M910" s="15"/>
      <c r="N910" s="15"/>
      <c r="O910" s="15"/>
      <c r="P910" s="15"/>
      <c r="Q910" s="15"/>
      <c r="R910" s="15"/>
      <c r="S910" s="15"/>
      <c r="T910" s="15"/>
      <c r="U910" s="15"/>
      <c r="V910" s="15"/>
      <c r="W910" s="15"/>
      <c r="X910" s="15"/>
      <c r="Y910" s="15"/>
      <c r="Z910" s="15"/>
    </row>
    <row r="911" spans="1:26" x14ac:dyDescent="0.3">
      <c r="A911" s="17"/>
      <c r="B911" s="17"/>
      <c r="C911" s="17" t="s">
        <v>1578</v>
      </c>
      <c r="D911" s="26" t="s">
        <v>1579</v>
      </c>
      <c r="E911" s="26"/>
      <c r="F911" s="24">
        <v>2</v>
      </c>
      <c r="G911" s="24"/>
      <c r="H911" s="24"/>
      <c r="I911" s="24"/>
      <c r="J911" s="24"/>
      <c r="K911" s="24"/>
      <c r="L911" s="15"/>
      <c r="M911" s="15"/>
      <c r="N911" s="15"/>
      <c r="O911" s="15"/>
      <c r="P911" s="15"/>
      <c r="Q911" s="15"/>
      <c r="R911" s="15"/>
      <c r="S911" s="15"/>
      <c r="T911" s="15"/>
      <c r="U911" s="15"/>
      <c r="V911" s="15"/>
      <c r="W911" s="15"/>
      <c r="X911" s="15"/>
      <c r="Y911" s="15"/>
      <c r="Z911" s="15"/>
    </row>
    <row r="912" spans="1:26" x14ac:dyDescent="0.3">
      <c r="A912" s="17"/>
      <c r="B912" s="17"/>
      <c r="C912" s="17"/>
      <c r="D912" s="17"/>
      <c r="E912" s="17"/>
      <c r="F912" s="17"/>
      <c r="G912" s="17"/>
      <c r="H912" s="17"/>
      <c r="I912" s="17"/>
      <c r="J912" s="17"/>
      <c r="K912" s="17"/>
      <c r="L912" s="15"/>
      <c r="M912" s="15"/>
      <c r="N912" s="15"/>
      <c r="O912" s="15"/>
      <c r="P912" s="15"/>
      <c r="Q912" s="15"/>
      <c r="R912" s="15"/>
      <c r="S912" s="15"/>
      <c r="T912" s="15"/>
      <c r="U912" s="15"/>
      <c r="V912" s="15"/>
      <c r="W912" s="15"/>
      <c r="X912" s="15"/>
      <c r="Y912" s="15"/>
      <c r="Z912" s="15"/>
    </row>
    <row r="913" spans="1:26" x14ac:dyDescent="0.3">
      <c r="A913" s="24">
        <v>5</v>
      </c>
      <c r="B913" s="26" t="s">
        <v>1580</v>
      </c>
      <c r="C913" s="35" t="s">
        <v>1581</v>
      </c>
      <c r="D913" s="17"/>
      <c r="E913" s="17"/>
      <c r="F913" s="17"/>
      <c r="G913" s="17"/>
      <c r="H913" s="17"/>
      <c r="I913" s="17"/>
      <c r="J913" s="17"/>
      <c r="K913" s="17"/>
      <c r="L913" s="15"/>
      <c r="M913" s="15"/>
      <c r="N913" s="15"/>
      <c r="O913" s="15"/>
      <c r="P913" s="15"/>
      <c r="Q913" s="15"/>
      <c r="R913" s="15"/>
      <c r="S913" s="15"/>
      <c r="T913" s="15"/>
      <c r="U913" s="15"/>
      <c r="V913" s="15"/>
      <c r="W913" s="15"/>
      <c r="X913" s="15"/>
      <c r="Y913" s="15"/>
      <c r="Z913" s="15"/>
    </row>
    <row r="914" spans="1:26" x14ac:dyDescent="0.3">
      <c r="A914" s="17"/>
      <c r="B914" s="17"/>
      <c r="C914" s="17" t="s">
        <v>1582</v>
      </c>
      <c r="D914" s="26" t="s">
        <v>1583</v>
      </c>
      <c r="E914" s="26"/>
      <c r="F914" s="24">
        <v>6</v>
      </c>
      <c r="G914" s="24"/>
      <c r="H914" s="24"/>
      <c r="I914" s="24"/>
      <c r="J914" s="24"/>
      <c r="K914" s="24"/>
      <c r="L914" s="15"/>
      <c r="M914" s="15"/>
      <c r="N914" s="15"/>
      <c r="O914" s="15"/>
      <c r="P914" s="15"/>
      <c r="Q914" s="15"/>
      <c r="R914" s="15"/>
      <c r="S914" s="15"/>
      <c r="T914" s="15"/>
      <c r="U914" s="15"/>
      <c r="V914" s="15"/>
      <c r="W914" s="15"/>
      <c r="X914" s="15"/>
      <c r="Y914" s="15"/>
      <c r="Z914" s="15"/>
    </row>
    <row r="915" spans="1:26" x14ac:dyDescent="0.3">
      <c r="A915" s="17"/>
      <c r="B915" s="17"/>
      <c r="C915" s="17"/>
      <c r="D915" s="17"/>
      <c r="E915" s="17"/>
      <c r="F915" s="17"/>
      <c r="G915" s="17"/>
      <c r="H915" s="17"/>
      <c r="I915" s="17"/>
      <c r="J915" s="17"/>
      <c r="K915" s="17"/>
      <c r="L915" s="15"/>
      <c r="M915" s="15"/>
      <c r="N915" s="15"/>
      <c r="O915" s="15"/>
      <c r="P915" s="15"/>
      <c r="Q915" s="15"/>
      <c r="R915" s="15"/>
      <c r="S915" s="15"/>
      <c r="T915" s="15"/>
      <c r="U915" s="15"/>
      <c r="V915" s="15"/>
      <c r="W915" s="15"/>
      <c r="X915" s="15"/>
      <c r="Y915" s="15"/>
      <c r="Z915" s="15"/>
    </row>
    <row r="916" spans="1:26" x14ac:dyDescent="0.3">
      <c r="A916" s="24">
        <v>6</v>
      </c>
      <c r="B916" s="26" t="s">
        <v>1584</v>
      </c>
      <c r="C916" s="35" t="s">
        <v>1585</v>
      </c>
      <c r="D916" s="17"/>
      <c r="E916" s="17"/>
      <c r="F916" s="17"/>
      <c r="G916" s="17"/>
      <c r="H916" s="17"/>
      <c r="I916" s="17"/>
      <c r="J916" s="17"/>
      <c r="K916" s="17"/>
      <c r="L916" s="15"/>
      <c r="M916" s="15"/>
      <c r="N916" s="15"/>
      <c r="O916" s="15"/>
      <c r="P916" s="15"/>
      <c r="Q916" s="15"/>
      <c r="R916" s="15"/>
      <c r="S916" s="15"/>
      <c r="T916" s="15"/>
      <c r="U916" s="15"/>
      <c r="V916" s="15"/>
      <c r="W916" s="15"/>
      <c r="X916" s="15"/>
      <c r="Y916" s="15"/>
      <c r="Z916" s="15"/>
    </row>
    <row r="917" spans="1:26" x14ac:dyDescent="0.3">
      <c r="A917" s="17"/>
      <c r="B917" s="17"/>
      <c r="C917" s="27" t="s">
        <v>1586</v>
      </c>
      <c r="D917" s="26" t="s">
        <v>1587</v>
      </c>
      <c r="E917" s="26"/>
      <c r="F917" s="24">
        <v>91</v>
      </c>
      <c r="G917" s="24"/>
      <c r="H917" s="24"/>
      <c r="I917" s="24"/>
      <c r="J917" s="24"/>
      <c r="K917" s="24"/>
      <c r="L917" s="15"/>
      <c r="M917" s="15"/>
      <c r="N917" s="15"/>
      <c r="O917" s="15"/>
      <c r="P917" s="15"/>
      <c r="Q917" s="15"/>
      <c r="R917" s="15"/>
      <c r="S917" s="15"/>
      <c r="T917" s="15"/>
      <c r="U917" s="15"/>
      <c r="V917" s="15"/>
      <c r="W917" s="15"/>
      <c r="X917" s="15"/>
      <c r="Y917" s="15"/>
      <c r="Z917" s="15"/>
    </row>
    <row r="918" spans="1:26" x14ac:dyDescent="0.3">
      <c r="A918" s="17"/>
      <c r="B918" s="17"/>
      <c r="C918" s="17"/>
      <c r="D918" s="17"/>
      <c r="E918" s="17"/>
      <c r="F918" s="17"/>
      <c r="G918" s="17"/>
      <c r="H918" s="17"/>
      <c r="I918" s="17"/>
      <c r="J918" s="17"/>
      <c r="K918" s="17"/>
      <c r="L918" s="15"/>
      <c r="M918" s="15"/>
      <c r="N918" s="15"/>
      <c r="O918" s="15"/>
      <c r="P918" s="15"/>
      <c r="Q918" s="15"/>
      <c r="R918" s="15"/>
      <c r="S918" s="15"/>
      <c r="T918" s="15"/>
      <c r="U918" s="15"/>
      <c r="V918" s="15"/>
      <c r="W918" s="15"/>
      <c r="X918" s="15"/>
      <c r="Y918" s="15"/>
      <c r="Z918" s="15"/>
    </row>
    <row r="919" spans="1:26" x14ac:dyDescent="0.3">
      <c r="A919" s="24">
        <v>7</v>
      </c>
      <c r="B919" s="26" t="s">
        <v>1588</v>
      </c>
      <c r="C919" s="35" t="s">
        <v>1589</v>
      </c>
      <c r="D919" s="17"/>
      <c r="E919" s="17"/>
      <c r="F919" s="17"/>
      <c r="G919" s="17"/>
      <c r="H919" s="17"/>
      <c r="I919" s="17"/>
      <c r="J919" s="17"/>
      <c r="K919" s="17"/>
      <c r="L919" s="15"/>
      <c r="M919" s="15"/>
      <c r="N919" s="15"/>
      <c r="O919" s="15"/>
      <c r="P919" s="15"/>
      <c r="Q919" s="15"/>
      <c r="R919" s="15"/>
      <c r="S919" s="15"/>
      <c r="T919" s="15"/>
      <c r="U919" s="15"/>
      <c r="V919" s="15"/>
      <c r="W919" s="15"/>
      <c r="X919" s="15"/>
      <c r="Y919" s="15"/>
      <c r="Z919" s="15"/>
    </row>
    <row r="920" spans="1:26" x14ac:dyDescent="0.3">
      <c r="A920" s="17"/>
      <c r="B920" s="17"/>
      <c r="C920" s="17" t="s">
        <v>1590</v>
      </c>
      <c r="D920" s="26" t="s">
        <v>1591</v>
      </c>
      <c r="E920" s="26"/>
      <c r="F920" s="24">
        <v>2</v>
      </c>
      <c r="G920" s="24"/>
      <c r="H920" s="24"/>
      <c r="I920" s="24"/>
      <c r="J920" s="24"/>
      <c r="K920" s="24"/>
      <c r="L920" s="15"/>
      <c r="M920" s="15"/>
      <c r="N920" s="15"/>
      <c r="O920" s="15"/>
      <c r="P920" s="15"/>
      <c r="Q920" s="15"/>
      <c r="R920" s="15"/>
      <c r="S920" s="15"/>
      <c r="T920" s="15"/>
      <c r="U920" s="15"/>
      <c r="V920" s="15"/>
      <c r="W920" s="15"/>
      <c r="X920" s="15"/>
      <c r="Y920" s="15"/>
      <c r="Z920" s="15"/>
    </row>
    <row r="921" spans="1:26" x14ac:dyDescent="0.3">
      <c r="A921" s="17"/>
      <c r="B921" s="17"/>
      <c r="C921" s="17"/>
      <c r="D921" s="17"/>
      <c r="E921" s="17"/>
      <c r="F921" s="17"/>
      <c r="G921" s="17"/>
      <c r="H921" s="17"/>
      <c r="I921" s="17"/>
      <c r="J921" s="17"/>
      <c r="K921" s="17"/>
      <c r="L921" s="15"/>
      <c r="M921" s="15"/>
      <c r="N921" s="15"/>
      <c r="O921" s="15"/>
      <c r="P921" s="15"/>
      <c r="Q921" s="15"/>
      <c r="R921" s="15"/>
      <c r="S921" s="15"/>
      <c r="T921" s="15"/>
      <c r="U921" s="15"/>
      <c r="V921" s="15"/>
      <c r="W921" s="15"/>
      <c r="X921" s="15"/>
      <c r="Y921" s="15"/>
      <c r="Z921" s="15"/>
    </row>
    <row r="922" spans="1:26" x14ac:dyDescent="0.3">
      <c r="A922" s="24">
        <v>8</v>
      </c>
      <c r="B922" s="26" t="s">
        <v>1592</v>
      </c>
      <c r="C922" s="35" t="s">
        <v>1593</v>
      </c>
      <c r="D922" s="17"/>
      <c r="E922" s="17"/>
      <c r="F922" s="17"/>
      <c r="G922" s="17"/>
      <c r="H922" s="17"/>
      <c r="I922" s="17"/>
      <c r="J922" s="17"/>
      <c r="K922" s="17"/>
      <c r="L922" s="15"/>
      <c r="M922" s="15"/>
      <c r="N922" s="15"/>
      <c r="O922" s="15"/>
      <c r="P922" s="15"/>
      <c r="Q922" s="15"/>
      <c r="R922" s="15"/>
      <c r="S922" s="15"/>
      <c r="T922" s="15"/>
      <c r="U922" s="15"/>
      <c r="V922" s="15"/>
      <c r="W922" s="15"/>
      <c r="X922" s="15"/>
      <c r="Y922" s="15"/>
      <c r="Z922" s="15"/>
    </row>
    <row r="923" spans="1:26" x14ac:dyDescent="0.3">
      <c r="A923" s="17"/>
      <c r="B923" s="17"/>
      <c r="C923" s="17" t="s">
        <v>1594</v>
      </c>
      <c r="D923" s="26" t="s">
        <v>1595</v>
      </c>
      <c r="E923" s="26"/>
      <c r="F923" s="24">
        <v>47</v>
      </c>
      <c r="G923" s="24"/>
      <c r="H923" s="24"/>
      <c r="I923" s="24"/>
      <c r="J923" s="24"/>
      <c r="K923" s="24"/>
      <c r="L923" s="15"/>
      <c r="M923" s="15"/>
      <c r="N923" s="15"/>
      <c r="O923" s="15"/>
      <c r="P923" s="15"/>
      <c r="Q923" s="15"/>
      <c r="R923" s="15"/>
      <c r="S923" s="15"/>
      <c r="T923" s="15"/>
      <c r="U923" s="15"/>
      <c r="V923" s="15"/>
      <c r="W923" s="15"/>
      <c r="X923" s="15"/>
      <c r="Y923" s="15"/>
      <c r="Z923" s="15"/>
    </row>
    <row r="924" spans="1:26" x14ac:dyDescent="0.3">
      <c r="A924" s="17"/>
      <c r="B924" s="17"/>
      <c r="C924" s="17"/>
      <c r="D924" s="17"/>
      <c r="E924" s="17"/>
      <c r="F924" s="17"/>
      <c r="G924" s="17"/>
      <c r="H924" s="17"/>
      <c r="I924" s="17"/>
      <c r="J924" s="17"/>
      <c r="K924" s="17"/>
      <c r="L924" s="15"/>
      <c r="M924" s="15"/>
      <c r="N924" s="15"/>
      <c r="O924" s="15"/>
      <c r="P924" s="15"/>
      <c r="Q924" s="15"/>
      <c r="R924" s="15"/>
      <c r="S924" s="15"/>
      <c r="T924" s="15"/>
      <c r="U924" s="15"/>
      <c r="V924" s="15"/>
      <c r="W924" s="15"/>
      <c r="X924" s="15"/>
      <c r="Y924" s="15"/>
      <c r="Z924" s="15"/>
    </row>
    <row r="925" spans="1:26" x14ac:dyDescent="0.3">
      <c r="A925" s="24">
        <v>9</v>
      </c>
      <c r="B925" s="26" t="s">
        <v>1596</v>
      </c>
      <c r="C925" s="35" t="s">
        <v>1597</v>
      </c>
      <c r="D925" s="17"/>
      <c r="E925" s="17"/>
      <c r="F925" s="17"/>
      <c r="G925" s="17"/>
      <c r="H925" s="17"/>
      <c r="I925" s="17"/>
      <c r="J925" s="17"/>
      <c r="K925" s="17"/>
      <c r="L925" s="15"/>
      <c r="M925" s="15"/>
      <c r="N925" s="15"/>
      <c r="O925" s="15"/>
      <c r="P925" s="15"/>
      <c r="Q925" s="15"/>
      <c r="R925" s="15"/>
      <c r="S925" s="15"/>
      <c r="T925" s="15"/>
      <c r="U925" s="15"/>
      <c r="V925" s="15"/>
      <c r="W925" s="15"/>
      <c r="X925" s="15"/>
      <c r="Y925" s="15"/>
      <c r="Z925" s="15"/>
    </row>
    <row r="926" spans="1:26" x14ac:dyDescent="0.3">
      <c r="A926" s="17"/>
      <c r="B926" s="17"/>
      <c r="C926" s="17" t="s">
        <v>1598</v>
      </c>
      <c r="D926" s="26" t="s">
        <v>1599</v>
      </c>
      <c r="E926" s="26"/>
      <c r="F926" s="24">
        <v>23</v>
      </c>
      <c r="G926" s="24"/>
      <c r="H926" s="24"/>
      <c r="I926" s="24"/>
      <c r="J926" s="24"/>
      <c r="K926" s="24"/>
      <c r="L926" s="15"/>
      <c r="M926" s="15"/>
      <c r="N926" s="15"/>
      <c r="O926" s="15"/>
      <c r="P926" s="15"/>
      <c r="Q926" s="15"/>
      <c r="R926" s="15"/>
      <c r="S926" s="15"/>
      <c r="T926" s="15"/>
      <c r="U926" s="15"/>
      <c r="V926" s="15"/>
      <c r="W926" s="15"/>
      <c r="X926" s="15"/>
      <c r="Y926" s="15"/>
      <c r="Z926" s="15"/>
    </row>
    <row r="927" spans="1:26" x14ac:dyDescent="0.3">
      <c r="A927" s="17"/>
      <c r="B927" s="17"/>
      <c r="C927" s="17"/>
      <c r="D927" s="17"/>
      <c r="E927" s="17"/>
      <c r="F927" s="17"/>
      <c r="G927" s="17"/>
      <c r="H927" s="17"/>
      <c r="I927" s="17"/>
      <c r="J927" s="17"/>
      <c r="K927" s="17"/>
      <c r="L927" s="15"/>
      <c r="M927" s="15"/>
      <c r="N927" s="15"/>
      <c r="O927" s="15"/>
      <c r="P927" s="15"/>
      <c r="Q927" s="15"/>
      <c r="R927" s="15"/>
      <c r="S927" s="15"/>
      <c r="T927" s="15"/>
      <c r="U927" s="15"/>
      <c r="V927" s="15"/>
      <c r="W927" s="15"/>
      <c r="X927" s="15"/>
      <c r="Y927" s="15"/>
      <c r="Z927" s="15"/>
    </row>
    <row r="928" spans="1:26" x14ac:dyDescent="0.3">
      <c r="A928" s="223">
        <v>10</v>
      </c>
      <c r="B928" s="27" t="s">
        <v>1600</v>
      </c>
      <c r="C928" s="35" t="s">
        <v>1601</v>
      </c>
      <c r="D928" s="17"/>
      <c r="E928" s="17"/>
      <c r="F928" s="17"/>
      <c r="G928" s="17"/>
      <c r="H928" s="17"/>
      <c r="I928" s="17"/>
      <c r="J928" s="17"/>
      <c r="K928" s="17"/>
      <c r="L928" s="15"/>
      <c r="M928" s="15"/>
      <c r="N928" s="15"/>
      <c r="O928" s="15"/>
      <c r="P928" s="15"/>
      <c r="Q928" s="15"/>
      <c r="R928" s="15"/>
      <c r="S928" s="15"/>
      <c r="T928" s="15"/>
      <c r="U928" s="15"/>
      <c r="V928" s="15"/>
      <c r="W928" s="15"/>
      <c r="X928" s="15"/>
      <c r="Y928" s="15"/>
      <c r="Z928" s="15"/>
    </row>
    <row r="929" spans="1:26" x14ac:dyDescent="0.3">
      <c r="A929" s="217"/>
      <c r="B929" s="17"/>
      <c r="C929" s="27" t="s">
        <v>1602</v>
      </c>
      <c r="D929" s="17"/>
      <c r="E929" s="17"/>
      <c r="F929" s="17"/>
      <c r="G929" s="17"/>
      <c r="H929" s="17"/>
      <c r="I929" s="17"/>
      <c r="J929" s="17"/>
      <c r="K929" s="17"/>
      <c r="L929" s="15"/>
      <c r="M929" s="15"/>
      <c r="N929" s="15"/>
      <c r="O929" s="15"/>
      <c r="P929" s="15"/>
      <c r="Q929" s="15"/>
      <c r="R929" s="15"/>
      <c r="S929" s="15"/>
      <c r="T929" s="15"/>
      <c r="U929" s="15"/>
      <c r="V929" s="15"/>
      <c r="W929" s="15"/>
      <c r="X929" s="15"/>
      <c r="Y929" s="15"/>
      <c r="Z929" s="15"/>
    </row>
    <row r="930" spans="1:26" x14ac:dyDescent="0.3">
      <c r="A930" s="25">
        <v>10.1</v>
      </c>
      <c r="B930" s="27" t="s">
        <v>1603</v>
      </c>
      <c r="C930" s="27" t="s">
        <v>1604</v>
      </c>
      <c r="D930" s="26" t="s">
        <v>1605</v>
      </c>
      <c r="E930" s="26"/>
      <c r="F930" s="24">
        <v>68</v>
      </c>
      <c r="G930" s="24"/>
      <c r="H930" s="24"/>
      <c r="I930" s="24"/>
      <c r="J930" s="24"/>
      <c r="K930" s="24"/>
      <c r="L930" s="15"/>
      <c r="M930" s="15"/>
      <c r="N930" s="15"/>
      <c r="O930" s="15"/>
      <c r="P930" s="15"/>
      <c r="Q930" s="15"/>
      <c r="R930" s="15"/>
      <c r="S930" s="15"/>
      <c r="T930" s="15"/>
      <c r="U930" s="15"/>
      <c r="V930" s="15"/>
      <c r="W930" s="15"/>
      <c r="X930" s="15"/>
      <c r="Y930" s="15"/>
      <c r="Z930" s="15"/>
    </row>
    <row r="931" spans="1:26" x14ac:dyDescent="0.3">
      <c r="A931" s="17"/>
      <c r="B931" s="17"/>
      <c r="C931" s="17"/>
      <c r="D931" s="17"/>
      <c r="E931" s="17"/>
      <c r="F931" s="17"/>
      <c r="G931" s="17"/>
      <c r="H931" s="17"/>
      <c r="I931" s="17"/>
      <c r="J931" s="17"/>
      <c r="K931" s="17"/>
      <c r="L931" s="15"/>
      <c r="M931" s="15"/>
      <c r="N931" s="15"/>
      <c r="O931" s="15"/>
      <c r="P931" s="15"/>
      <c r="Q931" s="15"/>
      <c r="R931" s="15"/>
      <c r="S931" s="15"/>
      <c r="T931" s="15"/>
      <c r="U931" s="15"/>
      <c r="V931" s="15"/>
      <c r="W931" s="15"/>
      <c r="X931" s="15"/>
      <c r="Y931" s="15"/>
      <c r="Z931" s="15"/>
    </row>
    <row r="932" spans="1:26" x14ac:dyDescent="0.3">
      <c r="A932" s="24">
        <v>11</v>
      </c>
      <c r="B932" s="27" t="s">
        <v>1606</v>
      </c>
      <c r="C932" s="17" t="s">
        <v>1607</v>
      </c>
      <c r="D932" s="26" t="s">
        <v>1608</v>
      </c>
      <c r="E932" s="26"/>
      <c r="F932" s="24">
        <v>91</v>
      </c>
      <c r="G932" s="24"/>
      <c r="H932" s="24"/>
      <c r="I932" s="24"/>
      <c r="J932" s="24"/>
      <c r="K932" s="24"/>
      <c r="L932" s="15"/>
      <c r="M932" s="15"/>
      <c r="N932" s="15"/>
      <c r="O932" s="15"/>
      <c r="P932" s="15"/>
      <c r="Q932" s="15"/>
      <c r="R932" s="15"/>
      <c r="S932" s="15"/>
      <c r="T932" s="15"/>
      <c r="U932" s="15"/>
      <c r="V932" s="15"/>
      <c r="W932" s="15"/>
      <c r="X932" s="15"/>
      <c r="Y932" s="15"/>
      <c r="Z932" s="15"/>
    </row>
    <row r="933" spans="1:26" x14ac:dyDescent="0.3">
      <c r="A933" s="17"/>
      <c r="B933" s="17"/>
      <c r="C933" s="17"/>
      <c r="D933" s="17"/>
      <c r="E933" s="17"/>
      <c r="F933" s="17"/>
      <c r="G933" s="17"/>
      <c r="H933" s="17"/>
      <c r="I933" s="17"/>
      <c r="J933" s="17"/>
      <c r="K933" s="17"/>
      <c r="L933" s="15"/>
      <c r="M933" s="15"/>
      <c r="N933" s="15"/>
      <c r="O933" s="15"/>
      <c r="P933" s="15"/>
      <c r="Q933" s="15"/>
      <c r="R933" s="15"/>
      <c r="S933" s="15"/>
      <c r="T933" s="15"/>
      <c r="U933" s="15"/>
      <c r="V933" s="15"/>
      <c r="W933" s="15"/>
      <c r="X933" s="15"/>
      <c r="Y933" s="15"/>
      <c r="Z933" s="15"/>
    </row>
    <row r="934" spans="1:26" x14ac:dyDescent="0.3">
      <c r="A934" s="24">
        <v>12</v>
      </c>
      <c r="B934" s="26" t="s">
        <v>1609</v>
      </c>
      <c r="C934" s="35" t="s">
        <v>1610</v>
      </c>
      <c r="D934" s="17"/>
      <c r="E934" s="17"/>
      <c r="F934" s="17"/>
      <c r="G934" s="17"/>
      <c r="H934" s="17"/>
      <c r="I934" s="17"/>
      <c r="J934" s="17"/>
      <c r="K934" s="17"/>
      <c r="L934" s="15"/>
      <c r="M934" s="15"/>
      <c r="N934" s="15"/>
      <c r="O934" s="15"/>
      <c r="P934" s="15"/>
      <c r="Q934" s="15"/>
      <c r="R934" s="15"/>
      <c r="S934" s="15"/>
      <c r="T934" s="15"/>
      <c r="U934" s="15"/>
      <c r="V934" s="15"/>
      <c r="W934" s="15"/>
      <c r="X934" s="15"/>
      <c r="Y934" s="15"/>
      <c r="Z934" s="15"/>
    </row>
    <row r="935" spans="1:26" x14ac:dyDescent="0.3">
      <c r="A935" s="17"/>
      <c r="B935" s="17"/>
      <c r="C935" s="27" t="s">
        <v>1611</v>
      </c>
      <c r="D935" s="26" t="s">
        <v>1612</v>
      </c>
      <c r="E935" s="26"/>
      <c r="F935" s="24">
        <v>43</v>
      </c>
      <c r="G935" s="24"/>
      <c r="H935" s="24"/>
      <c r="I935" s="24"/>
      <c r="J935" s="24"/>
      <c r="K935" s="24"/>
      <c r="L935" s="15"/>
      <c r="M935" s="15"/>
      <c r="N935" s="15"/>
      <c r="O935" s="15"/>
      <c r="P935" s="15"/>
      <c r="Q935" s="15"/>
      <c r="R935" s="15"/>
      <c r="S935" s="15"/>
      <c r="T935" s="15"/>
      <c r="U935" s="15"/>
      <c r="V935" s="15"/>
      <c r="W935" s="15"/>
      <c r="X935" s="15"/>
      <c r="Y935" s="15"/>
      <c r="Z935" s="15"/>
    </row>
    <row r="936" spans="1:26" x14ac:dyDescent="0.3">
      <c r="A936" s="17"/>
      <c r="B936" s="17"/>
      <c r="C936" s="17"/>
      <c r="D936" s="17"/>
      <c r="E936" s="17"/>
      <c r="F936" s="17"/>
      <c r="G936" s="17"/>
      <c r="H936" s="17"/>
      <c r="I936" s="17"/>
      <c r="J936" s="17"/>
      <c r="K936" s="17"/>
      <c r="L936" s="15"/>
      <c r="M936" s="15"/>
      <c r="N936" s="15"/>
      <c r="O936" s="15"/>
      <c r="P936" s="15"/>
      <c r="Q936" s="15"/>
      <c r="R936" s="15"/>
      <c r="S936" s="15"/>
      <c r="T936" s="15"/>
      <c r="U936" s="15"/>
      <c r="V936" s="15"/>
      <c r="W936" s="15"/>
      <c r="X936" s="15"/>
      <c r="Y936" s="15"/>
      <c r="Z936" s="15"/>
    </row>
    <row r="937" spans="1:26" x14ac:dyDescent="0.3">
      <c r="A937" s="24">
        <v>13</v>
      </c>
      <c r="B937" s="26" t="s">
        <v>1613</v>
      </c>
      <c r="C937" s="35" t="s">
        <v>1614</v>
      </c>
      <c r="D937" s="17"/>
      <c r="E937" s="17"/>
      <c r="F937" s="17"/>
      <c r="G937" s="17"/>
      <c r="H937" s="17"/>
      <c r="I937" s="17"/>
      <c r="J937" s="17"/>
      <c r="K937" s="17"/>
      <c r="L937" s="15"/>
      <c r="M937" s="15"/>
      <c r="N937" s="15"/>
      <c r="O937" s="15"/>
      <c r="P937" s="15"/>
      <c r="Q937" s="15"/>
      <c r="R937" s="15"/>
      <c r="S937" s="15"/>
      <c r="T937" s="15"/>
      <c r="U937" s="15"/>
      <c r="V937" s="15"/>
      <c r="W937" s="15"/>
      <c r="X937" s="15"/>
      <c r="Y937" s="15"/>
      <c r="Z937" s="15"/>
    </row>
    <row r="938" spans="1:26" x14ac:dyDescent="0.3">
      <c r="A938" s="17"/>
      <c r="B938" s="17"/>
      <c r="C938" s="27" t="s">
        <v>1615</v>
      </c>
      <c r="D938" s="26" t="s">
        <v>1616</v>
      </c>
      <c r="E938" s="26"/>
      <c r="F938" s="24">
        <v>13</v>
      </c>
      <c r="G938" s="24"/>
      <c r="H938" s="24"/>
      <c r="I938" s="24"/>
      <c r="J938" s="24"/>
      <c r="K938" s="24"/>
      <c r="L938" s="15"/>
      <c r="M938" s="15"/>
      <c r="N938" s="15"/>
      <c r="O938" s="15"/>
      <c r="P938" s="15"/>
      <c r="Q938" s="15"/>
      <c r="R938" s="15"/>
      <c r="S938" s="15"/>
      <c r="T938" s="15"/>
      <c r="U938" s="15"/>
      <c r="V938" s="15"/>
      <c r="W938" s="15"/>
      <c r="X938" s="15"/>
      <c r="Y938" s="15"/>
      <c r="Z938" s="15"/>
    </row>
    <row r="939" spans="1:26" x14ac:dyDescent="0.3">
      <c r="A939" s="17"/>
      <c r="B939" s="17"/>
      <c r="C939" s="17"/>
      <c r="D939" s="17"/>
      <c r="E939" s="17"/>
      <c r="F939" s="17"/>
      <c r="G939" s="17"/>
      <c r="H939" s="17"/>
      <c r="I939" s="17"/>
      <c r="J939" s="17"/>
      <c r="K939" s="17"/>
      <c r="L939" s="15"/>
      <c r="M939" s="15"/>
      <c r="N939" s="15"/>
      <c r="O939" s="15"/>
      <c r="P939" s="15"/>
      <c r="Q939" s="15"/>
      <c r="R939" s="15"/>
      <c r="S939" s="15"/>
      <c r="T939" s="15"/>
      <c r="U939" s="15"/>
      <c r="V939" s="15"/>
      <c r="W939" s="15"/>
      <c r="X939" s="15"/>
      <c r="Y939" s="15"/>
      <c r="Z939" s="15"/>
    </row>
    <row r="940" spans="1:26" x14ac:dyDescent="0.3">
      <c r="A940" s="24">
        <v>14</v>
      </c>
      <c r="B940" s="26" t="s">
        <v>1617</v>
      </c>
      <c r="C940" s="35" t="s">
        <v>1618</v>
      </c>
      <c r="D940" s="17"/>
      <c r="E940" s="17"/>
      <c r="F940" s="17"/>
      <c r="G940" s="17"/>
      <c r="H940" s="17"/>
      <c r="I940" s="17"/>
      <c r="J940" s="17"/>
      <c r="K940" s="17"/>
      <c r="L940" s="15"/>
      <c r="M940" s="15"/>
      <c r="N940" s="15"/>
      <c r="O940" s="15"/>
      <c r="P940" s="15"/>
      <c r="Q940" s="15"/>
      <c r="R940" s="15"/>
      <c r="S940" s="15"/>
      <c r="T940" s="15"/>
      <c r="U940" s="15"/>
      <c r="V940" s="15"/>
      <c r="W940" s="15"/>
      <c r="X940" s="15"/>
      <c r="Y940" s="15"/>
      <c r="Z940" s="15"/>
    </row>
    <row r="941" spans="1:26" x14ac:dyDescent="0.3">
      <c r="A941" s="17"/>
      <c r="B941" s="17"/>
      <c r="C941" s="27" t="s">
        <v>1619</v>
      </c>
      <c r="D941" s="26" t="s">
        <v>1620</v>
      </c>
      <c r="E941" s="26"/>
      <c r="F941" s="24">
        <v>1010</v>
      </c>
      <c r="G941" s="24"/>
      <c r="H941" s="24"/>
      <c r="I941" s="24"/>
      <c r="J941" s="24"/>
      <c r="K941" s="24"/>
      <c r="L941" s="15"/>
      <c r="M941" s="15"/>
      <c r="N941" s="15"/>
      <c r="O941" s="15"/>
      <c r="P941" s="15"/>
      <c r="Q941" s="15"/>
      <c r="R941" s="15"/>
      <c r="S941" s="15"/>
      <c r="T941" s="15"/>
      <c r="U941" s="15"/>
      <c r="V941" s="15"/>
      <c r="W941" s="15"/>
      <c r="X941" s="15"/>
      <c r="Y941" s="15"/>
      <c r="Z941" s="15"/>
    </row>
    <row r="942" spans="1:26" x14ac:dyDescent="0.3">
      <c r="A942" s="17"/>
      <c r="B942" s="17"/>
      <c r="C942" s="17"/>
      <c r="D942" s="17"/>
      <c r="E942" s="17"/>
      <c r="F942" s="17"/>
      <c r="G942" s="17"/>
      <c r="H942" s="17"/>
      <c r="I942" s="17"/>
      <c r="J942" s="17"/>
      <c r="K942" s="17"/>
      <c r="L942" s="15"/>
      <c r="M942" s="15"/>
      <c r="N942" s="15"/>
      <c r="O942" s="15"/>
      <c r="P942" s="15"/>
      <c r="Q942" s="15"/>
      <c r="R942" s="15"/>
      <c r="S942" s="15"/>
      <c r="T942" s="15"/>
      <c r="U942" s="15"/>
      <c r="V942" s="15"/>
      <c r="W942" s="15"/>
      <c r="X942" s="15"/>
      <c r="Y942" s="15"/>
      <c r="Z942" s="15"/>
    </row>
    <row r="943" spans="1:26" x14ac:dyDescent="0.3">
      <c r="A943" s="24">
        <v>16</v>
      </c>
      <c r="B943" s="27" t="s">
        <v>1621</v>
      </c>
      <c r="C943" s="17" t="s">
        <v>1622</v>
      </c>
      <c r="D943" s="17"/>
      <c r="E943" s="17"/>
      <c r="F943" s="17"/>
      <c r="G943" s="17"/>
      <c r="H943" s="17"/>
      <c r="I943" s="17"/>
      <c r="J943" s="17"/>
      <c r="K943" s="17"/>
      <c r="L943" s="15"/>
      <c r="M943" s="15"/>
      <c r="N943" s="15"/>
      <c r="O943" s="15"/>
      <c r="P943" s="15"/>
      <c r="Q943" s="15"/>
      <c r="R943" s="15"/>
      <c r="S943" s="15"/>
      <c r="T943" s="15"/>
      <c r="U943" s="15"/>
      <c r="V943" s="15"/>
      <c r="W943" s="15"/>
      <c r="X943" s="15"/>
      <c r="Y943" s="15"/>
      <c r="Z943" s="15"/>
    </row>
    <row r="944" spans="1:26" x14ac:dyDescent="0.3">
      <c r="A944" s="17"/>
      <c r="B944" s="27" t="s">
        <v>1623</v>
      </c>
      <c r="C944" s="27" t="s">
        <v>1624</v>
      </c>
      <c r="D944" s="26" t="s">
        <v>1625</v>
      </c>
      <c r="E944" s="26"/>
      <c r="F944" s="24">
        <v>13</v>
      </c>
      <c r="G944" s="24"/>
      <c r="H944" s="24"/>
      <c r="I944" s="24"/>
      <c r="J944" s="24"/>
      <c r="K944" s="24"/>
      <c r="L944" s="15"/>
      <c r="M944" s="15"/>
      <c r="N944" s="15"/>
      <c r="O944" s="15"/>
      <c r="P944" s="15"/>
      <c r="Q944" s="15"/>
      <c r="R944" s="15"/>
      <c r="S944" s="15"/>
      <c r="T944" s="15"/>
      <c r="U944" s="15"/>
      <c r="V944" s="15"/>
      <c r="W944" s="15"/>
      <c r="X944" s="15"/>
      <c r="Y944" s="15"/>
      <c r="Z944" s="15"/>
    </row>
    <row r="945" spans="1:26" x14ac:dyDescent="0.3">
      <c r="A945" s="17"/>
      <c r="B945" s="17"/>
      <c r="C945" s="17"/>
      <c r="D945" s="17"/>
      <c r="E945" s="17"/>
      <c r="F945" s="17"/>
      <c r="G945" s="17"/>
      <c r="H945" s="17"/>
      <c r="I945" s="17"/>
      <c r="J945" s="17"/>
      <c r="K945" s="17"/>
      <c r="L945" s="15"/>
      <c r="M945" s="15"/>
      <c r="N945" s="15"/>
      <c r="O945" s="15"/>
      <c r="P945" s="15"/>
      <c r="Q945" s="15"/>
      <c r="R945" s="15"/>
      <c r="S945" s="15"/>
      <c r="T945" s="15"/>
      <c r="U945" s="15"/>
      <c r="V945" s="15"/>
      <c r="W945" s="15"/>
      <c r="X945" s="15"/>
      <c r="Y945" s="15"/>
      <c r="Z945" s="15"/>
    </row>
    <row r="946" spans="1:26" x14ac:dyDescent="0.3">
      <c r="A946" s="24">
        <v>17</v>
      </c>
      <c r="B946" s="17"/>
      <c r="C946" s="35" t="s">
        <v>1626</v>
      </c>
      <c r="D946" s="17"/>
      <c r="E946" s="17"/>
      <c r="F946" s="17"/>
      <c r="G946" s="17"/>
      <c r="H946" s="17"/>
      <c r="I946" s="17"/>
      <c r="J946" s="17"/>
      <c r="K946" s="17"/>
      <c r="L946" s="15"/>
      <c r="M946" s="15"/>
      <c r="N946" s="15"/>
      <c r="O946" s="15"/>
      <c r="P946" s="15"/>
      <c r="Q946" s="15"/>
      <c r="R946" s="15"/>
      <c r="S946" s="15"/>
      <c r="T946" s="15"/>
      <c r="U946" s="15"/>
      <c r="V946" s="15"/>
      <c r="W946" s="15"/>
      <c r="X946" s="15"/>
      <c r="Y946" s="15"/>
      <c r="Z946" s="15"/>
    </row>
    <row r="947" spans="1:26" x14ac:dyDescent="0.3">
      <c r="A947" s="17"/>
      <c r="B947" s="27" t="s">
        <v>1627</v>
      </c>
      <c r="C947" s="27" t="s">
        <v>1628</v>
      </c>
      <c r="D947" s="26" t="s">
        <v>1629</v>
      </c>
      <c r="E947" s="26"/>
      <c r="F947" s="24">
        <v>188</v>
      </c>
      <c r="G947" s="24"/>
      <c r="H947" s="24"/>
      <c r="I947" s="24"/>
      <c r="J947" s="24"/>
      <c r="K947" s="24"/>
      <c r="L947" s="15"/>
      <c r="M947" s="15"/>
      <c r="N947" s="15"/>
      <c r="O947" s="15"/>
      <c r="P947" s="15"/>
      <c r="Q947" s="15"/>
      <c r="R947" s="15"/>
      <c r="S947" s="15"/>
      <c r="T947" s="15"/>
      <c r="U947" s="15"/>
      <c r="V947" s="15"/>
      <c r="W947" s="15"/>
      <c r="X947" s="15"/>
      <c r="Y947" s="15"/>
      <c r="Z947" s="15"/>
    </row>
    <row r="948" spans="1:26" x14ac:dyDescent="0.3">
      <c r="A948" s="17"/>
      <c r="B948" s="17"/>
      <c r="C948" s="17"/>
      <c r="D948" s="17"/>
      <c r="E948" s="17"/>
      <c r="F948" s="17"/>
      <c r="G948" s="17"/>
      <c r="H948" s="17"/>
      <c r="I948" s="17"/>
      <c r="J948" s="17"/>
      <c r="K948" s="17"/>
      <c r="L948" s="15"/>
      <c r="M948" s="15"/>
      <c r="N948" s="15"/>
      <c r="O948" s="15"/>
      <c r="P948" s="15"/>
      <c r="Q948" s="15"/>
      <c r="R948" s="15"/>
      <c r="S948" s="15"/>
      <c r="T948" s="15"/>
      <c r="U948" s="15"/>
      <c r="V948" s="15"/>
      <c r="W948" s="15"/>
      <c r="X948" s="15"/>
      <c r="Y948" s="15"/>
      <c r="Z948" s="15"/>
    </row>
    <row r="949" spans="1:26" x14ac:dyDescent="0.3">
      <c r="A949" s="44"/>
      <c r="B949" s="17"/>
      <c r="C949" s="35" t="s">
        <v>1630</v>
      </c>
      <c r="D949" s="17"/>
      <c r="E949" s="17"/>
      <c r="F949" s="17"/>
      <c r="G949" s="17"/>
      <c r="H949" s="17"/>
      <c r="I949" s="17"/>
      <c r="J949" s="17"/>
      <c r="K949" s="17"/>
      <c r="L949" s="15"/>
      <c r="M949" s="15"/>
      <c r="N949" s="15"/>
      <c r="O949" s="15"/>
      <c r="P949" s="15"/>
      <c r="Q949" s="15"/>
      <c r="R949" s="15"/>
      <c r="S949" s="15"/>
      <c r="T949" s="15"/>
      <c r="U949" s="15"/>
      <c r="V949" s="15"/>
      <c r="W949" s="15"/>
      <c r="X949" s="15"/>
      <c r="Y949" s="15"/>
      <c r="Z949" s="15"/>
    </row>
    <row r="950" spans="1:26" x14ac:dyDescent="0.3">
      <c r="A950" s="24">
        <v>18</v>
      </c>
      <c r="B950" s="27" t="s">
        <v>1631</v>
      </c>
      <c r="C950" s="27" t="s">
        <v>1632</v>
      </c>
      <c r="D950" s="26" t="s">
        <v>1633</v>
      </c>
      <c r="E950" s="26"/>
      <c r="F950" s="24">
        <v>159</v>
      </c>
      <c r="G950" s="24"/>
      <c r="H950" s="24"/>
      <c r="I950" s="24"/>
      <c r="J950" s="24"/>
      <c r="K950" s="24"/>
      <c r="L950" s="15"/>
      <c r="M950" s="15"/>
      <c r="N950" s="15"/>
      <c r="O950" s="15"/>
      <c r="P950" s="15"/>
      <c r="Q950" s="15"/>
      <c r="R950" s="15"/>
      <c r="S950" s="15"/>
      <c r="T950" s="15"/>
      <c r="U950" s="15"/>
      <c r="V950" s="15"/>
      <c r="W950" s="15"/>
      <c r="X950" s="15"/>
      <c r="Y950" s="15"/>
      <c r="Z950" s="15"/>
    </row>
    <row r="951" spans="1:26" x14ac:dyDescent="0.3">
      <c r="A951" s="17"/>
      <c r="B951" s="17"/>
      <c r="C951" s="17"/>
      <c r="D951" s="17"/>
      <c r="E951" s="17"/>
      <c r="F951" s="17"/>
      <c r="G951" s="17"/>
      <c r="H951" s="17"/>
      <c r="I951" s="17"/>
      <c r="J951" s="17"/>
      <c r="K951" s="17"/>
      <c r="L951" s="15"/>
      <c r="M951" s="15"/>
      <c r="N951" s="15"/>
      <c r="O951" s="15"/>
      <c r="P951" s="15"/>
      <c r="Q951" s="15"/>
      <c r="R951" s="15"/>
      <c r="S951" s="15"/>
      <c r="T951" s="15"/>
      <c r="U951" s="15"/>
      <c r="V951" s="15"/>
      <c r="W951" s="15"/>
      <c r="X951" s="15"/>
      <c r="Y951" s="15"/>
      <c r="Z951" s="15"/>
    </row>
    <row r="952" spans="1:26" x14ac:dyDescent="0.3">
      <c r="A952" s="24">
        <v>19</v>
      </c>
      <c r="B952" s="26" t="s">
        <v>1634</v>
      </c>
      <c r="C952" s="35" t="s">
        <v>1635</v>
      </c>
      <c r="D952" s="17"/>
      <c r="E952" s="17"/>
      <c r="F952" s="17"/>
      <c r="G952" s="17"/>
      <c r="H952" s="17"/>
      <c r="I952" s="17"/>
      <c r="J952" s="17"/>
      <c r="K952" s="17"/>
      <c r="L952" s="15"/>
      <c r="M952" s="15"/>
      <c r="N952" s="15"/>
      <c r="O952" s="15"/>
      <c r="P952" s="15"/>
      <c r="Q952" s="15"/>
      <c r="R952" s="15"/>
      <c r="S952" s="15"/>
      <c r="T952" s="15"/>
      <c r="U952" s="15"/>
      <c r="V952" s="15"/>
      <c r="W952" s="15"/>
      <c r="X952" s="15"/>
      <c r="Y952" s="15"/>
      <c r="Z952" s="15"/>
    </row>
    <row r="953" spans="1:26" x14ac:dyDescent="0.3">
      <c r="A953" s="17"/>
      <c r="B953" s="17"/>
      <c r="C953" s="17" t="s">
        <v>1636</v>
      </c>
      <c r="D953" s="26" t="s">
        <v>1637</v>
      </c>
      <c r="E953" s="26"/>
      <c r="F953" s="24">
        <v>1</v>
      </c>
      <c r="G953" s="24"/>
      <c r="H953" s="24"/>
      <c r="I953" s="24"/>
      <c r="J953" s="24"/>
      <c r="K953" s="24"/>
      <c r="L953" s="15"/>
      <c r="M953" s="15"/>
      <c r="N953" s="15"/>
      <c r="O953" s="15"/>
      <c r="P953" s="15"/>
      <c r="Q953" s="15"/>
      <c r="R953" s="15"/>
      <c r="S953" s="15"/>
      <c r="T953" s="15"/>
      <c r="U953" s="15"/>
      <c r="V953" s="15"/>
      <c r="W953" s="15"/>
      <c r="X953" s="15"/>
      <c r="Y953" s="15"/>
      <c r="Z953" s="15"/>
    </row>
    <row r="954" spans="1:26" x14ac:dyDescent="0.3">
      <c r="A954" s="17"/>
      <c r="B954" s="17"/>
      <c r="C954" s="17"/>
      <c r="D954" s="17"/>
      <c r="E954" s="17"/>
      <c r="F954" s="17"/>
      <c r="G954" s="17"/>
      <c r="H954" s="17"/>
      <c r="I954" s="17"/>
      <c r="J954" s="17"/>
      <c r="K954" s="17"/>
      <c r="L954" s="15"/>
      <c r="M954" s="15"/>
      <c r="N954" s="15"/>
      <c r="O954" s="15"/>
      <c r="P954" s="15"/>
      <c r="Q954" s="15"/>
      <c r="R954" s="15"/>
      <c r="S954" s="15"/>
      <c r="T954" s="15"/>
      <c r="U954" s="15"/>
      <c r="V954" s="15"/>
      <c r="W954" s="15"/>
      <c r="X954" s="15"/>
      <c r="Y954" s="15"/>
      <c r="Z954" s="15"/>
    </row>
    <row r="955" spans="1:26" x14ac:dyDescent="0.3">
      <c r="A955" s="24">
        <v>20</v>
      </c>
      <c r="B955" s="26" t="s">
        <v>1638</v>
      </c>
      <c r="C955" s="35" t="s">
        <v>1639</v>
      </c>
      <c r="D955" s="17"/>
      <c r="E955" s="17"/>
      <c r="F955" s="17"/>
      <c r="G955" s="17"/>
      <c r="H955" s="17"/>
      <c r="I955" s="17"/>
      <c r="J955" s="17"/>
      <c r="K955" s="17"/>
      <c r="L955" s="15"/>
      <c r="M955" s="15"/>
      <c r="N955" s="15"/>
      <c r="O955" s="15"/>
      <c r="P955" s="15"/>
      <c r="Q955" s="15"/>
      <c r="R955" s="15"/>
      <c r="S955" s="15"/>
      <c r="T955" s="15"/>
      <c r="U955" s="15"/>
      <c r="V955" s="15"/>
      <c r="W955" s="15"/>
      <c r="X955" s="15"/>
      <c r="Y955" s="15"/>
      <c r="Z955" s="15"/>
    </row>
    <row r="956" spans="1:26" x14ac:dyDescent="0.3">
      <c r="A956" s="17"/>
      <c r="B956" s="17"/>
      <c r="C956" s="17" t="s">
        <v>1640</v>
      </c>
      <c r="D956" s="26" t="s">
        <v>1641</v>
      </c>
      <c r="E956" s="26"/>
      <c r="F956" s="24">
        <v>1</v>
      </c>
      <c r="G956" s="24"/>
      <c r="H956" s="24"/>
      <c r="I956" s="24"/>
      <c r="J956" s="24"/>
      <c r="K956" s="24"/>
      <c r="L956" s="15"/>
      <c r="M956" s="15"/>
      <c r="N956" s="15"/>
      <c r="O956" s="15"/>
      <c r="P956" s="15"/>
      <c r="Q956" s="15"/>
      <c r="R956" s="15"/>
      <c r="S956" s="15"/>
      <c r="T956" s="15"/>
      <c r="U956" s="15"/>
      <c r="V956" s="15"/>
      <c r="W956" s="15"/>
      <c r="X956" s="15"/>
      <c r="Y956" s="15"/>
      <c r="Z956" s="15"/>
    </row>
    <row r="957" spans="1:26" x14ac:dyDescent="0.3">
      <c r="A957" s="17"/>
      <c r="B957" s="17"/>
      <c r="C957" s="17"/>
      <c r="D957" s="17"/>
      <c r="E957" s="17"/>
      <c r="F957" s="17"/>
      <c r="G957" s="17"/>
      <c r="H957" s="17"/>
      <c r="I957" s="17"/>
      <c r="J957" s="17"/>
      <c r="K957" s="17"/>
      <c r="L957" s="15"/>
      <c r="M957" s="15"/>
      <c r="N957" s="15"/>
      <c r="O957" s="15"/>
      <c r="P957" s="15"/>
      <c r="Q957" s="15"/>
      <c r="R957" s="15"/>
      <c r="S957" s="15"/>
      <c r="T957" s="15"/>
      <c r="U957" s="15"/>
      <c r="V957" s="15"/>
      <c r="W957" s="15"/>
      <c r="X957" s="15"/>
      <c r="Y957" s="15"/>
      <c r="Z957" s="15"/>
    </row>
    <row r="958" spans="1:26" x14ac:dyDescent="0.3">
      <c r="A958" s="24">
        <v>20</v>
      </c>
      <c r="B958" s="26" t="s">
        <v>1642</v>
      </c>
      <c r="C958" s="27" t="s">
        <v>1643</v>
      </c>
      <c r="D958" s="26" t="s">
        <v>1644</v>
      </c>
      <c r="E958" s="26"/>
      <c r="F958" s="24">
        <v>1</v>
      </c>
      <c r="G958" s="24"/>
      <c r="H958" s="24"/>
      <c r="I958" s="24"/>
      <c r="J958" s="24"/>
      <c r="K958" s="24"/>
      <c r="L958" s="15"/>
      <c r="M958" s="15"/>
      <c r="N958" s="15"/>
      <c r="O958" s="15"/>
      <c r="P958" s="15"/>
      <c r="Q958" s="15"/>
      <c r="R958" s="15"/>
      <c r="S958" s="15"/>
      <c r="T958" s="15"/>
      <c r="U958" s="15"/>
      <c r="V958" s="15"/>
      <c r="W958" s="15"/>
      <c r="X958" s="15"/>
      <c r="Y958" s="15"/>
      <c r="Z958" s="15"/>
    </row>
    <row r="959" spans="1:26" x14ac:dyDescent="0.3">
      <c r="A959" s="17"/>
      <c r="B959" s="17"/>
      <c r="C959" s="17"/>
      <c r="D959" s="17"/>
      <c r="E959" s="17"/>
      <c r="F959" s="17"/>
      <c r="G959" s="17"/>
      <c r="H959" s="17"/>
      <c r="I959" s="17"/>
      <c r="J959" s="17"/>
      <c r="K959" s="17"/>
      <c r="L959" s="15"/>
      <c r="M959" s="15"/>
      <c r="N959" s="15"/>
      <c r="O959" s="15"/>
      <c r="P959" s="15"/>
      <c r="Q959" s="15"/>
      <c r="R959" s="15"/>
      <c r="S959" s="15"/>
      <c r="T959" s="15"/>
      <c r="U959" s="15"/>
      <c r="V959" s="15"/>
      <c r="W959" s="15"/>
      <c r="X959" s="15"/>
      <c r="Y959" s="15"/>
      <c r="Z959" s="15"/>
    </row>
    <row r="960" spans="1:26" x14ac:dyDescent="0.3">
      <c r="A960" s="24">
        <v>26</v>
      </c>
      <c r="B960" s="26" t="s">
        <v>1645</v>
      </c>
      <c r="C960" s="27" t="s">
        <v>1646</v>
      </c>
      <c r="D960" s="26" t="s">
        <v>1647</v>
      </c>
      <c r="E960" s="26"/>
      <c r="F960" s="24">
        <v>1</v>
      </c>
      <c r="G960" s="24"/>
      <c r="H960" s="24"/>
      <c r="I960" s="24"/>
      <c r="J960" s="24"/>
      <c r="K960" s="24"/>
      <c r="L960" s="15"/>
      <c r="M960" s="15"/>
      <c r="N960" s="15"/>
      <c r="O960" s="15"/>
      <c r="P960" s="15"/>
      <c r="Q960" s="15"/>
      <c r="R960" s="15"/>
      <c r="S960" s="15"/>
      <c r="T960" s="15"/>
      <c r="U960" s="15"/>
      <c r="V960" s="15"/>
      <c r="W960" s="15"/>
      <c r="X960" s="15"/>
      <c r="Y960" s="15"/>
      <c r="Z960" s="15"/>
    </row>
    <row r="961" spans="1:26" x14ac:dyDescent="0.3">
      <c r="A961" s="17"/>
      <c r="B961" s="17"/>
      <c r="C961" s="17"/>
      <c r="D961" s="17"/>
      <c r="E961" s="17"/>
      <c r="F961" s="17"/>
      <c r="G961" s="17"/>
      <c r="H961" s="17"/>
      <c r="I961" s="17"/>
      <c r="J961" s="17"/>
      <c r="K961" s="17"/>
      <c r="L961" s="15"/>
      <c r="M961" s="15"/>
      <c r="N961" s="15"/>
      <c r="O961" s="15"/>
      <c r="P961" s="15"/>
      <c r="Q961" s="15"/>
      <c r="R961" s="15"/>
      <c r="S961" s="15"/>
      <c r="T961" s="15"/>
      <c r="U961" s="15"/>
      <c r="V961" s="15"/>
      <c r="W961" s="15"/>
      <c r="X961" s="15"/>
      <c r="Y961" s="15"/>
      <c r="Z961" s="15"/>
    </row>
    <row r="962" spans="1:26" x14ac:dyDescent="0.3">
      <c r="A962" s="24">
        <v>24</v>
      </c>
      <c r="B962" s="27" t="s">
        <v>1648</v>
      </c>
      <c r="C962" s="17" t="s">
        <v>1649</v>
      </c>
      <c r="D962" s="17"/>
      <c r="E962" s="17"/>
      <c r="F962" s="17"/>
      <c r="G962" s="17"/>
      <c r="H962" s="17"/>
      <c r="I962" s="17"/>
      <c r="J962" s="17"/>
      <c r="K962" s="17"/>
      <c r="L962" s="15"/>
      <c r="M962" s="15"/>
      <c r="N962" s="15"/>
      <c r="O962" s="15"/>
      <c r="P962" s="15"/>
      <c r="Q962" s="15"/>
      <c r="R962" s="15"/>
      <c r="S962" s="15"/>
      <c r="T962" s="15"/>
      <c r="U962" s="15"/>
      <c r="V962" s="15"/>
      <c r="W962" s="15"/>
      <c r="X962" s="15"/>
      <c r="Y962" s="15"/>
      <c r="Z962" s="15"/>
    </row>
    <row r="963" spans="1:26" x14ac:dyDescent="0.3">
      <c r="A963" s="25">
        <v>24.1</v>
      </c>
      <c r="B963" s="27" t="s">
        <v>1650</v>
      </c>
      <c r="C963" s="27" t="s">
        <v>1651</v>
      </c>
      <c r="D963" s="26" t="s">
        <v>1652</v>
      </c>
      <c r="E963" s="26"/>
      <c r="F963" s="24">
        <v>2</v>
      </c>
      <c r="G963" s="24"/>
      <c r="H963" s="24"/>
      <c r="I963" s="24"/>
      <c r="J963" s="24"/>
      <c r="K963" s="24"/>
      <c r="L963" s="15"/>
      <c r="M963" s="15"/>
      <c r="N963" s="15"/>
      <c r="O963" s="15"/>
      <c r="P963" s="15"/>
      <c r="Q963" s="15"/>
      <c r="R963" s="15"/>
      <c r="S963" s="15"/>
      <c r="T963" s="15"/>
      <c r="U963" s="15"/>
      <c r="V963" s="15"/>
      <c r="W963" s="15"/>
      <c r="X963" s="15"/>
      <c r="Y963" s="15"/>
      <c r="Z963" s="15"/>
    </row>
    <row r="964" spans="1:26" x14ac:dyDescent="0.3">
      <c r="A964" s="17"/>
      <c r="B964" s="17"/>
      <c r="C964" s="17"/>
      <c r="D964" s="17"/>
      <c r="E964" s="17"/>
      <c r="F964" s="17"/>
      <c r="G964" s="17"/>
      <c r="H964" s="17"/>
      <c r="I964" s="17"/>
      <c r="J964" s="17"/>
      <c r="K964" s="17"/>
      <c r="L964" s="15"/>
      <c r="M964" s="15"/>
      <c r="N964" s="15"/>
      <c r="O964" s="15"/>
      <c r="P964" s="15"/>
      <c r="Q964" s="15"/>
      <c r="R964" s="15"/>
      <c r="S964" s="15"/>
      <c r="T964" s="15"/>
      <c r="U964" s="15"/>
      <c r="V964" s="15"/>
      <c r="W964" s="15"/>
      <c r="X964" s="15"/>
      <c r="Y964" s="15"/>
      <c r="Z964" s="15"/>
    </row>
    <row r="965" spans="1:26" x14ac:dyDescent="0.3">
      <c r="A965" s="24">
        <v>15</v>
      </c>
      <c r="B965" s="27" t="s">
        <v>1653</v>
      </c>
      <c r="C965" s="27" t="s">
        <v>1654</v>
      </c>
      <c r="D965" s="17"/>
      <c r="E965" s="17"/>
      <c r="F965" s="17"/>
      <c r="G965" s="17"/>
      <c r="H965" s="17"/>
      <c r="I965" s="17"/>
      <c r="J965" s="17"/>
      <c r="K965" s="17"/>
      <c r="L965" s="15"/>
      <c r="M965" s="15"/>
      <c r="N965" s="15"/>
      <c r="O965" s="15"/>
      <c r="P965" s="15"/>
      <c r="Q965" s="15"/>
      <c r="R965" s="15"/>
      <c r="S965" s="15"/>
      <c r="T965" s="15"/>
      <c r="U965" s="15"/>
      <c r="V965" s="15"/>
      <c r="W965" s="15"/>
      <c r="X965" s="15"/>
      <c r="Y965" s="15"/>
      <c r="Z965" s="15"/>
    </row>
    <row r="966" spans="1:26" x14ac:dyDescent="0.3">
      <c r="A966" s="25">
        <v>15.1</v>
      </c>
      <c r="B966" s="27" t="s">
        <v>1655</v>
      </c>
      <c r="C966" s="27" t="s">
        <v>1656</v>
      </c>
      <c r="D966" s="26" t="s">
        <v>1657</v>
      </c>
      <c r="E966" s="26"/>
      <c r="F966" s="24">
        <v>650</v>
      </c>
      <c r="G966" s="24"/>
      <c r="H966" s="24"/>
      <c r="I966" s="24"/>
      <c r="J966" s="24"/>
      <c r="K966" s="24"/>
      <c r="L966" s="15"/>
      <c r="M966" s="15"/>
      <c r="N966" s="15"/>
      <c r="O966" s="15"/>
      <c r="P966" s="15"/>
      <c r="Q966" s="15"/>
      <c r="R966" s="15"/>
      <c r="S966" s="15"/>
      <c r="T966" s="15"/>
      <c r="U966" s="15"/>
      <c r="V966" s="15"/>
      <c r="W966" s="15"/>
      <c r="X966" s="15"/>
      <c r="Y966" s="15"/>
      <c r="Z966" s="15"/>
    </row>
    <row r="967" spans="1:26" x14ac:dyDescent="0.3">
      <c r="A967" s="17"/>
      <c r="B967" s="17"/>
      <c r="C967" s="17"/>
      <c r="D967" s="17"/>
      <c r="E967" s="17"/>
      <c r="F967" s="17"/>
      <c r="G967" s="17"/>
      <c r="H967" s="17"/>
      <c r="I967" s="17"/>
      <c r="J967" s="17"/>
      <c r="K967" s="17"/>
      <c r="L967" s="15"/>
      <c r="M967" s="15"/>
      <c r="N967" s="15"/>
      <c r="O967" s="15"/>
      <c r="P967" s="15"/>
      <c r="Q967" s="15"/>
      <c r="R967" s="15"/>
      <c r="S967" s="15"/>
      <c r="T967" s="15"/>
      <c r="U967" s="15"/>
      <c r="V967" s="15"/>
      <c r="W967" s="15"/>
      <c r="X967" s="15"/>
      <c r="Y967" s="15"/>
      <c r="Z967" s="15"/>
    </row>
    <row r="968" spans="1:26" x14ac:dyDescent="0.3">
      <c r="A968" s="24">
        <v>21</v>
      </c>
      <c r="B968" s="17"/>
      <c r="C968" s="35" t="s">
        <v>1658</v>
      </c>
      <c r="D968" s="17"/>
      <c r="E968" s="17"/>
      <c r="F968" s="17"/>
      <c r="G968" s="17"/>
      <c r="H968" s="17"/>
      <c r="I968" s="17"/>
      <c r="J968" s="17"/>
      <c r="K968" s="17"/>
      <c r="L968" s="15"/>
      <c r="M968" s="15"/>
      <c r="N968" s="15"/>
      <c r="O968" s="15"/>
      <c r="P968" s="15"/>
      <c r="Q968" s="15"/>
      <c r="R968" s="15"/>
      <c r="S968" s="15"/>
      <c r="T968" s="15"/>
      <c r="U968" s="15"/>
      <c r="V968" s="15"/>
      <c r="W968" s="15"/>
      <c r="X968" s="15"/>
      <c r="Y968" s="15"/>
      <c r="Z968" s="15"/>
    </row>
    <row r="969" spans="1:26" x14ac:dyDescent="0.3">
      <c r="A969" s="17"/>
      <c r="B969" s="27" t="s">
        <v>1659</v>
      </c>
      <c r="C969" s="17" t="s">
        <v>1660</v>
      </c>
      <c r="D969" s="17"/>
      <c r="E969" s="17"/>
      <c r="F969" s="17"/>
      <c r="G969" s="17"/>
      <c r="H969" s="17"/>
      <c r="I969" s="17"/>
      <c r="J969" s="17"/>
      <c r="K969" s="17"/>
      <c r="L969" s="15"/>
      <c r="M969" s="15"/>
      <c r="N969" s="15"/>
      <c r="O969" s="15"/>
      <c r="P969" s="15"/>
      <c r="Q969" s="15"/>
      <c r="R969" s="15"/>
      <c r="S969" s="15"/>
      <c r="T969" s="15"/>
      <c r="U969" s="15"/>
      <c r="V969" s="15"/>
      <c r="W969" s="15"/>
      <c r="X969" s="15"/>
      <c r="Y969" s="15"/>
      <c r="Z969" s="15"/>
    </row>
    <row r="970" spans="1:26" x14ac:dyDescent="0.3">
      <c r="A970" s="25">
        <v>21.1</v>
      </c>
      <c r="B970" s="27" t="s">
        <v>1661</v>
      </c>
      <c r="C970" s="27" t="s">
        <v>1662</v>
      </c>
      <c r="D970" s="26" t="s">
        <v>1663</v>
      </c>
      <c r="E970" s="26"/>
      <c r="F970" s="24">
        <v>800</v>
      </c>
      <c r="G970" s="24"/>
      <c r="H970" s="24"/>
      <c r="I970" s="24"/>
      <c r="J970" s="24"/>
      <c r="K970" s="24"/>
      <c r="L970" s="15"/>
      <c r="M970" s="15"/>
      <c r="N970" s="15"/>
      <c r="O970" s="15"/>
      <c r="P970" s="15"/>
      <c r="Q970" s="15"/>
      <c r="R970" s="15"/>
      <c r="S970" s="15"/>
      <c r="T970" s="15"/>
      <c r="U970" s="15"/>
      <c r="V970" s="15"/>
      <c r="W970" s="15"/>
      <c r="X970" s="15"/>
      <c r="Y970" s="15"/>
      <c r="Z970" s="15"/>
    </row>
    <row r="971" spans="1:26" x14ac:dyDescent="0.3">
      <c r="A971" s="17"/>
      <c r="B971" s="17"/>
      <c r="C971" s="17"/>
      <c r="D971" s="17"/>
      <c r="E971" s="17"/>
      <c r="F971" s="17"/>
      <c r="G971" s="17"/>
      <c r="H971" s="17"/>
      <c r="I971" s="17"/>
      <c r="J971" s="17"/>
      <c r="K971" s="17"/>
      <c r="L971" s="15"/>
      <c r="M971" s="15"/>
      <c r="N971" s="15"/>
      <c r="O971" s="15"/>
      <c r="P971" s="15"/>
      <c r="Q971" s="15"/>
      <c r="R971" s="15"/>
      <c r="S971" s="15"/>
      <c r="T971" s="15"/>
      <c r="U971" s="15"/>
      <c r="V971" s="15"/>
      <c r="W971" s="15"/>
      <c r="X971" s="15"/>
      <c r="Y971" s="15"/>
      <c r="Z971" s="15"/>
    </row>
    <row r="972" spans="1:26" x14ac:dyDescent="0.3">
      <c r="A972" s="24">
        <v>22</v>
      </c>
      <c r="B972" s="27" t="s">
        <v>1664</v>
      </c>
      <c r="C972" s="27" t="s">
        <v>1665</v>
      </c>
      <c r="D972" s="17"/>
      <c r="E972" s="17"/>
      <c r="F972" s="17"/>
      <c r="G972" s="17"/>
      <c r="H972" s="17"/>
      <c r="I972" s="17"/>
      <c r="J972" s="17"/>
      <c r="K972" s="17"/>
      <c r="L972" s="15"/>
      <c r="M972" s="15"/>
      <c r="N972" s="15"/>
      <c r="O972" s="15"/>
      <c r="P972" s="15"/>
      <c r="Q972" s="15"/>
      <c r="R972" s="15"/>
      <c r="S972" s="15"/>
      <c r="T972" s="15"/>
      <c r="U972" s="15"/>
      <c r="V972" s="15"/>
      <c r="W972" s="15"/>
      <c r="X972" s="15"/>
      <c r="Y972" s="15"/>
      <c r="Z972" s="15"/>
    </row>
    <row r="973" spans="1:26" x14ac:dyDescent="0.3">
      <c r="A973" s="25">
        <v>22.1</v>
      </c>
      <c r="B973" s="27" t="s">
        <v>1666</v>
      </c>
      <c r="C973" s="27" t="s">
        <v>1667</v>
      </c>
      <c r="D973" s="26" t="s">
        <v>1668</v>
      </c>
      <c r="E973" s="26"/>
      <c r="F973" s="24">
        <v>1200</v>
      </c>
      <c r="G973" s="24"/>
      <c r="H973" s="24"/>
      <c r="I973" s="24"/>
      <c r="J973" s="24"/>
      <c r="K973" s="24"/>
      <c r="L973" s="15"/>
      <c r="M973" s="15"/>
      <c r="N973" s="15"/>
      <c r="O973" s="15"/>
      <c r="P973" s="15"/>
      <c r="Q973" s="15"/>
      <c r="R973" s="15"/>
      <c r="S973" s="15"/>
      <c r="T973" s="15"/>
      <c r="U973" s="15"/>
      <c r="V973" s="15"/>
      <c r="W973" s="15"/>
      <c r="X973" s="15"/>
      <c r="Y973" s="15"/>
      <c r="Z973" s="15"/>
    </row>
    <row r="974" spans="1:26" x14ac:dyDescent="0.3">
      <c r="A974" s="17"/>
      <c r="B974" s="17"/>
      <c r="C974" s="17"/>
      <c r="D974" s="17"/>
      <c r="E974" s="17"/>
      <c r="F974" s="17"/>
      <c r="G974" s="17"/>
      <c r="H974" s="17"/>
      <c r="I974" s="17"/>
      <c r="J974" s="17"/>
      <c r="K974" s="17"/>
      <c r="L974" s="15"/>
      <c r="M974" s="15"/>
      <c r="N974" s="15"/>
      <c r="O974" s="15"/>
      <c r="P974" s="15"/>
      <c r="Q974" s="15"/>
      <c r="R974" s="15"/>
      <c r="S974" s="15"/>
      <c r="T974" s="15"/>
      <c r="U974" s="15"/>
      <c r="V974" s="15"/>
      <c r="W974" s="15"/>
      <c r="X974" s="15"/>
      <c r="Y974" s="15"/>
      <c r="Z974" s="15"/>
    </row>
    <row r="975" spans="1:26" x14ac:dyDescent="0.3">
      <c r="A975" s="24">
        <v>23</v>
      </c>
      <c r="B975" s="27" t="s">
        <v>1669</v>
      </c>
      <c r="C975" s="27" t="s">
        <v>1670</v>
      </c>
      <c r="D975" s="17"/>
      <c r="E975" s="17"/>
      <c r="F975" s="17"/>
      <c r="G975" s="17"/>
      <c r="H975" s="17"/>
      <c r="I975" s="17"/>
      <c r="J975" s="17"/>
      <c r="K975" s="17"/>
      <c r="L975" s="15"/>
      <c r="M975" s="15"/>
      <c r="N975" s="15"/>
      <c r="O975" s="15"/>
      <c r="P975" s="15"/>
      <c r="Q975" s="15"/>
      <c r="R975" s="15"/>
      <c r="S975" s="15"/>
      <c r="T975" s="15"/>
      <c r="U975" s="15"/>
      <c r="V975" s="15"/>
      <c r="W975" s="15"/>
      <c r="X975" s="15"/>
      <c r="Y975" s="15"/>
      <c r="Z975" s="15"/>
    </row>
    <row r="976" spans="1:26" x14ac:dyDescent="0.3">
      <c r="A976" s="25">
        <v>23.1</v>
      </c>
      <c r="B976" s="27" t="s">
        <v>1671</v>
      </c>
      <c r="C976" s="27" t="s">
        <v>1672</v>
      </c>
      <c r="D976" s="26" t="s">
        <v>1673</v>
      </c>
      <c r="E976" s="26"/>
      <c r="F976" s="24">
        <v>100</v>
      </c>
      <c r="G976" s="24"/>
      <c r="H976" s="24"/>
      <c r="I976" s="24"/>
      <c r="J976" s="24"/>
      <c r="K976" s="24"/>
      <c r="L976" s="15"/>
      <c r="M976" s="15"/>
      <c r="N976" s="15"/>
      <c r="O976" s="15"/>
      <c r="P976" s="15"/>
      <c r="Q976" s="15"/>
      <c r="R976" s="15"/>
      <c r="S976" s="15"/>
      <c r="T976" s="15"/>
      <c r="U976" s="15"/>
      <c r="V976" s="15"/>
      <c r="W976" s="15"/>
      <c r="X976" s="15"/>
      <c r="Y976" s="15"/>
      <c r="Z976" s="15"/>
    </row>
    <row r="977" spans="1:26" x14ac:dyDescent="0.3">
      <c r="A977" s="17"/>
      <c r="B977" s="17"/>
      <c r="C977" s="17"/>
      <c r="D977" s="17"/>
      <c r="E977" s="17"/>
      <c r="F977" s="17"/>
      <c r="G977" s="17"/>
      <c r="H977" s="17"/>
      <c r="I977" s="17"/>
      <c r="J977" s="17"/>
      <c r="K977" s="17"/>
      <c r="L977" s="15"/>
      <c r="M977" s="15"/>
      <c r="N977" s="15"/>
      <c r="O977" s="15"/>
      <c r="P977" s="15"/>
      <c r="Q977" s="15"/>
      <c r="R977" s="15"/>
      <c r="S977" s="15"/>
      <c r="T977" s="15"/>
      <c r="U977" s="15"/>
      <c r="V977" s="15"/>
      <c r="W977" s="15"/>
      <c r="X977" s="15"/>
      <c r="Y977" s="15"/>
      <c r="Z977" s="15"/>
    </row>
    <row r="978" spans="1:26" x14ac:dyDescent="0.3">
      <c r="A978" s="24">
        <v>25</v>
      </c>
      <c r="B978" s="27" t="s">
        <v>1674</v>
      </c>
      <c r="C978" s="27" t="s">
        <v>1675</v>
      </c>
      <c r="D978" s="17"/>
      <c r="E978" s="17"/>
      <c r="F978" s="17"/>
      <c r="G978" s="17"/>
      <c r="H978" s="17"/>
      <c r="I978" s="17"/>
      <c r="J978" s="17"/>
      <c r="K978" s="17"/>
      <c r="L978" s="15"/>
      <c r="M978" s="15"/>
      <c r="N978" s="15"/>
      <c r="O978" s="15"/>
      <c r="P978" s="15"/>
      <c r="Q978" s="15"/>
      <c r="R978" s="15"/>
      <c r="S978" s="15"/>
      <c r="T978" s="15"/>
      <c r="U978" s="15"/>
      <c r="V978" s="15"/>
      <c r="W978" s="15"/>
      <c r="X978" s="15"/>
      <c r="Y978" s="15"/>
      <c r="Z978" s="15"/>
    </row>
    <row r="979" spans="1:26" x14ac:dyDescent="0.3">
      <c r="A979" s="25">
        <v>25.1</v>
      </c>
      <c r="B979" s="27" t="s">
        <v>1676</v>
      </c>
      <c r="C979" s="27" t="s">
        <v>1677</v>
      </c>
      <c r="D979" s="26" t="s">
        <v>1678</v>
      </c>
      <c r="E979" s="26"/>
      <c r="F979" s="24">
        <v>9375</v>
      </c>
      <c r="G979" s="24"/>
      <c r="H979" s="24"/>
      <c r="I979" s="24"/>
      <c r="J979" s="24"/>
      <c r="K979" s="24"/>
      <c r="L979" s="15"/>
      <c r="M979" s="15"/>
      <c r="N979" s="15"/>
      <c r="O979" s="15"/>
      <c r="P979" s="15"/>
      <c r="Q979" s="15"/>
      <c r="R979" s="15"/>
      <c r="S979" s="15"/>
      <c r="T979" s="15"/>
      <c r="U979" s="15"/>
      <c r="V979" s="15"/>
      <c r="W979" s="15"/>
      <c r="X979" s="15"/>
      <c r="Y979" s="15"/>
      <c r="Z979" s="15"/>
    </row>
    <row r="980" spans="1:26" x14ac:dyDescent="0.3">
      <c r="A980" s="17"/>
      <c r="B980" s="17"/>
      <c r="C980" s="17"/>
      <c r="D980" s="17"/>
      <c r="E980" s="17"/>
      <c r="F980" s="17"/>
      <c r="G980" s="17"/>
      <c r="H980" s="17"/>
      <c r="I980" s="17"/>
      <c r="J980" s="17"/>
      <c r="K980" s="17"/>
      <c r="L980" s="15"/>
      <c r="M980" s="15"/>
      <c r="N980" s="15"/>
      <c r="O980" s="15"/>
      <c r="P980" s="15"/>
      <c r="Q980" s="15"/>
      <c r="R980" s="15"/>
      <c r="S980" s="15"/>
      <c r="T980" s="15"/>
      <c r="U980" s="15"/>
      <c r="V980" s="15"/>
      <c r="W980" s="15"/>
      <c r="X980" s="15"/>
      <c r="Y980" s="15"/>
      <c r="Z980" s="15"/>
    </row>
    <row r="981" spans="1:26" x14ac:dyDescent="0.3">
      <c r="A981" s="24">
        <v>27</v>
      </c>
      <c r="B981" s="17"/>
      <c r="C981" s="27" t="s">
        <v>1679</v>
      </c>
      <c r="D981" s="17"/>
      <c r="E981" s="17"/>
      <c r="F981" s="17"/>
      <c r="G981" s="17"/>
      <c r="H981" s="17"/>
      <c r="I981" s="17"/>
      <c r="J981" s="17"/>
      <c r="K981" s="17"/>
      <c r="L981" s="15"/>
      <c r="M981" s="15"/>
      <c r="N981" s="15"/>
      <c r="O981" s="15"/>
      <c r="P981" s="15"/>
      <c r="Q981" s="15"/>
      <c r="R981" s="15"/>
      <c r="S981" s="15"/>
      <c r="T981" s="15"/>
      <c r="U981" s="15"/>
      <c r="V981" s="15"/>
      <c r="W981" s="15"/>
      <c r="X981" s="15"/>
      <c r="Y981" s="15"/>
      <c r="Z981" s="15"/>
    </row>
    <row r="982" spans="1:26" x14ac:dyDescent="0.3">
      <c r="A982" s="25">
        <v>27.1</v>
      </c>
      <c r="B982" s="26" t="s">
        <v>1680</v>
      </c>
      <c r="C982" s="27" t="s">
        <v>1681</v>
      </c>
      <c r="D982" s="26" t="s">
        <v>1682</v>
      </c>
      <c r="E982" s="26"/>
      <c r="F982" s="24">
        <v>6050</v>
      </c>
      <c r="G982" s="24"/>
      <c r="H982" s="24"/>
      <c r="I982" s="24"/>
      <c r="J982" s="24"/>
      <c r="K982" s="24"/>
      <c r="L982" s="15"/>
      <c r="M982" s="15"/>
      <c r="N982" s="15"/>
      <c r="O982" s="15"/>
      <c r="P982" s="15"/>
      <c r="Q982" s="15"/>
      <c r="R982" s="15"/>
      <c r="S982" s="15"/>
      <c r="T982" s="15"/>
      <c r="U982" s="15"/>
      <c r="V982" s="15"/>
      <c r="W982" s="15"/>
      <c r="X982" s="15"/>
      <c r="Y982" s="15"/>
      <c r="Z982" s="15"/>
    </row>
    <row r="983" spans="1:26" x14ac:dyDescent="0.3">
      <c r="A983" s="25">
        <v>27.2</v>
      </c>
      <c r="B983" s="26" t="s">
        <v>1683</v>
      </c>
      <c r="C983" s="27" t="s">
        <v>1684</v>
      </c>
      <c r="D983" s="26" t="s">
        <v>1685</v>
      </c>
      <c r="E983" s="26"/>
      <c r="F983" s="24">
        <v>6050</v>
      </c>
      <c r="G983" s="24"/>
      <c r="H983" s="24"/>
      <c r="I983" s="24"/>
      <c r="J983" s="24"/>
      <c r="K983" s="24"/>
      <c r="L983" s="15"/>
      <c r="M983" s="15"/>
      <c r="N983" s="15"/>
      <c r="O983" s="15"/>
      <c r="P983" s="15"/>
      <c r="Q983" s="15"/>
      <c r="R983" s="15"/>
      <c r="S983" s="15"/>
      <c r="T983" s="15"/>
      <c r="U983" s="15"/>
      <c r="V983" s="15"/>
      <c r="W983" s="15"/>
      <c r="X983" s="15"/>
      <c r="Y983" s="15"/>
      <c r="Z983" s="15"/>
    </row>
    <row r="984" spans="1:26" x14ac:dyDescent="0.3">
      <c r="A984" s="25">
        <v>27.3</v>
      </c>
      <c r="B984" s="26" t="s">
        <v>1686</v>
      </c>
      <c r="C984" s="27" t="s">
        <v>1687</v>
      </c>
      <c r="D984" s="26" t="s">
        <v>1688</v>
      </c>
      <c r="E984" s="26"/>
      <c r="F984" s="24">
        <v>6050</v>
      </c>
      <c r="G984" s="24"/>
      <c r="H984" s="24"/>
      <c r="I984" s="24"/>
      <c r="J984" s="24"/>
      <c r="K984" s="24"/>
      <c r="L984" s="15"/>
      <c r="M984" s="15"/>
      <c r="N984" s="15"/>
      <c r="O984" s="15"/>
      <c r="P984" s="15"/>
      <c r="Q984" s="15"/>
      <c r="R984" s="15"/>
      <c r="S984" s="15"/>
      <c r="T984" s="15"/>
      <c r="U984" s="15"/>
      <c r="V984" s="15"/>
      <c r="W984" s="15"/>
      <c r="X984" s="15"/>
      <c r="Y984" s="15"/>
      <c r="Z984" s="15"/>
    </row>
    <row r="985" spans="1:26" x14ac:dyDescent="0.3">
      <c r="A985" s="17"/>
      <c r="B985" s="17"/>
      <c r="C985" s="17"/>
      <c r="D985" s="17"/>
      <c r="E985" s="17"/>
      <c r="F985" s="17"/>
      <c r="G985" s="17"/>
      <c r="H985" s="17"/>
      <c r="I985" s="17"/>
      <c r="J985" s="17"/>
      <c r="K985" s="17"/>
      <c r="L985" s="15"/>
      <c r="M985" s="15"/>
      <c r="N985" s="15"/>
      <c r="O985" s="15"/>
      <c r="P985" s="15"/>
      <c r="Q985" s="15"/>
      <c r="R985" s="15"/>
      <c r="S985" s="15"/>
      <c r="T985" s="15"/>
      <c r="U985" s="15"/>
      <c r="V985" s="15"/>
      <c r="W985" s="15"/>
      <c r="X985" s="15"/>
      <c r="Y985" s="15"/>
      <c r="Z985" s="15"/>
    </row>
    <row r="986" spans="1:26" x14ac:dyDescent="0.3">
      <c r="A986" s="17"/>
      <c r="B986" s="17"/>
      <c r="C986" s="27" t="s">
        <v>1689</v>
      </c>
      <c r="D986" s="17"/>
      <c r="E986" s="17"/>
      <c r="F986" s="17"/>
      <c r="G986" s="17"/>
      <c r="H986" s="17"/>
      <c r="I986" s="17"/>
      <c r="J986" s="17"/>
      <c r="K986" s="17"/>
      <c r="L986" s="15"/>
      <c r="M986" s="15"/>
      <c r="N986" s="15"/>
      <c r="O986" s="15"/>
      <c r="P986" s="15"/>
      <c r="Q986" s="15"/>
      <c r="R986" s="15"/>
      <c r="S986" s="15"/>
      <c r="T986" s="15"/>
      <c r="U986" s="15"/>
      <c r="V986" s="15"/>
      <c r="W986" s="15"/>
      <c r="X986" s="15"/>
      <c r="Y986" s="15"/>
      <c r="Z986" s="15"/>
    </row>
    <row r="987" spans="1:26" x14ac:dyDescent="0.3">
      <c r="A987" s="17"/>
      <c r="B987" s="17"/>
      <c r="C987" s="17"/>
      <c r="D987" s="17"/>
      <c r="E987" s="17"/>
      <c r="F987" s="17"/>
      <c r="G987" s="17"/>
      <c r="H987" s="17"/>
      <c r="I987" s="17"/>
      <c r="J987" s="17"/>
      <c r="K987" s="17"/>
      <c r="L987" s="15"/>
      <c r="M987" s="15"/>
      <c r="N987" s="15"/>
      <c r="O987" s="15"/>
      <c r="P987" s="15"/>
      <c r="Q987" s="15"/>
      <c r="R987" s="15"/>
      <c r="S987" s="15"/>
      <c r="T987" s="15"/>
      <c r="U987" s="15"/>
      <c r="V987" s="15"/>
      <c r="W987" s="15"/>
      <c r="X987" s="15"/>
      <c r="Y987" s="15"/>
      <c r="Z987" s="15"/>
    </row>
    <row r="988" spans="1:26" x14ac:dyDescent="0.3">
      <c r="A988" s="22"/>
      <c r="B988" s="22"/>
      <c r="C988" s="21" t="s">
        <v>1690</v>
      </c>
      <c r="D988" s="22"/>
      <c r="E988" s="22"/>
      <c r="F988" s="22"/>
      <c r="G988" s="22"/>
      <c r="H988" s="22"/>
      <c r="I988" s="22"/>
      <c r="J988" s="22"/>
      <c r="K988" s="22"/>
      <c r="L988" s="15"/>
      <c r="M988" s="15"/>
      <c r="N988" s="15"/>
      <c r="O988" s="15"/>
      <c r="P988" s="15"/>
      <c r="Q988" s="15"/>
      <c r="R988" s="15"/>
      <c r="S988" s="15"/>
      <c r="T988" s="15"/>
      <c r="U988" s="15"/>
      <c r="V988" s="15"/>
      <c r="W988" s="15"/>
      <c r="X988" s="15"/>
      <c r="Y988" s="15"/>
      <c r="Z988" s="15"/>
    </row>
    <row r="989" spans="1:26" x14ac:dyDescent="0.3">
      <c r="A989" s="17"/>
      <c r="B989" s="17"/>
      <c r="C989" s="17"/>
      <c r="D989" s="17"/>
      <c r="E989" s="17"/>
      <c r="F989" s="17"/>
      <c r="G989" s="17"/>
      <c r="H989" s="17"/>
      <c r="I989" s="17"/>
      <c r="J989" s="17"/>
      <c r="K989" s="17"/>
      <c r="L989" s="15"/>
      <c r="M989" s="15"/>
      <c r="N989" s="15"/>
      <c r="O989" s="15"/>
      <c r="P989" s="15"/>
      <c r="Q989" s="15"/>
      <c r="R989" s="15"/>
      <c r="S989" s="15"/>
      <c r="T989" s="15"/>
      <c r="U989" s="15"/>
      <c r="V989" s="15"/>
      <c r="W989" s="15"/>
      <c r="X989" s="15"/>
      <c r="Y989" s="15"/>
      <c r="Z989" s="15"/>
    </row>
    <row r="990" spans="1:26" x14ac:dyDescent="0.3">
      <c r="A990" s="20" t="s">
        <v>1691</v>
      </c>
      <c r="B990" s="22"/>
      <c r="C990" s="21" t="s">
        <v>1692</v>
      </c>
      <c r="D990" s="22"/>
      <c r="E990" s="22"/>
      <c r="F990" s="22"/>
      <c r="G990" s="22"/>
      <c r="H990" s="22"/>
      <c r="I990" s="22"/>
      <c r="J990" s="22"/>
      <c r="K990" s="22"/>
      <c r="L990" s="15"/>
      <c r="M990" s="15"/>
      <c r="N990" s="15"/>
      <c r="O990" s="15"/>
      <c r="P990" s="15"/>
      <c r="Q990" s="15"/>
      <c r="R990" s="15"/>
      <c r="S990" s="15"/>
      <c r="T990" s="15"/>
      <c r="U990" s="15"/>
      <c r="V990" s="15"/>
      <c r="W990" s="15"/>
      <c r="X990" s="15"/>
      <c r="Y990" s="15"/>
      <c r="Z990" s="15"/>
    </row>
    <row r="991" spans="1:26" x14ac:dyDescent="0.3">
      <c r="A991" s="17"/>
      <c r="B991" s="17"/>
      <c r="C991" s="17"/>
      <c r="D991" s="17"/>
      <c r="E991" s="17"/>
      <c r="F991" s="17"/>
      <c r="G991" s="17"/>
      <c r="H991" s="17"/>
      <c r="I991" s="17"/>
      <c r="J991" s="17"/>
      <c r="K991" s="17"/>
      <c r="L991" s="15"/>
      <c r="M991" s="15"/>
      <c r="N991" s="15"/>
      <c r="O991" s="15"/>
      <c r="P991" s="15"/>
      <c r="Q991" s="15"/>
      <c r="R991" s="15"/>
      <c r="S991" s="15"/>
      <c r="T991" s="15"/>
      <c r="U991" s="15"/>
      <c r="V991" s="15"/>
      <c r="W991" s="15"/>
      <c r="X991" s="15"/>
      <c r="Y991" s="15"/>
      <c r="Z991" s="15"/>
    </row>
    <row r="992" spans="1:26" x14ac:dyDescent="0.3">
      <c r="A992" s="17"/>
      <c r="B992" s="17"/>
      <c r="C992" s="35" t="s">
        <v>1693</v>
      </c>
      <c r="D992" s="17"/>
      <c r="E992" s="17"/>
      <c r="F992" s="17"/>
      <c r="G992" s="17"/>
      <c r="H992" s="17"/>
      <c r="I992" s="17"/>
      <c r="J992" s="17"/>
      <c r="K992" s="17"/>
      <c r="L992" s="15"/>
      <c r="M992" s="15"/>
      <c r="N992" s="15"/>
      <c r="O992" s="15"/>
      <c r="P992" s="15"/>
      <c r="Q992" s="15"/>
      <c r="R992" s="15"/>
      <c r="S992" s="15"/>
      <c r="T992" s="15"/>
      <c r="U992" s="15"/>
      <c r="V992" s="15"/>
      <c r="W992" s="15"/>
      <c r="X992" s="15"/>
      <c r="Y992" s="15"/>
      <c r="Z992" s="15"/>
    </row>
    <row r="993" spans="1:26" x14ac:dyDescent="0.3">
      <c r="A993" s="17"/>
      <c r="B993" s="17"/>
      <c r="C993" s="35" t="s">
        <v>1694</v>
      </c>
      <c r="D993" s="17"/>
      <c r="E993" s="17"/>
      <c r="F993" s="17"/>
      <c r="G993" s="17"/>
      <c r="H993" s="17"/>
      <c r="I993" s="17"/>
      <c r="J993" s="17"/>
      <c r="K993" s="17"/>
      <c r="L993" s="15"/>
      <c r="M993" s="15"/>
      <c r="N993" s="15"/>
      <c r="O993" s="15"/>
      <c r="P993" s="15"/>
      <c r="Q993" s="15"/>
      <c r="R993" s="15"/>
      <c r="S993" s="15"/>
      <c r="T993" s="15"/>
      <c r="U993" s="15"/>
      <c r="V993" s="15"/>
      <c r="W993" s="15"/>
      <c r="X993" s="15"/>
      <c r="Y993" s="15"/>
      <c r="Z993" s="15"/>
    </row>
    <row r="994" spans="1:26" x14ac:dyDescent="0.3">
      <c r="A994" s="24">
        <v>1</v>
      </c>
      <c r="B994" s="27" t="s">
        <v>1695</v>
      </c>
      <c r="C994" s="17" t="s">
        <v>1696</v>
      </c>
      <c r="D994" s="17"/>
      <c r="E994" s="17"/>
      <c r="F994" s="17"/>
      <c r="G994" s="17"/>
      <c r="H994" s="17"/>
      <c r="I994" s="17"/>
      <c r="J994" s="17"/>
      <c r="K994" s="17"/>
      <c r="L994" s="15"/>
      <c r="M994" s="15"/>
      <c r="N994" s="15"/>
      <c r="O994" s="15"/>
      <c r="P994" s="15"/>
      <c r="Q994" s="15"/>
      <c r="R994" s="15"/>
      <c r="S994" s="15"/>
      <c r="T994" s="15"/>
      <c r="U994" s="15"/>
      <c r="V994" s="15"/>
      <c r="W994" s="15"/>
      <c r="X994" s="15"/>
      <c r="Y994" s="15"/>
      <c r="Z994" s="15"/>
    </row>
    <row r="995" spans="1:26" x14ac:dyDescent="0.3">
      <c r="A995" s="25">
        <v>1.1000000000000001</v>
      </c>
      <c r="B995" s="27" t="s">
        <v>1697</v>
      </c>
      <c r="C995" s="27" t="s">
        <v>1698</v>
      </c>
      <c r="D995" s="26" t="s">
        <v>1699</v>
      </c>
      <c r="E995" s="26"/>
      <c r="F995" s="24">
        <v>375</v>
      </c>
      <c r="G995" s="24"/>
      <c r="H995" s="24"/>
      <c r="I995" s="24"/>
      <c r="J995" s="24"/>
      <c r="K995" s="24"/>
      <c r="L995" s="15"/>
      <c r="M995" s="15"/>
      <c r="N995" s="15"/>
      <c r="O995" s="15"/>
      <c r="P995" s="15"/>
      <c r="Q995" s="15"/>
      <c r="R995" s="15"/>
      <c r="S995" s="15"/>
      <c r="T995" s="15"/>
      <c r="U995" s="15"/>
      <c r="V995" s="15"/>
      <c r="W995" s="15"/>
      <c r="X995" s="15"/>
      <c r="Y995" s="15"/>
      <c r="Z995" s="15"/>
    </row>
    <row r="996" spans="1:26" x14ac:dyDescent="0.3">
      <c r="A996" s="17"/>
      <c r="B996" s="17"/>
      <c r="C996" s="35" t="s">
        <v>1700</v>
      </c>
      <c r="D996" s="17"/>
      <c r="E996" s="17"/>
      <c r="F996" s="17"/>
      <c r="G996" s="17"/>
      <c r="H996" s="17"/>
      <c r="I996" s="17"/>
      <c r="J996" s="17"/>
      <c r="K996" s="17"/>
      <c r="L996" s="15"/>
      <c r="M996" s="15"/>
      <c r="N996" s="15"/>
      <c r="O996" s="15"/>
      <c r="P996" s="15"/>
      <c r="Q996" s="15"/>
      <c r="R996" s="15"/>
      <c r="S996" s="15"/>
      <c r="T996" s="15"/>
      <c r="U996" s="15"/>
      <c r="V996" s="15"/>
      <c r="W996" s="15"/>
      <c r="X996" s="15"/>
      <c r="Y996" s="15"/>
      <c r="Z996" s="15"/>
    </row>
    <row r="997" spans="1:26" x14ac:dyDescent="0.3">
      <c r="A997" s="24">
        <v>2</v>
      </c>
      <c r="B997" s="27" t="s">
        <v>1701</v>
      </c>
      <c r="C997" s="17" t="s">
        <v>1702</v>
      </c>
      <c r="D997" s="17"/>
      <c r="E997" s="17"/>
      <c r="F997" s="17"/>
      <c r="G997" s="17"/>
      <c r="H997" s="17"/>
      <c r="I997" s="17"/>
      <c r="J997" s="17"/>
      <c r="K997" s="17"/>
      <c r="L997" s="15"/>
      <c r="M997" s="15"/>
      <c r="N997" s="15"/>
      <c r="O997" s="15"/>
      <c r="P997" s="15"/>
      <c r="Q997" s="15"/>
      <c r="R997" s="15"/>
      <c r="S997" s="15"/>
      <c r="T997" s="15"/>
      <c r="U997" s="15"/>
      <c r="V997" s="15"/>
      <c r="W997" s="15"/>
      <c r="X997" s="15"/>
      <c r="Y997" s="15"/>
      <c r="Z997" s="15"/>
    </row>
    <row r="998" spans="1:26" x14ac:dyDescent="0.3">
      <c r="A998" s="25">
        <v>2.1</v>
      </c>
      <c r="B998" s="27" t="s">
        <v>1703</v>
      </c>
      <c r="C998" s="27" t="s">
        <v>1704</v>
      </c>
      <c r="D998" s="26" t="s">
        <v>1705</v>
      </c>
      <c r="E998" s="26"/>
      <c r="F998" s="24">
        <v>18</v>
      </c>
      <c r="G998" s="24"/>
      <c r="H998" s="24"/>
      <c r="I998" s="24"/>
      <c r="J998" s="24"/>
      <c r="K998" s="24"/>
      <c r="L998" s="15"/>
      <c r="M998" s="15"/>
      <c r="N998" s="15"/>
      <c r="O998" s="15"/>
      <c r="P998" s="15"/>
      <c r="Q998" s="15"/>
      <c r="R998" s="15"/>
      <c r="S998" s="15"/>
      <c r="T998" s="15"/>
      <c r="U998" s="15"/>
      <c r="V998" s="15"/>
      <c r="W998" s="15"/>
      <c r="X998" s="15"/>
      <c r="Y998" s="15"/>
      <c r="Z998" s="15"/>
    </row>
    <row r="999" spans="1:26" x14ac:dyDescent="0.3">
      <c r="A999" s="24">
        <v>3</v>
      </c>
      <c r="B999" s="17"/>
      <c r="C999" s="35" t="s">
        <v>1706</v>
      </c>
      <c r="D999" s="17"/>
      <c r="E999" s="17"/>
      <c r="F999" s="17"/>
      <c r="G999" s="17"/>
      <c r="H999" s="17"/>
      <c r="I999" s="17"/>
      <c r="J999" s="17"/>
      <c r="K999" s="17"/>
      <c r="L999" s="15"/>
      <c r="M999" s="15"/>
      <c r="N999" s="15"/>
      <c r="O999" s="15"/>
      <c r="P999" s="15"/>
      <c r="Q999" s="15"/>
      <c r="R999" s="15"/>
      <c r="S999" s="15"/>
      <c r="T999" s="15"/>
      <c r="U999" s="15"/>
      <c r="V999" s="15"/>
      <c r="W999" s="15"/>
      <c r="X999" s="15"/>
      <c r="Y999" s="15"/>
      <c r="Z999" s="15"/>
    </row>
    <row r="1000" spans="1:26" x14ac:dyDescent="0.3">
      <c r="A1000" s="17"/>
      <c r="B1000" s="17"/>
      <c r="C1000" s="17" t="s">
        <v>1707</v>
      </c>
      <c r="D1000" s="26" t="s">
        <v>1708</v>
      </c>
      <c r="E1000" s="26"/>
      <c r="F1000" s="24">
        <v>27</v>
      </c>
      <c r="G1000" s="24"/>
      <c r="H1000" s="24"/>
      <c r="I1000" s="24"/>
      <c r="J1000" s="24"/>
      <c r="K1000" s="24"/>
      <c r="L1000" s="15"/>
      <c r="M1000" s="15"/>
      <c r="N1000" s="15"/>
      <c r="O1000" s="15"/>
      <c r="P1000" s="15"/>
      <c r="Q1000" s="15"/>
      <c r="R1000" s="15"/>
      <c r="S1000" s="15"/>
      <c r="T1000" s="15"/>
      <c r="U1000" s="15"/>
      <c r="V1000" s="15"/>
      <c r="W1000" s="15"/>
      <c r="X1000" s="15"/>
      <c r="Y1000" s="15"/>
      <c r="Z1000" s="15"/>
    </row>
    <row r="1001" spans="1:26" x14ac:dyDescent="0.3">
      <c r="A1001" s="17"/>
      <c r="B1001" s="17"/>
      <c r="C1001" s="17"/>
      <c r="D1001" s="17"/>
      <c r="E1001" s="17"/>
      <c r="F1001" s="17"/>
      <c r="G1001" s="17"/>
      <c r="H1001" s="17"/>
      <c r="I1001" s="17"/>
      <c r="J1001" s="17"/>
      <c r="K1001" s="17"/>
      <c r="L1001" s="15"/>
      <c r="M1001" s="15"/>
      <c r="N1001" s="15"/>
      <c r="O1001" s="15"/>
      <c r="P1001" s="15"/>
      <c r="Q1001" s="15"/>
      <c r="R1001" s="15"/>
      <c r="S1001" s="15"/>
      <c r="T1001" s="15"/>
      <c r="U1001" s="15"/>
      <c r="V1001" s="15"/>
      <c r="W1001" s="15"/>
      <c r="X1001" s="15"/>
      <c r="Y1001" s="15"/>
      <c r="Z1001" s="15"/>
    </row>
    <row r="1002" spans="1:26" x14ac:dyDescent="0.3">
      <c r="A1002" s="17"/>
      <c r="B1002" s="17"/>
      <c r="C1002" s="35" t="s">
        <v>1709</v>
      </c>
      <c r="D1002" s="17"/>
      <c r="E1002" s="17"/>
      <c r="F1002" s="17"/>
      <c r="G1002" s="17"/>
      <c r="H1002" s="17"/>
      <c r="I1002" s="17"/>
      <c r="J1002" s="17"/>
      <c r="K1002" s="17"/>
      <c r="L1002" s="15"/>
      <c r="M1002" s="15"/>
      <c r="N1002" s="15"/>
      <c r="O1002" s="15"/>
      <c r="P1002" s="15"/>
      <c r="Q1002" s="15"/>
      <c r="R1002" s="15"/>
      <c r="S1002" s="15"/>
      <c r="T1002" s="15"/>
      <c r="U1002" s="15"/>
      <c r="V1002" s="15"/>
      <c r="W1002" s="15"/>
      <c r="X1002" s="15"/>
      <c r="Y1002" s="15"/>
      <c r="Z1002" s="15"/>
    </row>
    <row r="1003" spans="1:26" x14ac:dyDescent="0.3">
      <c r="A1003" s="24">
        <v>4</v>
      </c>
      <c r="B1003" s="27" t="s">
        <v>1710</v>
      </c>
      <c r="C1003" s="17" t="s">
        <v>1711</v>
      </c>
      <c r="D1003" s="17"/>
      <c r="E1003" s="17"/>
      <c r="F1003" s="17"/>
      <c r="G1003" s="17"/>
      <c r="H1003" s="17"/>
      <c r="I1003" s="17"/>
      <c r="J1003" s="17"/>
      <c r="K1003" s="17"/>
      <c r="L1003" s="15"/>
      <c r="M1003" s="15"/>
      <c r="N1003" s="15"/>
      <c r="O1003" s="15"/>
      <c r="P1003" s="15"/>
      <c r="Q1003" s="15"/>
      <c r="R1003" s="15"/>
      <c r="S1003" s="15"/>
      <c r="T1003" s="15"/>
      <c r="U1003" s="15"/>
      <c r="V1003" s="15"/>
      <c r="W1003" s="15"/>
      <c r="X1003" s="15"/>
      <c r="Y1003" s="15"/>
      <c r="Z1003" s="15"/>
    </row>
    <row r="1004" spans="1:26" x14ac:dyDescent="0.3">
      <c r="A1004" s="25">
        <v>4.0999999999999996</v>
      </c>
      <c r="B1004" s="27" t="s">
        <v>1712</v>
      </c>
      <c r="C1004" s="27" t="s">
        <v>1713</v>
      </c>
      <c r="D1004" s="26" t="s">
        <v>1714</v>
      </c>
      <c r="E1004" s="26"/>
      <c r="F1004" s="24">
        <v>1</v>
      </c>
      <c r="G1004" s="24"/>
      <c r="H1004" s="24"/>
      <c r="I1004" s="24"/>
      <c r="J1004" s="24"/>
      <c r="K1004" s="24"/>
      <c r="L1004" s="15"/>
      <c r="M1004" s="15"/>
      <c r="N1004" s="15"/>
      <c r="O1004" s="15"/>
      <c r="P1004" s="15"/>
      <c r="Q1004" s="15"/>
      <c r="R1004" s="15"/>
      <c r="S1004" s="15"/>
      <c r="T1004" s="15"/>
      <c r="U1004" s="15"/>
      <c r="V1004" s="15"/>
      <c r="W1004" s="15"/>
      <c r="X1004" s="15"/>
      <c r="Y1004" s="15"/>
      <c r="Z1004" s="15"/>
    </row>
    <row r="1005" spans="1:26" x14ac:dyDescent="0.3">
      <c r="A1005" s="17"/>
      <c r="B1005" s="17"/>
      <c r="C1005" s="17"/>
      <c r="D1005" s="17"/>
      <c r="E1005" s="17"/>
      <c r="F1005" s="17"/>
      <c r="G1005" s="17"/>
      <c r="H1005" s="17"/>
      <c r="I1005" s="17"/>
      <c r="J1005" s="17"/>
      <c r="K1005" s="17"/>
      <c r="L1005" s="15"/>
      <c r="M1005" s="15"/>
      <c r="N1005" s="15"/>
      <c r="O1005" s="15"/>
      <c r="P1005" s="15"/>
      <c r="Q1005" s="15"/>
      <c r="R1005" s="15"/>
      <c r="S1005" s="15"/>
      <c r="T1005" s="15"/>
      <c r="U1005" s="15"/>
      <c r="V1005" s="15"/>
      <c r="W1005" s="15"/>
      <c r="X1005" s="15"/>
      <c r="Y1005" s="15"/>
      <c r="Z1005" s="15"/>
    </row>
    <row r="1006" spans="1:26" x14ac:dyDescent="0.3">
      <c r="A1006" s="24">
        <v>5</v>
      </c>
      <c r="B1006" s="26" t="s">
        <v>1715</v>
      </c>
      <c r="C1006" s="27" t="s">
        <v>1716</v>
      </c>
      <c r="D1006" s="26" t="s">
        <v>1717</v>
      </c>
      <c r="E1006" s="26"/>
      <c r="F1006" s="24">
        <v>28</v>
      </c>
      <c r="G1006" s="24"/>
      <c r="H1006" s="24"/>
      <c r="I1006" s="24"/>
      <c r="J1006" s="24"/>
      <c r="K1006" s="24"/>
      <c r="L1006" s="15"/>
      <c r="M1006" s="15"/>
      <c r="N1006" s="15"/>
      <c r="O1006" s="15"/>
      <c r="P1006" s="15"/>
      <c r="Q1006" s="15"/>
      <c r="R1006" s="15"/>
      <c r="S1006" s="15"/>
      <c r="T1006" s="15"/>
      <c r="U1006" s="15"/>
      <c r="V1006" s="15"/>
      <c r="W1006" s="15"/>
      <c r="X1006" s="15"/>
      <c r="Y1006" s="15"/>
      <c r="Z1006" s="15"/>
    </row>
    <row r="1007" spans="1:26" x14ac:dyDescent="0.3">
      <c r="A1007" s="17"/>
      <c r="B1007" s="17"/>
      <c r="C1007" s="17"/>
      <c r="D1007" s="17"/>
      <c r="E1007" s="17"/>
      <c r="F1007" s="17"/>
      <c r="G1007" s="17"/>
      <c r="H1007" s="17"/>
      <c r="I1007" s="17"/>
      <c r="J1007" s="17"/>
      <c r="K1007" s="17"/>
      <c r="L1007" s="15"/>
      <c r="M1007" s="15"/>
      <c r="N1007" s="15"/>
      <c r="O1007" s="15"/>
      <c r="P1007" s="15"/>
      <c r="Q1007" s="15"/>
      <c r="R1007" s="15"/>
      <c r="S1007" s="15"/>
      <c r="T1007" s="15"/>
      <c r="U1007" s="15"/>
      <c r="V1007" s="15"/>
      <c r="W1007" s="15"/>
      <c r="X1007" s="15"/>
      <c r="Y1007" s="15"/>
      <c r="Z1007" s="15"/>
    </row>
    <row r="1008" spans="1:26" x14ac:dyDescent="0.3">
      <c r="A1008" s="24">
        <v>6</v>
      </c>
      <c r="B1008" s="27" t="s">
        <v>1718</v>
      </c>
      <c r="C1008" s="17" t="s">
        <v>1719</v>
      </c>
      <c r="D1008" s="17"/>
      <c r="E1008" s="17"/>
      <c r="F1008" s="17"/>
      <c r="G1008" s="17"/>
      <c r="H1008" s="17"/>
      <c r="I1008" s="17"/>
      <c r="J1008" s="17"/>
      <c r="K1008" s="17"/>
      <c r="L1008" s="15"/>
      <c r="M1008" s="15"/>
      <c r="N1008" s="15"/>
      <c r="O1008" s="15"/>
      <c r="P1008" s="15"/>
      <c r="Q1008" s="15"/>
      <c r="R1008" s="15"/>
      <c r="S1008" s="15"/>
      <c r="T1008" s="15"/>
      <c r="U1008" s="15"/>
      <c r="V1008" s="15"/>
      <c r="W1008" s="15"/>
      <c r="X1008" s="15"/>
      <c r="Y1008" s="15"/>
      <c r="Z1008" s="15"/>
    </row>
    <row r="1009" spans="1:26" x14ac:dyDescent="0.3">
      <c r="A1009" s="25">
        <v>6.1</v>
      </c>
      <c r="B1009" s="27" t="s">
        <v>1720</v>
      </c>
      <c r="C1009" s="27" t="s">
        <v>1721</v>
      </c>
      <c r="D1009" s="26" t="s">
        <v>1722</v>
      </c>
      <c r="E1009" s="26"/>
      <c r="F1009" s="24">
        <v>7</v>
      </c>
      <c r="G1009" s="24"/>
      <c r="H1009" s="24"/>
      <c r="I1009" s="24"/>
      <c r="J1009" s="24"/>
      <c r="K1009" s="24"/>
      <c r="L1009" s="15"/>
      <c r="M1009" s="15"/>
      <c r="N1009" s="15"/>
      <c r="O1009" s="15"/>
      <c r="P1009" s="15"/>
      <c r="Q1009" s="15"/>
      <c r="R1009" s="15"/>
      <c r="S1009" s="15"/>
      <c r="T1009" s="15"/>
      <c r="U1009" s="15"/>
      <c r="V1009" s="15"/>
      <c r="W1009" s="15"/>
      <c r="X1009" s="15"/>
      <c r="Y1009" s="15"/>
      <c r="Z1009" s="15"/>
    </row>
    <row r="1010" spans="1:26" x14ac:dyDescent="0.3">
      <c r="A1010" s="17"/>
      <c r="B1010" s="17"/>
      <c r="C1010" s="17"/>
      <c r="D1010" s="17"/>
      <c r="E1010" s="17"/>
      <c r="F1010" s="17"/>
      <c r="G1010" s="17"/>
      <c r="H1010" s="17"/>
      <c r="I1010" s="17"/>
      <c r="J1010" s="17"/>
      <c r="K1010" s="17"/>
      <c r="L1010" s="15"/>
      <c r="M1010" s="15"/>
      <c r="N1010" s="15"/>
      <c r="O1010" s="15"/>
      <c r="P1010" s="15"/>
      <c r="Q1010" s="15"/>
      <c r="R1010" s="15"/>
      <c r="S1010" s="15"/>
      <c r="T1010" s="15"/>
      <c r="U1010" s="15"/>
      <c r="V1010" s="15"/>
      <c r="W1010" s="15"/>
      <c r="X1010" s="15"/>
      <c r="Y1010" s="15"/>
      <c r="Z1010" s="15"/>
    </row>
    <row r="1011" spans="1:26" x14ac:dyDescent="0.3">
      <c r="A1011" s="37">
        <v>7</v>
      </c>
      <c r="B1011" s="17"/>
      <c r="C1011" s="35" t="s">
        <v>1723</v>
      </c>
      <c r="D1011" s="17"/>
      <c r="E1011" s="17"/>
      <c r="F1011" s="17"/>
      <c r="G1011" s="17"/>
      <c r="H1011" s="17"/>
      <c r="I1011" s="17"/>
      <c r="J1011" s="17"/>
      <c r="K1011" s="17"/>
      <c r="L1011" s="15"/>
      <c r="M1011" s="15"/>
      <c r="N1011" s="15"/>
      <c r="O1011" s="15"/>
      <c r="P1011" s="15"/>
      <c r="Q1011" s="15"/>
      <c r="R1011" s="15"/>
      <c r="S1011" s="15"/>
      <c r="T1011" s="15"/>
      <c r="U1011" s="15"/>
      <c r="V1011" s="15"/>
      <c r="W1011" s="15"/>
      <c r="X1011" s="15"/>
      <c r="Y1011" s="15"/>
      <c r="Z1011" s="15"/>
    </row>
    <row r="1012" spans="1:26" x14ac:dyDescent="0.3">
      <c r="A1012" s="17"/>
      <c r="B1012" s="17"/>
      <c r="C1012" s="17" t="s">
        <v>1724</v>
      </c>
      <c r="D1012" s="26" t="s">
        <v>1725</v>
      </c>
      <c r="E1012" s="26"/>
      <c r="F1012" s="24">
        <v>7</v>
      </c>
      <c r="G1012" s="24"/>
      <c r="H1012" s="24"/>
      <c r="I1012" s="24"/>
      <c r="J1012" s="24"/>
      <c r="K1012" s="24"/>
      <c r="L1012" s="15"/>
      <c r="M1012" s="15"/>
      <c r="N1012" s="15"/>
      <c r="O1012" s="15"/>
      <c r="P1012" s="15"/>
      <c r="Q1012" s="15"/>
      <c r="R1012" s="15"/>
      <c r="S1012" s="15"/>
      <c r="T1012" s="15"/>
      <c r="U1012" s="15"/>
      <c r="V1012" s="15"/>
      <c r="W1012" s="15"/>
      <c r="X1012" s="15"/>
      <c r="Y1012" s="15"/>
      <c r="Z1012" s="15"/>
    </row>
    <row r="1013" spans="1:26" x14ac:dyDescent="0.3">
      <c r="A1013" s="17"/>
      <c r="B1013" s="27" t="s">
        <v>1726</v>
      </c>
      <c r="C1013" s="17" t="s">
        <v>1727</v>
      </c>
      <c r="D1013" s="17"/>
      <c r="E1013" s="17"/>
      <c r="F1013" s="17"/>
      <c r="G1013" s="17"/>
      <c r="H1013" s="17"/>
      <c r="I1013" s="17"/>
      <c r="J1013" s="17"/>
      <c r="K1013" s="17"/>
      <c r="L1013" s="15"/>
      <c r="M1013" s="15"/>
      <c r="N1013" s="15"/>
      <c r="O1013" s="15"/>
      <c r="P1013" s="15"/>
      <c r="Q1013" s="15"/>
      <c r="R1013" s="15"/>
      <c r="S1013" s="15"/>
      <c r="T1013" s="15"/>
      <c r="U1013" s="15"/>
      <c r="V1013" s="15"/>
      <c r="W1013" s="15"/>
      <c r="X1013" s="15"/>
      <c r="Y1013" s="15"/>
      <c r="Z1013" s="15"/>
    </row>
    <row r="1014" spans="1:26" x14ac:dyDescent="0.3">
      <c r="A1014" s="24">
        <v>8</v>
      </c>
      <c r="B1014" s="27" t="s">
        <v>1728</v>
      </c>
      <c r="C1014" s="27" t="s">
        <v>1729</v>
      </c>
      <c r="D1014" s="26" t="s">
        <v>1730</v>
      </c>
      <c r="E1014" s="26"/>
      <c r="F1014" s="24">
        <v>56</v>
      </c>
      <c r="G1014" s="24"/>
      <c r="H1014" s="24"/>
      <c r="I1014" s="24"/>
      <c r="J1014" s="24"/>
      <c r="K1014" s="24"/>
      <c r="L1014" s="15"/>
      <c r="M1014" s="15"/>
      <c r="N1014" s="15"/>
      <c r="O1014" s="15"/>
      <c r="P1014" s="15"/>
      <c r="Q1014" s="15"/>
      <c r="R1014" s="15"/>
      <c r="S1014" s="15"/>
      <c r="T1014" s="15"/>
      <c r="U1014" s="15"/>
      <c r="V1014" s="15"/>
      <c r="W1014" s="15"/>
      <c r="X1014" s="15"/>
      <c r="Y1014" s="15"/>
      <c r="Z1014" s="15"/>
    </row>
    <row r="1015" spans="1:26" x14ac:dyDescent="0.3">
      <c r="A1015" s="17"/>
      <c r="B1015" s="17"/>
      <c r="C1015" s="17"/>
      <c r="D1015" s="17"/>
      <c r="E1015" s="17"/>
      <c r="F1015" s="17"/>
      <c r="G1015" s="17"/>
      <c r="H1015" s="17"/>
      <c r="I1015" s="17"/>
      <c r="J1015" s="17"/>
      <c r="K1015" s="17"/>
      <c r="L1015" s="15"/>
      <c r="M1015" s="15"/>
      <c r="N1015" s="15"/>
      <c r="O1015" s="15"/>
      <c r="P1015" s="15"/>
      <c r="Q1015" s="15"/>
      <c r="R1015" s="15"/>
      <c r="S1015" s="15"/>
      <c r="T1015" s="15"/>
      <c r="U1015" s="15"/>
      <c r="V1015" s="15"/>
      <c r="W1015" s="15"/>
      <c r="X1015" s="15"/>
      <c r="Y1015" s="15"/>
      <c r="Z1015" s="15"/>
    </row>
    <row r="1016" spans="1:26" x14ac:dyDescent="0.3">
      <c r="A1016" s="37">
        <v>10</v>
      </c>
      <c r="B1016" s="17"/>
      <c r="C1016" s="35" t="s">
        <v>1731</v>
      </c>
      <c r="D1016" s="17"/>
      <c r="E1016" s="17"/>
      <c r="F1016" s="17"/>
      <c r="G1016" s="17"/>
      <c r="H1016" s="17"/>
      <c r="I1016" s="17"/>
      <c r="J1016" s="17"/>
      <c r="K1016" s="17"/>
      <c r="L1016" s="15"/>
      <c r="M1016" s="15"/>
      <c r="N1016" s="15"/>
      <c r="O1016" s="15"/>
      <c r="P1016" s="15"/>
      <c r="Q1016" s="15"/>
      <c r="R1016" s="15"/>
      <c r="S1016" s="15"/>
      <c r="T1016" s="15"/>
      <c r="U1016" s="15"/>
      <c r="V1016" s="15"/>
      <c r="W1016" s="15"/>
      <c r="X1016" s="15"/>
      <c r="Y1016" s="15"/>
      <c r="Z1016" s="15"/>
    </row>
    <row r="1017" spans="1:26" x14ac:dyDescent="0.3">
      <c r="A1017" s="17"/>
      <c r="B1017" s="27" t="s">
        <v>1732</v>
      </c>
      <c r="C1017" s="27" t="s">
        <v>1733</v>
      </c>
      <c r="D1017" s="26" t="s">
        <v>1734</v>
      </c>
      <c r="E1017" s="26"/>
      <c r="F1017" s="24">
        <v>27</v>
      </c>
      <c r="G1017" s="24"/>
      <c r="H1017" s="24"/>
      <c r="I1017" s="24"/>
      <c r="J1017" s="24"/>
      <c r="K1017" s="24"/>
      <c r="L1017" s="15"/>
      <c r="M1017" s="15"/>
      <c r="N1017" s="15"/>
      <c r="O1017" s="15"/>
      <c r="P1017" s="15"/>
      <c r="Q1017" s="15"/>
      <c r="R1017" s="15"/>
      <c r="S1017" s="15"/>
      <c r="T1017" s="15"/>
      <c r="U1017" s="15"/>
      <c r="V1017" s="15"/>
      <c r="W1017" s="15"/>
      <c r="X1017" s="15"/>
      <c r="Y1017" s="15"/>
      <c r="Z1017" s="15"/>
    </row>
    <row r="1018" spans="1:26" x14ac:dyDescent="0.3">
      <c r="A1018" s="37">
        <v>11</v>
      </c>
      <c r="B1018" s="17"/>
      <c r="C1018" s="35" t="s">
        <v>1735</v>
      </c>
      <c r="D1018" s="17"/>
      <c r="E1018" s="17"/>
      <c r="F1018" s="17"/>
      <c r="G1018" s="17"/>
      <c r="H1018" s="17"/>
      <c r="I1018" s="17"/>
      <c r="J1018" s="17"/>
      <c r="K1018" s="17"/>
      <c r="L1018" s="15"/>
      <c r="M1018" s="15"/>
      <c r="N1018" s="15"/>
      <c r="O1018" s="15"/>
      <c r="P1018" s="15"/>
      <c r="Q1018" s="15"/>
      <c r="R1018" s="15"/>
      <c r="S1018" s="15"/>
      <c r="T1018" s="15"/>
      <c r="U1018" s="15"/>
      <c r="V1018" s="15"/>
      <c r="W1018" s="15"/>
      <c r="X1018" s="15"/>
      <c r="Y1018" s="15"/>
      <c r="Z1018" s="15"/>
    </row>
    <row r="1019" spans="1:26" x14ac:dyDescent="0.3">
      <c r="A1019" s="17"/>
      <c r="B1019" s="27" t="s">
        <v>1736</v>
      </c>
      <c r="C1019" s="27" t="s">
        <v>1737</v>
      </c>
      <c r="D1019" s="26" t="s">
        <v>1738</v>
      </c>
      <c r="E1019" s="26"/>
      <c r="F1019" s="24">
        <v>1</v>
      </c>
      <c r="G1019" s="24"/>
      <c r="H1019" s="24"/>
      <c r="I1019" s="24"/>
      <c r="J1019" s="24"/>
      <c r="K1019" s="24"/>
      <c r="L1019" s="15"/>
      <c r="M1019" s="15"/>
      <c r="N1019" s="15"/>
      <c r="O1019" s="15"/>
      <c r="P1019" s="15"/>
      <c r="Q1019" s="15"/>
      <c r="R1019" s="15"/>
      <c r="S1019" s="15"/>
      <c r="T1019" s="15"/>
      <c r="U1019" s="15"/>
      <c r="V1019" s="15"/>
      <c r="W1019" s="15"/>
      <c r="X1019" s="15"/>
      <c r="Y1019" s="15"/>
      <c r="Z1019" s="15"/>
    </row>
    <row r="1020" spans="1:26" x14ac:dyDescent="0.3">
      <c r="A1020" s="24">
        <v>12</v>
      </c>
      <c r="B1020" s="27" t="s">
        <v>1739</v>
      </c>
      <c r="C1020" s="17" t="s">
        <v>1740</v>
      </c>
      <c r="D1020" s="17"/>
      <c r="E1020" s="17"/>
      <c r="F1020" s="17"/>
      <c r="G1020" s="17"/>
      <c r="H1020" s="17"/>
      <c r="I1020" s="17"/>
      <c r="J1020" s="17"/>
      <c r="K1020" s="17"/>
      <c r="L1020" s="15"/>
      <c r="M1020" s="15"/>
      <c r="N1020" s="15"/>
      <c r="O1020" s="15"/>
      <c r="P1020" s="15"/>
      <c r="Q1020" s="15"/>
      <c r="R1020" s="15"/>
      <c r="S1020" s="15"/>
      <c r="T1020" s="15"/>
      <c r="U1020" s="15"/>
      <c r="V1020" s="15"/>
      <c r="W1020" s="15"/>
      <c r="X1020" s="15"/>
      <c r="Y1020" s="15"/>
      <c r="Z1020" s="15"/>
    </row>
    <row r="1021" spans="1:26" x14ac:dyDescent="0.3">
      <c r="A1021" s="25">
        <v>12.1</v>
      </c>
      <c r="B1021" s="27" t="s">
        <v>1741</v>
      </c>
      <c r="C1021" s="27" t="s">
        <v>1742</v>
      </c>
      <c r="D1021" s="26" t="s">
        <v>1743</v>
      </c>
      <c r="E1021" s="26"/>
      <c r="F1021" s="24">
        <v>1400</v>
      </c>
      <c r="G1021" s="24"/>
      <c r="H1021" s="24"/>
      <c r="I1021" s="24"/>
      <c r="J1021" s="24"/>
      <c r="K1021" s="24"/>
      <c r="L1021" s="15"/>
      <c r="M1021" s="15"/>
      <c r="N1021" s="15"/>
      <c r="O1021" s="15"/>
      <c r="P1021" s="15"/>
      <c r="Q1021" s="15"/>
      <c r="R1021" s="15"/>
      <c r="S1021" s="15"/>
      <c r="T1021" s="15"/>
      <c r="U1021" s="15"/>
      <c r="V1021" s="15"/>
      <c r="W1021" s="15"/>
      <c r="X1021" s="15"/>
      <c r="Y1021" s="15"/>
      <c r="Z1021" s="15"/>
    </row>
    <row r="1022" spans="1:26" x14ac:dyDescent="0.3">
      <c r="A1022" s="17"/>
      <c r="B1022" s="17"/>
      <c r="C1022" s="17"/>
      <c r="D1022" s="17"/>
      <c r="E1022" s="17"/>
      <c r="F1022" s="17"/>
      <c r="G1022" s="17"/>
      <c r="H1022" s="17"/>
      <c r="I1022" s="17"/>
      <c r="J1022" s="17"/>
      <c r="K1022" s="17"/>
      <c r="L1022" s="15"/>
      <c r="M1022" s="15"/>
      <c r="N1022" s="15"/>
      <c r="O1022" s="15"/>
      <c r="P1022" s="15"/>
      <c r="Q1022" s="15"/>
      <c r="R1022" s="15"/>
      <c r="S1022" s="15"/>
      <c r="T1022" s="15"/>
      <c r="U1022" s="15"/>
      <c r="V1022" s="15"/>
      <c r="W1022" s="15"/>
      <c r="X1022" s="15"/>
      <c r="Y1022" s="15"/>
      <c r="Z1022" s="15"/>
    </row>
    <row r="1023" spans="1:26" x14ac:dyDescent="0.3">
      <c r="A1023" s="17"/>
      <c r="B1023" s="27" t="s">
        <v>1744</v>
      </c>
      <c r="C1023" s="27" t="s">
        <v>1745</v>
      </c>
      <c r="D1023" s="17"/>
      <c r="E1023" s="17"/>
      <c r="F1023" s="17"/>
      <c r="G1023" s="17"/>
      <c r="H1023" s="17"/>
      <c r="I1023" s="17"/>
      <c r="J1023" s="17"/>
      <c r="K1023" s="17"/>
      <c r="L1023" s="15"/>
      <c r="M1023" s="15"/>
      <c r="N1023" s="15"/>
      <c r="O1023" s="15"/>
      <c r="P1023" s="15"/>
      <c r="Q1023" s="15"/>
      <c r="R1023" s="15"/>
      <c r="S1023" s="15"/>
      <c r="T1023" s="15"/>
      <c r="U1023" s="15"/>
      <c r="V1023" s="15"/>
      <c r="W1023" s="15"/>
      <c r="X1023" s="15"/>
      <c r="Y1023" s="15"/>
      <c r="Z1023" s="15"/>
    </row>
    <row r="1024" spans="1:26" x14ac:dyDescent="0.3">
      <c r="A1024" s="17"/>
      <c r="B1024" s="27" t="s">
        <v>1746</v>
      </c>
      <c r="C1024" s="27" t="s">
        <v>1747</v>
      </c>
      <c r="D1024" s="26" t="s">
        <v>1748</v>
      </c>
      <c r="E1024" s="26"/>
      <c r="F1024" s="24">
        <v>14</v>
      </c>
      <c r="G1024" s="24"/>
      <c r="H1024" s="24"/>
      <c r="I1024" s="24"/>
      <c r="J1024" s="24"/>
      <c r="K1024" s="24"/>
      <c r="L1024" s="15"/>
      <c r="M1024" s="15"/>
      <c r="N1024" s="15"/>
      <c r="O1024" s="15"/>
      <c r="P1024" s="15"/>
      <c r="Q1024" s="15"/>
      <c r="R1024" s="15"/>
      <c r="S1024" s="15"/>
      <c r="T1024" s="15"/>
      <c r="U1024" s="15"/>
      <c r="V1024" s="15"/>
      <c r="W1024" s="15"/>
      <c r="X1024" s="15"/>
      <c r="Y1024" s="15"/>
      <c r="Z1024" s="15"/>
    </row>
    <row r="1025" spans="1:26" x14ac:dyDescent="0.3">
      <c r="A1025" s="17"/>
      <c r="B1025" s="27" t="s">
        <v>1749</v>
      </c>
      <c r="C1025" s="27" t="s">
        <v>1750</v>
      </c>
      <c r="D1025" s="26" t="s">
        <v>1751</v>
      </c>
      <c r="E1025" s="26"/>
      <c r="F1025" s="24">
        <v>14</v>
      </c>
      <c r="G1025" s="24"/>
      <c r="H1025" s="24"/>
      <c r="I1025" s="24"/>
      <c r="J1025" s="24"/>
      <c r="K1025" s="24"/>
      <c r="L1025" s="15"/>
      <c r="M1025" s="15"/>
      <c r="N1025" s="15"/>
      <c r="O1025" s="15"/>
      <c r="P1025" s="15"/>
      <c r="Q1025" s="15"/>
      <c r="R1025" s="15"/>
      <c r="S1025" s="15"/>
      <c r="T1025" s="15"/>
      <c r="U1025" s="15"/>
      <c r="V1025" s="15"/>
      <c r="W1025" s="15"/>
      <c r="X1025" s="15"/>
      <c r="Y1025" s="15"/>
      <c r="Z1025" s="15"/>
    </row>
    <row r="1026" spans="1:26" x14ac:dyDescent="0.3">
      <c r="A1026" s="17"/>
      <c r="B1026" s="17"/>
      <c r="C1026" s="17"/>
      <c r="D1026" s="17"/>
      <c r="E1026" s="17"/>
      <c r="F1026" s="17"/>
      <c r="G1026" s="17"/>
      <c r="H1026" s="17"/>
      <c r="I1026" s="17"/>
      <c r="J1026" s="17"/>
      <c r="K1026" s="17"/>
      <c r="L1026" s="15"/>
      <c r="M1026" s="15"/>
      <c r="N1026" s="15"/>
      <c r="O1026" s="15"/>
      <c r="P1026" s="15"/>
      <c r="Q1026" s="15"/>
      <c r="R1026" s="15"/>
      <c r="S1026" s="15"/>
      <c r="T1026" s="15"/>
      <c r="U1026" s="15"/>
      <c r="V1026" s="15"/>
      <c r="W1026" s="15"/>
      <c r="X1026" s="15"/>
      <c r="Y1026" s="15"/>
      <c r="Z1026" s="15"/>
    </row>
    <row r="1027" spans="1:26" x14ac:dyDescent="0.3">
      <c r="A1027" s="24">
        <v>13</v>
      </c>
      <c r="B1027" s="27" t="s">
        <v>1752</v>
      </c>
      <c r="C1027" s="27" t="s">
        <v>1753</v>
      </c>
      <c r="D1027" s="17"/>
      <c r="E1027" s="17"/>
      <c r="F1027" s="17"/>
      <c r="G1027" s="17"/>
      <c r="H1027" s="17"/>
      <c r="I1027" s="17"/>
      <c r="J1027" s="17"/>
      <c r="K1027" s="17"/>
      <c r="L1027" s="15"/>
      <c r="M1027" s="15"/>
      <c r="N1027" s="15"/>
      <c r="O1027" s="15"/>
      <c r="P1027" s="15"/>
      <c r="Q1027" s="15"/>
      <c r="R1027" s="15"/>
      <c r="S1027" s="15"/>
      <c r="T1027" s="15"/>
      <c r="U1027" s="15"/>
      <c r="V1027" s="15"/>
      <c r="W1027" s="15"/>
      <c r="X1027" s="15"/>
      <c r="Y1027" s="15"/>
      <c r="Z1027" s="15"/>
    </row>
    <row r="1028" spans="1:26" x14ac:dyDescent="0.3">
      <c r="A1028" s="25">
        <v>13.1</v>
      </c>
      <c r="B1028" s="27" t="s">
        <v>1754</v>
      </c>
      <c r="C1028" s="27" t="s">
        <v>1755</v>
      </c>
      <c r="D1028" s="26" t="s">
        <v>1756</v>
      </c>
      <c r="E1028" s="26"/>
      <c r="F1028" s="24">
        <v>26640</v>
      </c>
      <c r="G1028" s="24"/>
      <c r="H1028" s="24"/>
      <c r="I1028" s="24"/>
      <c r="J1028" s="24"/>
      <c r="K1028" s="24"/>
      <c r="L1028" s="15"/>
      <c r="M1028" s="15"/>
      <c r="N1028" s="15"/>
      <c r="O1028" s="15"/>
      <c r="P1028" s="15"/>
      <c r="Q1028" s="15"/>
      <c r="R1028" s="15"/>
      <c r="S1028" s="15"/>
      <c r="T1028" s="15"/>
      <c r="U1028" s="15"/>
      <c r="V1028" s="15"/>
      <c r="W1028" s="15"/>
      <c r="X1028" s="15"/>
      <c r="Y1028" s="15"/>
      <c r="Z1028" s="15"/>
    </row>
    <row r="1029" spans="1:26" x14ac:dyDescent="0.3">
      <c r="A1029" s="37">
        <v>14</v>
      </c>
      <c r="B1029" s="39" t="s">
        <v>1757</v>
      </c>
      <c r="C1029" s="35" t="s">
        <v>1758</v>
      </c>
      <c r="D1029" s="17"/>
      <c r="E1029" s="17"/>
      <c r="F1029" s="17"/>
      <c r="G1029" s="17"/>
      <c r="H1029" s="17"/>
      <c r="I1029" s="17"/>
      <c r="J1029" s="17"/>
      <c r="K1029" s="17"/>
      <c r="L1029" s="15"/>
      <c r="M1029" s="15"/>
      <c r="N1029" s="15"/>
      <c r="O1029" s="15"/>
      <c r="P1029" s="15"/>
      <c r="Q1029" s="15"/>
      <c r="R1029" s="15"/>
      <c r="S1029" s="15"/>
      <c r="T1029" s="15"/>
      <c r="U1029" s="15"/>
      <c r="V1029" s="15"/>
      <c r="W1029" s="15"/>
      <c r="X1029" s="15"/>
      <c r="Y1029" s="15"/>
      <c r="Z1029" s="15"/>
    </row>
    <row r="1030" spans="1:26" x14ac:dyDescent="0.3">
      <c r="A1030" s="17"/>
      <c r="B1030" s="17"/>
      <c r="C1030" s="27" t="s">
        <v>1759</v>
      </c>
      <c r="D1030" s="26" t="s">
        <v>1760</v>
      </c>
      <c r="E1030" s="26"/>
      <c r="F1030" s="24">
        <v>28</v>
      </c>
      <c r="G1030" s="24"/>
      <c r="H1030" s="24"/>
      <c r="I1030" s="24"/>
      <c r="J1030" s="24"/>
      <c r="K1030" s="24"/>
      <c r="L1030" s="15"/>
      <c r="M1030" s="15"/>
      <c r="N1030" s="15"/>
      <c r="O1030" s="15"/>
      <c r="P1030" s="15"/>
      <c r="Q1030" s="15"/>
      <c r="R1030" s="15"/>
      <c r="S1030" s="15"/>
      <c r="T1030" s="15"/>
      <c r="U1030" s="15"/>
      <c r="V1030" s="15"/>
      <c r="W1030" s="15"/>
      <c r="X1030" s="15"/>
      <c r="Y1030" s="15"/>
      <c r="Z1030" s="15"/>
    </row>
    <row r="1031" spans="1:26" x14ac:dyDescent="0.3">
      <c r="A1031" s="24">
        <v>15</v>
      </c>
      <c r="B1031" s="27" t="s">
        <v>1761</v>
      </c>
      <c r="C1031" s="27" t="s">
        <v>1762</v>
      </c>
      <c r="D1031" s="26" t="s">
        <v>1763</v>
      </c>
      <c r="E1031" s="26"/>
      <c r="F1031" s="24">
        <v>786</v>
      </c>
      <c r="G1031" s="24"/>
      <c r="H1031" s="24"/>
      <c r="I1031" s="24"/>
      <c r="J1031" s="24"/>
      <c r="K1031" s="24"/>
      <c r="L1031" s="15"/>
      <c r="M1031" s="15"/>
      <c r="N1031" s="15"/>
      <c r="O1031" s="15"/>
      <c r="P1031" s="15"/>
      <c r="Q1031" s="15"/>
      <c r="R1031" s="15"/>
      <c r="S1031" s="15"/>
      <c r="T1031" s="15"/>
      <c r="U1031" s="15"/>
      <c r="V1031" s="15"/>
      <c r="W1031" s="15"/>
      <c r="X1031" s="15"/>
      <c r="Y1031" s="15"/>
      <c r="Z1031" s="15"/>
    </row>
    <row r="1032" spans="1:26" x14ac:dyDescent="0.3">
      <c r="A1032" s="24">
        <v>16</v>
      </c>
      <c r="B1032" s="27" t="s">
        <v>1764</v>
      </c>
      <c r="C1032" s="27" t="s">
        <v>1765</v>
      </c>
      <c r="D1032" s="17"/>
      <c r="E1032" s="17"/>
      <c r="F1032" s="17"/>
      <c r="G1032" s="17"/>
      <c r="H1032" s="17"/>
      <c r="I1032" s="17"/>
      <c r="J1032" s="17"/>
      <c r="K1032" s="17"/>
      <c r="L1032" s="15"/>
      <c r="M1032" s="15"/>
      <c r="N1032" s="15"/>
      <c r="O1032" s="15"/>
      <c r="P1032" s="15"/>
      <c r="Q1032" s="15"/>
      <c r="R1032" s="15"/>
      <c r="S1032" s="15"/>
      <c r="T1032" s="15"/>
      <c r="U1032" s="15"/>
      <c r="V1032" s="15"/>
      <c r="W1032" s="15"/>
      <c r="X1032" s="15"/>
      <c r="Y1032" s="15"/>
      <c r="Z1032" s="15"/>
    </row>
    <row r="1033" spans="1:26" x14ac:dyDescent="0.3">
      <c r="A1033" s="25">
        <v>16.100000000000001</v>
      </c>
      <c r="B1033" s="27" t="s">
        <v>1766</v>
      </c>
      <c r="C1033" s="27" t="s">
        <v>1767</v>
      </c>
      <c r="D1033" s="26" t="s">
        <v>1768</v>
      </c>
      <c r="E1033" s="26"/>
      <c r="F1033" s="24">
        <v>1400</v>
      </c>
      <c r="G1033" s="24"/>
      <c r="H1033" s="24"/>
      <c r="I1033" s="24"/>
      <c r="J1033" s="24"/>
      <c r="K1033" s="24"/>
      <c r="L1033" s="15"/>
      <c r="M1033" s="15"/>
      <c r="N1033" s="15"/>
      <c r="O1033" s="15"/>
      <c r="P1033" s="15"/>
      <c r="Q1033" s="15"/>
      <c r="R1033" s="15"/>
      <c r="S1033" s="15"/>
      <c r="T1033" s="15"/>
      <c r="U1033" s="15"/>
      <c r="V1033" s="15"/>
      <c r="W1033" s="15"/>
      <c r="X1033" s="15"/>
      <c r="Y1033" s="15"/>
      <c r="Z1033" s="15"/>
    </row>
    <row r="1034" spans="1:26" x14ac:dyDescent="0.3">
      <c r="A1034" s="24">
        <v>17</v>
      </c>
      <c r="B1034" s="27" t="s">
        <v>1769</v>
      </c>
      <c r="C1034" s="27" t="s">
        <v>1770</v>
      </c>
      <c r="D1034" s="17"/>
      <c r="E1034" s="17"/>
      <c r="F1034" s="17"/>
      <c r="G1034" s="17"/>
      <c r="H1034" s="17"/>
      <c r="I1034" s="17"/>
      <c r="J1034" s="17"/>
      <c r="K1034" s="17"/>
      <c r="L1034" s="15"/>
      <c r="M1034" s="15"/>
      <c r="N1034" s="15"/>
      <c r="O1034" s="15"/>
      <c r="P1034" s="15"/>
      <c r="Q1034" s="15"/>
      <c r="R1034" s="15"/>
      <c r="S1034" s="15"/>
      <c r="T1034" s="15"/>
      <c r="U1034" s="15"/>
      <c r="V1034" s="15"/>
      <c r="W1034" s="15"/>
      <c r="X1034" s="15"/>
      <c r="Y1034" s="15"/>
      <c r="Z1034" s="15"/>
    </row>
    <row r="1035" spans="1:26" x14ac:dyDescent="0.3">
      <c r="A1035" s="17"/>
      <c r="B1035" s="27" t="s">
        <v>1771</v>
      </c>
      <c r="C1035" s="27" t="s">
        <v>1772</v>
      </c>
      <c r="D1035" s="26" t="s">
        <v>1773</v>
      </c>
      <c r="E1035" s="26"/>
      <c r="F1035" s="24">
        <v>28</v>
      </c>
      <c r="G1035" s="24"/>
      <c r="H1035" s="24"/>
      <c r="I1035" s="24"/>
      <c r="J1035" s="24"/>
      <c r="K1035" s="24"/>
      <c r="L1035" s="15"/>
      <c r="M1035" s="15"/>
      <c r="N1035" s="15"/>
      <c r="O1035" s="15"/>
      <c r="P1035" s="15"/>
      <c r="Q1035" s="15"/>
      <c r="R1035" s="15"/>
      <c r="S1035" s="15"/>
      <c r="T1035" s="15"/>
      <c r="U1035" s="15"/>
      <c r="V1035" s="15"/>
      <c r="W1035" s="15"/>
      <c r="X1035" s="15"/>
      <c r="Y1035" s="15"/>
      <c r="Z1035" s="15"/>
    </row>
    <row r="1036" spans="1:26" x14ac:dyDescent="0.3">
      <c r="A1036" s="24">
        <v>18</v>
      </c>
      <c r="B1036" s="27" t="s">
        <v>1774</v>
      </c>
      <c r="C1036" s="27" t="s">
        <v>1775</v>
      </c>
      <c r="D1036" s="17"/>
      <c r="E1036" s="17"/>
      <c r="F1036" s="17"/>
      <c r="G1036" s="17"/>
      <c r="H1036" s="17"/>
      <c r="I1036" s="17"/>
      <c r="J1036" s="17"/>
      <c r="K1036" s="17"/>
      <c r="L1036" s="15"/>
      <c r="M1036" s="15"/>
      <c r="N1036" s="15"/>
      <c r="O1036" s="15"/>
      <c r="P1036" s="15"/>
      <c r="Q1036" s="15"/>
      <c r="R1036" s="15"/>
      <c r="S1036" s="15"/>
      <c r="T1036" s="15"/>
      <c r="U1036" s="15"/>
      <c r="V1036" s="15"/>
      <c r="W1036" s="15"/>
      <c r="X1036" s="15"/>
      <c r="Y1036" s="15"/>
      <c r="Z1036" s="15"/>
    </row>
    <row r="1037" spans="1:26" x14ac:dyDescent="0.3">
      <c r="A1037" s="25">
        <v>18.100000000000001</v>
      </c>
      <c r="B1037" s="27" t="s">
        <v>1776</v>
      </c>
      <c r="C1037" s="27" t="s">
        <v>1777</v>
      </c>
      <c r="D1037" s="26" t="s">
        <v>1778</v>
      </c>
      <c r="E1037" s="26"/>
      <c r="F1037" s="24">
        <v>8315</v>
      </c>
      <c r="G1037" s="24"/>
      <c r="H1037" s="24"/>
      <c r="I1037" s="24"/>
      <c r="J1037" s="24"/>
      <c r="K1037" s="24"/>
      <c r="L1037" s="15"/>
      <c r="M1037" s="15"/>
      <c r="N1037" s="15"/>
      <c r="O1037" s="15"/>
      <c r="P1037" s="15"/>
      <c r="Q1037" s="15"/>
      <c r="R1037" s="15"/>
      <c r="S1037" s="15"/>
      <c r="T1037" s="15"/>
      <c r="U1037" s="15"/>
      <c r="V1037" s="15"/>
      <c r="W1037" s="15"/>
      <c r="X1037" s="15"/>
      <c r="Y1037" s="15"/>
      <c r="Z1037" s="15"/>
    </row>
    <row r="1038" spans="1:26" x14ac:dyDescent="0.3">
      <c r="A1038" s="24">
        <v>19</v>
      </c>
      <c r="B1038" s="26" t="s">
        <v>1779</v>
      </c>
      <c r="C1038" s="27" t="s">
        <v>1780</v>
      </c>
      <c r="D1038" s="26" t="s">
        <v>1781</v>
      </c>
      <c r="E1038" s="26"/>
      <c r="F1038" s="24">
        <v>442</v>
      </c>
      <c r="G1038" s="24"/>
      <c r="H1038" s="24"/>
      <c r="I1038" s="24"/>
      <c r="J1038" s="24"/>
      <c r="K1038" s="24"/>
      <c r="L1038" s="15"/>
      <c r="M1038" s="15"/>
      <c r="N1038" s="15"/>
      <c r="O1038" s="15"/>
      <c r="P1038" s="15"/>
      <c r="Q1038" s="15"/>
      <c r="R1038" s="15"/>
      <c r="S1038" s="15"/>
      <c r="T1038" s="15"/>
      <c r="U1038" s="15"/>
      <c r="V1038" s="15"/>
      <c r="W1038" s="15"/>
      <c r="X1038" s="15"/>
      <c r="Y1038" s="15"/>
      <c r="Z1038" s="15"/>
    </row>
    <row r="1039" spans="1:26" x14ac:dyDescent="0.3">
      <c r="A1039" s="17"/>
      <c r="B1039" s="17"/>
      <c r="C1039" s="17"/>
      <c r="D1039" s="17"/>
      <c r="E1039" s="17"/>
      <c r="F1039" s="17"/>
      <c r="G1039" s="17"/>
      <c r="H1039" s="17"/>
      <c r="I1039" s="17"/>
      <c r="J1039" s="17"/>
      <c r="K1039" s="17"/>
      <c r="L1039" s="15"/>
      <c r="M1039" s="15"/>
      <c r="N1039" s="15"/>
      <c r="O1039" s="15"/>
      <c r="P1039" s="15"/>
      <c r="Q1039" s="15"/>
      <c r="R1039" s="15"/>
      <c r="S1039" s="15"/>
      <c r="T1039" s="15"/>
      <c r="U1039" s="15"/>
      <c r="V1039" s="15"/>
      <c r="W1039" s="15"/>
      <c r="X1039" s="15"/>
      <c r="Y1039" s="15"/>
      <c r="Z1039" s="15"/>
    </row>
    <row r="1040" spans="1:26" x14ac:dyDescent="0.3">
      <c r="A1040" s="24">
        <v>20</v>
      </c>
      <c r="B1040" s="27" t="s">
        <v>1782</v>
      </c>
      <c r="C1040" s="17" t="s">
        <v>1783</v>
      </c>
      <c r="D1040" s="26" t="s">
        <v>1784</v>
      </c>
      <c r="E1040" s="26"/>
      <c r="F1040" s="24">
        <v>1</v>
      </c>
      <c r="G1040" s="24"/>
      <c r="H1040" s="24"/>
      <c r="I1040" s="24"/>
      <c r="J1040" s="24"/>
      <c r="K1040" s="24"/>
      <c r="L1040" s="15"/>
      <c r="M1040" s="15"/>
      <c r="N1040" s="15"/>
      <c r="O1040" s="15"/>
      <c r="P1040" s="15"/>
      <c r="Q1040" s="15"/>
      <c r="R1040" s="15"/>
      <c r="S1040" s="15"/>
      <c r="T1040" s="15"/>
      <c r="U1040" s="15"/>
      <c r="V1040" s="15"/>
      <c r="W1040" s="15"/>
      <c r="X1040" s="15"/>
      <c r="Y1040" s="15"/>
      <c r="Z1040" s="15"/>
    </row>
    <row r="1041" spans="1:26" x14ac:dyDescent="0.3">
      <c r="A1041" s="17"/>
      <c r="B1041" s="17"/>
      <c r="C1041" s="17"/>
      <c r="D1041" s="17"/>
      <c r="E1041" s="17"/>
      <c r="F1041" s="17"/>
      <c r="G1041" s="17"/>
      <c r="H1041" s="17"/>
      <c r="I1041" s="17"/>
      <c r="J1041" s="17"/>
      <c r="K1041" s="17"/>
      <c r="L1041" s="15"/>
      <c r="M1041" s="15"/>
      <c r="N1041" s="15"/>
      <c r="O1041" s="15"/>
      <c r="P1041" s="15"/>
      <c r="Q1041" s="15"/>
      <c r="R1041" s="15"/>
      <c r="S1041" s="15"/>
      <c r="T1041" s="15"/>
      <c r="U1041" s="15"/>
      <c r="V1041" s="15"/>
      <c r="W1041" s="15"/>
      <c r="X1041" s="15"/>
      <c r="Y1041" s="15"/>
      <c r="Z1041" s="15"/>
    </row>
    <row r="1042" spans="1:26" x14ac:dyDescent="0.3">
      <c r="A1042" s="17"/>
      <c r="B1042" s="17"/>
      <c r="C1042" s="27" t="s">
        <v>1785</v>
      </c>
      <c r="D1042" s="17"/>
      <c r="E1042" s="17"/>
      <c r="F1042" s="17"/>
      <c r="G1042" s="17"/>
      <c r="H1042" s="17"/>
      <c r="I1042" s="17"/>
      <c r="J1042" s="17"/>
      <c r="K1042" s="17"/>
      <c r="L1042" s="15"/>
      <c r="M1042" s="15"/>
      <c r="N1042" s="15"/>
      <c r="O1042" s="15"/>
      <c r="P1042" s="15"/>
      <c r="Q1042" s="15"/>
      <c r="R1042" s="15"/>
      <c r="S1042" s="15"/>
      <c r="T1042" s="15"/>
      <c r="U1042" s="15"/>
      <c r="V1042" s="15"/>
      <c r="W1042" s="15"/>
      <c r="X1042" s="15"/>
      <c r="Y1042" s="15"/>
      <c r="Z1042" s="15"/>
    </row>
    <row r="1043" spans="1:26" x14ac:dyDescent="0.3">
      <c r="A1043" s="22"/>
      <c r="B1043" s="22"/>
      <c r="C1043" s="21" t="s">
        <v>1786</v>
      </c>
      <c r="D1043" s="22"/>
      <c r="E1043" s="22"/>
      <c r="F1043" s="22"/>
      <c r="G1043" s="22"/>
      <c r="H1043" s="22"/>
      <c r="I1043" s="22"/>
      <c r="J1043" s="22"/>
      <c r="K1043" s="22"/>
      <c r="L1043" s="15"/>
      <c r="M1043" s="15"/>
      <c r="N1043" s="15"/>
      <c r="O1043" s="15"/>
      <c r="P1043" s="15"/>
      <c r="Q1043" s="15"/>
      <c r="R1043" s="15"/>
      <c r="S1043" s="15"/>
      <c r="T1043" s="15"/>
      <c r="U1043" s="15"/>
      <c r="V1043" s="15"/>
      <c r="W1043" s="15"/>
      <c r="X1043" s="15"/>
      <c r="Y1043" s="15"/>
      <c r="Z1043" s="15"/>
    </row>
    <row r="1044" spans="1:26" x14ac:dyDescent="0.3">
      <c r="A1044" s="17"/>
      <c r="B1044" s="17"/>
      <c r="C1044" s="17"/>
      <c r="D1044" s="17"/>
      <c r="E1044" s="17"/>
      <c r="F1044" s="17"/>
      <c r="G1044" s="17"/>
      <c r="H1044" s="17"/>
      <c r="I1044" s="17"/>
      <c r="J1044" s="17"/>
      <c r="K1044" s="17"/>
      <c r="L1044" s="15"/>
      <c r="M1044" s="15"/>
      <c r="N1044" s="15"/>
      <c r="O1044" s="15"/>
      <c r="P1044" s="15"/>
      <c r="Q1044" s="15"/>
      <c r="R1044" s="15"/>
      <c r="S1044" s="15"/>
      <c r="T1044" s="15"/>
      <c r="U1044" s="15"/>
      <c r="V1044" s="15"/>
      <c r="W1044" s="15"/>
      <c r="X1044" s="15"/>
      <c r="Y1044" s="15"/>
      <c r="Z1044" s="15"/>
    </row>
    <row r="1045" spans="1:26" x14ac:dyDescent="0.3">
      <c r="A1045" s="23" t="s">
        <v>1787</v>
      </c>
      <c r="B1045" s="22"/>
      <c r="C1045" s="21" t="s">
        <v>1788</v>
      </c>
      <c r="D1045" s="22"/>
      <c r="E1045" s="22"/>
      <c r="F1045" s="22"/>
      <c r="G1045" s="22"/>
      <c r="H1045" s="22"/>
      <c r="I1045" s="22"/>
      <c r="J1045" s="22"/>
      <c r="K1045" s="22"/>
      <c r="L1045" s="15"/>
      <c r="M1045" s="15"/>
      <c r="N1045" s="15"/>
      <c r="O1045" s="15"/>
      <c r="P1045" s="15"/>
      <c r="Q1045" s="15"/>
      <c r="R1045" s="15"/>
      <c r="S1045" s="15"/>
      <c r="T1045" s="15"/>
      <c r="U1045" s="15"/>
      <c r="V1045" s="15"/>
      <c r="W1045" s="15"/>
      <c r="X1045" s="15"/>
      <c r="Y1045" s="15"/>
      <c r="Z1045" s="15"/>
    </row>
    <row r="1046" spans="1:26" x14ac:dyDescent="0.3">
      <c r="A1046" s="17"/>
      <c r="B1046" s="17"/>
      <c r="C1046" s="17"/>
      <c r="D1046" s="17"/>
      <c r="E1046" s="17"/>
      <c r="F1046" s="17"/>
      <c r="G1046" s="17"/>
      <c r="H1046" s="17"/>
      <c r="I1046" s="17"/>
      <c r="J1046" s="17"/>
      <c r="K1046" s="17"/>
      <c r="L1046" s="15"/>
      <c r="M1046" s="15"/>
      <c r="N1046" s="15"/>
      <c r="O1046" s="15"/>
      <c r="P1046" s="15"/>
      <c r="Q1046" s="15"/>
      <c r="R1046" s="15"/>
      <c r="S1046" s="15"/>
      <c r="T1046" s="15"/>
      <c r="U1046" s="15"/>
      <c r="V1046" s="15"/>
      <c r="W1046" s="15"/>
      <c r="X1046" s="15"/>
      <c r="Y1046" s="15"/>
      <c r="Z1046" s="15"/>
    </row>
    <row r="1047" spans="1:26" x14ac:dyDescent="0.3">
      <c r="A1047" s="17"/>
      <c r="B1047" s="17"/>
      <c r="C1047" s="17" t="s">
        <v>1789</v>
      </c>
      <c r="D1047" s="17"/>
      <c r="E1047" s="17"/>
      <c r="F1047" s="17"/>
      <c r="G1047" s="17"/>
      <c r="H1047" s="17"/>
      <c r="I1047" s="17"/>
      <c r="J1047" s="17"/>
      <c r="K1047" s="17"/>
      <c r="L1047" s="15"/>
      <c r="M1047" s="15"/>
      <c r="N1047" s="15"/>
      <c r="O1047" s="15"/>
      <c r="P1047" s="15"/>
      <c r="Q1047" s="15"/>
      <c r="R1047" s="15"/>
      <c r="S1047" s="15"/>
      <c r="T1047" s="15"/>
      <c r="U1047" s="15"/>
      <c r="V1047" s="15"/>
      <c r="W1047" s="15"/>
      <c r="X1047" s="15"/>
      <c r="Y1047" s="15"/>
      <c r="Z1047" s="15"/>
    </row>
    <row r="1048" spans="1:26" x14ac:dyDescent="0.3">
      <c r="A1048" s="17"/>
      <c r="B1048" s="17"/>
      <c r="C1048" s="17"/>
      <c r="D1048" s="17"/>
      <c r="E1048" s="17"/>
      <c r="F1048" s="17"/>
      <c r="G1048" s="17"/>
      <c r="H1048" s="17"/>
      <c r="I1048" s="17"/>
      <c r="J1048" s="17"/>
      <c r="K1048" s="17"/>
      <c r="L1048" s="15"/>
      <c r="M1048" s="15"/>
      <c r="N1048" s="15"/>
      <c r="O1048" s="15"/>
      <c r="P1048" s="15"/>
      <c r="Q1048" s="15"/>
      <c r="R1048" s="15"/>
      <c r="S1048" s="15"/>
      <c r="T1048" s="15"/>
      <c r="U1048" s="15"/>
      <c r="V1048" s="15"/>
      <c r="W1048" s="15"/>
      <c r="X1048" s="15"/>
      <c r="Y1048" s="15"/>
      <c r="Z1048" s="15"/>
    </row>
    <row r="1049" spans="1:26" x14ac:dyDescent="0.3">
      <c r="A1049" s="24">
        <v>1</v>
      </c>
      <c r="B1049" s="26" t="s">
        <v>1790</v>
      </c>
      <c r="C1049" s="35" t="s">
        <v>1791</v>
      </c>
      <c r="D1049" s="17"/>
      <c r="E1049" s="17"/>
      <c r="F1049" s="17"/>
      <c r="G1049" s="17"/>
      <c r="H1049" s="17"/>
      <c r="I1049" s="17"/>
      <c r="J1049" s="17"/>
      <c r="K1049" s="17"/>
      <c r="L1049" s="15"/>
      <c r="M1049" s="15"/>
      <c r="N1049" s="15"/>
      <c r="O1049" s="15"/>
      <c r="P1049" s="15"/>
      <c r="Q1049" s="15"/>
      <c r="R1049" s="15"/>
      <c r="S1049" s="15"/>
      <c r="T1049" s="15"/>
      <c r="U1049" s="15"/>
      <c r="V1049" s="15"/>
      <c r="W1049" s="15"/>
      <c r="X1049" s="15"/>
      <c r="Y1049" s="15"/>
      <c r="Z1049" s="15"/>
    </row>
    <row r="1050" spans="1:26" x14ac:dyDescent="0.3">
      <c r="A1050" s="17"/>
      <c r="B1050" s="17"/>
      <c r="C1050" s="17" t="s">
        <v>1792</v>
      </c>
      <c r="D1050" s="26" t="s">
        <v>1793</v>
      </c>
      <c r="E1050" s="26"/>
      <c r="F1050" s="24">
        <v>2</v>
      </c>
      <c r="G1050" s="24"/>
      <c r="H1050" s="24"/>
      <c r="I1050" s="24"/>
      <c r="J1050" s="24"/>
      <c r="K1050" s="24"/>
      <c r="L1050" s="15"/>
      <c r="M1050" s="15"/>
      <c r="N1050" s="15"/>
      <c r="O1050" s="15"/>
      <c r="P1050" s="15"/>
      <c r="Q1050" s="15"/>
      <c r="R1050" s="15"/>
      <c r="S1050" s="15"/>
      <c r="T1050" s="15"/>
      <c r="U1050" s="15"/>
      <c r="V1050" s="15"/>
      <c r="W1050" s="15"/>
      <c r="X1050" s="15"/>
      <c r="Y1050" s="15"/>
      <c r="Z1050" s="15"/>
    </row>
    <row r="1051" spans="1:26" x14ac:dyDescent="0.3">
      <c r="A1051" s="24">
        <v>2</v>
      </c>
      <c r="B1051" s="26" t="s">
        <v>1794</v>
      </c>
      <c r="C1051" s="35" t="s">
        <v>1795</v>
      </c>
      <c r="D1051" s="17"/>
      <c r="E1051" s="17"/>
      <c r="F1051" s="17"/>
      <c r="G1051" s="17"/>
      <c r="H1051" s="17"/>
      <c r="I1051" s="17"/>
      <c r="J1051" s="17"/>
      <c r="K1051" s="17"/>
      <c r="L1051" s="15"/>
      <c r="M1051" s="15"/>
      <c r="N1051" s="15"/>
      <c r="O1051" s="15"/>
      <c r="P1051" s="15"/>
      <c r="Q1051" s="15"/>
      <c r="R1051" s="15"/>
      <c r="S1051" s="15"/>
      <c r="T1051" s="15"/>
      <c r="U1051" s="15"/>
      <c r="V1051" s="15"/>
      <c r="W1051" s="15"/>
      <c r="X1051" s="15"/>
      <c r="Y1051" s="15"/>
      <c r="Z1051" s="15"/>
    </row>
    <row r="1052" spans="1:26" x14ac:dyDescent="0.3">
      <c r="A1052" s="17"/>
      <c r="B1052" s="17"/>
      <c r="C1052" s="17" t="s">
        <v>1796</v>
      </c>
      <c r="D1052" s="26" t="s">
        <v>1797</v>
      </c>
      <c r="E1052" s="26"/>
      <c r="F1052" s="24">
        <v>640</v>
      </c>
      <c r="G1052" s="24"/>
      <c r="H1052" s="24"/>
      <c r="I1052" s="24"/>
      <c r="J1052" s="24"/>
      <c r="K1052" s="24"/>
      <c r="L1052" s="15"/>
      <c r="M1052" s="15"/>
      <c r="N1052" s="15"/>
      <c r="O1052" s="15"/>
      <c r="P1052" s="15"/>
      <c r="Q1052" s="15"/>
      <c r="R1052" s="15"/>
      <c r="S1052" s="15"/>
      <c r="T1052" s="15"/>
      <c r="U1052" s="15"/>
      <c r="V1052" s="15"/>
      <c r="W1052" s="15"/>
      <c r="X1052" s="15"/>
      <c r="Y1052" s="15"/>
      <c r="Z1052" s="15"/>
    </row>
    <row r="1053" spans="1:26" x14ac:dyDescent="0.3">
      <c r="A1053" s="24">
        <v>3</v>
      </c>
      <c r="B1053" s="26" t="s">
        <v>1798</v>
      </c>
      <c r="C1053" s="35" t="s">
        <v>1799</v>
      </c>
      <c r="D1053" s="17"/>
      <c r="E1053" s="17"/>
      <c r="F1053" s="17"/>
      <c r="G1053" s="17"/>
      <c r="H1053" s="17"/>
      <c r="I1053" s="17"/>
      <c r="J1053" s="17"/>
      <c r="K1053" s="17"/>
      <c r="L1053" s="15"/>
      <c r="M1053" s="15"/>
      <c r="N1053" s="15"/>
      <c r="O1053" s="15"/>
      <c r="P1053" s="15"/>
      <c r="Q1053" s="15"/>
      <c r="R1053" s="15"/>
      <c r="S1053" s="15"/>
      <c r="T1053" s="15"/>
      <c r="U1053" s="15"/>
      <c r="V1053" s="15"/>
      <c r="W1053" s="15"/>
      <c r="X1053" s="15"/>
      <c r="Y1053" s="15"/>
      <c r="Z1053" s="15"/>
    </row>
    <row r="1054" spans="1:26" x14ac:dyDescent="0.3">
      <c r="A1054" s="17"/>
      <c r="B1054" s="17"/>
      <c r="C1054" s="17" t="s">
        <v>1800</v>
      </c>
      <c r="D1054" s="26" t="s">
        <v>1801</v>
      </c>
      <c r="E1054" s="26"/>
      <c r="F1054" s="24">
        <v>32</v>
      </c>
      <c r="G1054" s="24"/>
      <c r="H1054" s="24"/>
      <c r="I1054" s="24"/>
      <c r="J1054" s="24"/>
      <c r="K1054" s="24"/>
      <c r="L1054" s="15"/>
      <c r="M1054" s="15"/>
      <c r="N1054" s="15"/>
      <c r="O1054" s="15"/>
      <c r="P1054" s="15"/>
      <c r="Q1054" s="15"/>
      <c r="R1054" s="15"/>
      <c r="S1054" s="15"/>
      <c r="T1054" s="15"/>
      <c r="U1054" s="15"/>
      <c r="V1054" s="15"/>
      <c r="W1054" s="15"/>
      <c r="X1054" s="15"/>
      <c r="Y1054" s="15"/>
      <c r="Z1054" s="15"/>
    </row>
    <row r="1055" spans="1:26" x14ac:dyDescent="0.3">
      <c r="A1055" s="17"/>
      <c r="B1055" s="17"/>
      <c r="C1055" s="17"/>
      <c r="D1055" s="17"/>
      <c r="E1055" s="17"/>
      <c r="F1055" s="17"/>
      <c r="G1055" s="17"/>
      <c r="H1055" s="17"/>
      <c r="I1055" s="17"/>
      <c r="J1055" s="17"/>
      <c r="K1055" s="17"/>
      <c r="L1055" s="15"/>
      <c r="M1055" s="15"/>
      <c r="N1055" s="15"/>
      <c r="O1055" s="15"/>
      <c r="P1055" s="15"/>
      <c r="Q1055" s="15"/>
      <c r="R1055" s="15"/>
      <c r="S1055" s="15"/>
      <c r="T1055" s="15"/>
      <c r="U1055" s="15"/>
      <c r="V1055" s="15"/>
      <c r="W1055" s="15"/>
      <c r="X1055" s="15"/>
      <c r="Y1055" s="15"/>
      <c r="Z1055" s="15"/>
    </row>
    <row r="1056" spans="1:26" x14ac:dyDescent="0.3">
      <c r="A1056" s="24">
        <v>4</v>
      </c>
      <c r="B1056" s="26" t="s">
        <v>1802</v>
      </c>
      <c r="C1056" s="27" t="s">
        <v>1803</v>
      </c>
      <c r="D1056" s="26" t="s">
        <v>1804</v>
      </c>
      <c r="E1056" s="26"/>
      <c r="F1056" s="24">
        <v>32</v>
      </c>
      <c r="G1056" s="24"/>
      <c r="H1056" s="24"/>
      <c r="I1056" s="24"/>
      <c r="J1056" s="24"/>
      <c r="K1056" s="24"/>
      <c r="L1056" s="15"/>
      <c r="M1056" s="15"/>
      <c r="N1056" s="15"/>
      <c r="O1056" s="15"/>
      <c r="P1056" s="15"/>
      <c r="Q1056" s="15"/>
      <c r="R1056" s="15"/>
      <c r="S1056" s="15"/>
      <c r="T1056" s="15"/>
      <c r="U1056" s="15"/>
      <c r="V1056" s="15"/>
      <c r="W1056" s="15"/>
      <c r="X1056" s="15"/>
      <c r="Y1056" s="15"/>
      <c r="Z1056" s="15"/>
    </row>
    <row r="1057" spans="1:26" x14ac:dyDescent="0.3">
      <c r="A1057" s="17"/>
      <c r="B1057" s="17"/>
      <c r="C1057" s="17"/>
      <c r="D1057" s="17"/>
      <c r="E1057" s="17"/>
      <c r="F1057" s="17"/>
      <c r="G1057" s="17"/>
      <c r="H1057" s="17"/>
      <c r="I1057" s="17"/>
      <c r="J1057" s="17"/>
      <c r="K1057" s="17"/>
      <c r="L1057" s="15"/>
      <c r="M1057" s="15"/>
      <c r="N1057" s="15"/>
      <c r="O1057" s="15"/>
      <c r="P1057" s="15"/>
      <c r="Q1057" s="15"/>
      <c r="R1057" s="15"/>
      <c r="S1057" s="15"/>
      <c r="T1057" s="15"/>
      <c r="U1057" s="15"/>
      <c r="V1057" s="15"/>
      <c r="W1057" s="15"/>
      <c r="X1057" s="15"/>
      <c r="Y1057" s="15"/>
      <c r="Z1057" s="15"/>
    </row>
    <row r="1058" spans="1:26" x14ac:dyDescent="0.3">
      <c r="A1058" s="24">
        <v>5</v>
      </c>
      <c r="B1058" s="26" t="s">
        <v>1805</v>
      </c>
      <c r="C1058" s="27" t="s">
        <v>1806</v>
      </c>
      <c r="D1058" s="26" t="s">
        <v>1807</v>
      </c>
      <c r="E1058" s="26"/>
      <c r="F1058" s="24">
        <v>32</v>
      </c>
      <c r="G1058" s="24"/>
      <c r="H1058" s="24"/>
      <c r="I1058" s="24"/>
      <c r="J1058" s="24"/>
      <c r="K1058" s="24"/>
      <c r="L1058" s="15"/>
      <c r="M1058" s="15"/>
      <c r="N1058" s="15"/>
      <c r="O1058" s="15"/>
      <c r="P1058" s="15"/>
      <c r="Q1058" s="15"/>
      <c r="R1058" s="15"/>
      <c r="S1058" s="15"/>
      <c r="T1058" s="15"/>
      <c r="U1058" s="15"/>
      <c r="V1058" s="15"/>
      <c r="W1058" s="15"/>
      <c r="X1058" s="15"/>
      <c r="Y1058" s="15"/>
      <c r="Z1058" s="15"/>
    </row>
    <row r="1059" spans="1:26" x14ac:dyDescent="0.3">
      <c r="A1059" s="17"/>
      <c r="B1059" s="17"/>
      <c r="C1059" s="17"/>
      <c r="D1059" s="17"/>
      <c r="E1059" s="17"/>
      <c r="F1059" s="17"/>
      <c r="G1059" s="17"/>
      <c r="H1059" s="17"/>
      <c r="I1059" s="17"/>
      <c r="J1059" s="17"/>
      <c r="K1059" s="17"/>
      <c r="L1059" s="15"/>
      <c r="M1059" s="15"/>
      <c r="N1059" s="15"/>
      <c r="O1059" s="15"/>
      <c r="P1059" s="15"/>
      <c r="Q1059" s="15"/>
      <c r="R1059" s="15"/>
      <c r="S1059" s="15"/>
      <c r="T1059" s="15"/>
      <c r="U1059" s="15"/>
      <c r="V1059" s="15"/>
      <c r="W1059" s="15"/>
      <c r="X1059" s="15"/>
      <c r="Y1059" s="15"/>
      <c r="Z1059" s="15"/>
    </row>
    <row r="1060" spans="1:26" x14ac:dyDescent="0.3">
      <c r="A1060" s="24">
        <v>6</v>
      </c>
      <c r="B1060" s="26" t="s">
        <v>1808</v>
      </c>
      <c r="C1060" s="27" t="s">
        <v>1809</v>
      </c>
      <c r="D1060" s="26" t="s">
        <v>1810</v>
      </c>
      <c r="E1060" s="26"/>
      <c r="F1060" s="24">
        <v>4</v>
      </c>
      <c r="G1060" s="24"/>
      <c r="H1060" s="24"/>
      <c r="I1060" s="24"/>
      <c r="J1060" s="24"/>
      <c r="K1060" s="24"/>
      <c r="L1060" s="15"/>
      <c r="M1060" s="15"/>
      <c r="N1060" s="15"/>
      <c r="O1060" s="15"/>
      <c r="P1060" s="15"/>
      <c r="Q1060" s="15"/>
      <c r="R1060" s="15"/>
      <c r="S1060" s="15"/>
      <c r="T1060" s="15"/>
      <c r="U1060" s="15"/>
      <c r="V1060" s="15"/>
      <c r="W1060" s="15"/>
      <c r="X1060" s="15"/>
      <c r="Y1060" s="15"/>
      <c r="Z1060" s="15"/>
    </row>
    <row r="1061" spans="1:26" x14ac:dyDescent="0.3">
      <c r="A1061" s="17"/>
      <c r="B1061" s="17"/>
      <c r="C1061" s="17"/>
      <c r="D1061" s="17"/>
      <c r="E1061" s="17"/>
      <c r="F1061" s="17"/>
      <c r="G1061" s="17"/>
      <c r="H1061" s="17"/>
      <c r="I1061" s="17"/>
      <c r="J1061" s="17"/>
      <c r="K1061" s="17"/>
      <c r="L1061" s="15"/>
      <c r="M1061" s="15"/>
      <c r="N1061" s="15"/>
      <c r="O1061" s="15"/>
      <c r="P1061" s="15"/>
      <c r="Q1061" s="15"/>
      <c r="R1061" s="15"/>
      <c r="S1061" s="15"/>
      <c r="T1061" s="15"/>
      <c r="U1061" s="15"/>
      <c r="V1061" s="15"/>
      <c r="W1061" s="15"/>
      <c r="X1061" s="15"/>
      <c r="Y1061" s="15"/>
      <c r="Z1061" s="15"/>
    </row>
    <row r="1062" spans="1:26" x14ac:dyDescent="0.3">
      <c r="A1062" s="24">
        <v>7</v>
      </c>
      <c r="B1062" s="26" t="s">
        <v>1811</v>
      </c>
      <c r="C1062" s="27" t="s">
        <v>1812</v>
      </c>
      <c r="D1062" s="26" t="s">
        <v>1813</v>
      </c>
      <c r="E1062" s="26"/>
      <c r="F1062" s="24">
        <v>4</v>
      </c>
      <c r="G1062" s="24"/>
      <c r="H1062" s="24"/>
      <c r="I1062" s="24"/>
      <c r="J1062" s="24"/>
      <c r="K1062" s="24"/>
      <c r="L1062" s="15"/>
      <c r="M1062" s="15"/>
      <c r="N1062" s="15"/>
      <c r="O1062" s="15"/>
      <c r="P1062" s="15"/>
      <c r="Q1062" s="15"/>
      <c r="R1062" s="15"/>
      <c r="S1062" s="15"/>
      <c r="T1062" s="15"/>
      <c r="U1062" s="15"/>
      <c r="V1062" s="15"/>
      <c r="W1062" s="15"/>
      <c r="X1062" s="15"/>
      <c r="Y1062" s="15"/>
      <c r="Z1062" s="15"/>
    </row>
    <row r="1063" spans="1:26" x14ac:dyDescent="0.3">
      <c r="A1063" s="17"/>
      <c r="B1063" s="17"/>
      <c r="C1063" s="17"/>
      <c r="D1063" s="17"/>
      <c r="E1063" s="17"/>
      <c r="F1063" s="17"/>
      <c r="G1063" s="17"/>
      <c r="H1063" s="17"/>
      <c r="I1063" s="17"/>
      <c r="J1063" s="17"/>
      <c r="K1063" s="17"/>
      <c r="L1063" s="15"/>
      <c r="M1063" s="15"/>
      <c r="N1063" s="15"/>
      <c r="O1063" s="15"/>
      <c r="P1063" s="15"/>
      <c r="Q1063" s="15"/>
      <c r="R1063" s="15"/>
      <c r="S1063" s="15"/>
      <c r="T1063" s="15"/>
      <c r="U1063" s="15"/>
      <c r="V1063" s="15"/>
      <c r="W1063" s="15"/>
      <c r="X1063" s="15"/>
      <c r="Y1063" s="15"/>
      <c r="Z1063" s="15"/>
    </row>
    <row r="1064" spans="1:26" x14ac:dyDescent="0.3">
      <c r="A1064" s="24">
        <v>8</v>
      </c>
      <c r="B1064" s="26" t="s">
        <v>1814</v>
      </c>
      <c r="C1064" s="27" t="s">
        <v>1815</v>
      </c>
      <c r="D1064" s="26" t="s">
        <v>1816</v>
      </c>
      <c r="E1064" s="26"/>
      <c r="F1064" s="24">
        <v>32</v>
      </c>
      <c r="G1064" s="24"/>
      <c r="H1064" s="24"/>
      <c r="I1064" s="24"/>
      <c r="J1064" s="24"/>
      <c r="K1064" s="24"/>
      <c r="L1064" s="15"/>
      <c r="M1064" s="15"/>
      <c r="N1064" s="15"/>
      <c r="O1064" s="15"/>
      <c r="P1064" s="15"/>
      <c r="Q1064" s="15"/>
      <c r="R1064" s="15"/>
      <c r="S1064" s="15"/>
      <c r="T1064" s="15"/>
      <c r="U1064" s="15"/>
      <c r="V1064" s="15"/>
      <c r="W1064" s="15"/>
      <c r="X1064" s="15"/>
      <c r="Y1064" s="15"/>
      <c r="Z1064" s="15"/>
    </row>
    <row r="1065" spans="1:26" x14ac:dyDescent="0.3">
      <c r="A1065" s="17"/>
      <c r="B1065" s="17"/>
      <c r="C1065" s="17"/>
      <c r="D1065" s="17"/>
      <c r="E1065" s="17"/>
      <c r="F1065" s="17"/>
      <c r="G1065" s="17"/>
      <c r="H1065" s="17"/>
      <c r="I1065" s="17"/>
      <c r="J1065" s="17"/>
      <c r="K1065" s="17"/>
      <c r="L1065" s="15"/>
      <c r="M1065" s="15"/>
      <c r="N1065" s="15"/>
      <c r="O1065" s="15"/>
      <c r="P1065" s="15"/>
      <c r="Q1065" s="15"/>
      <c r="R1065" s="15"/>
      <c r="S1065" s="15"/>
      <c r="T1065" s="15"/>
      <c r="U1065" s="15"/>
      <c r="V1065" s="15"/>
      <c r="W1065" s="15"/>
      <c r="X1065" s="15"/>
      <c r="Y1065" s="15"/>
      <c r="Z1065" s="15"/>
    </row>
    <row r="1066" spans="1:26" x14ac:dyDescent="0.3">
      <c r="A1066" s="24">
        <v>9</v>
      </c>
      <c r="B1066" s="26" t="s">
        <v>1817</v>
      </c>
      <c r="C1066" s="27" t="s">
        <v>1818</v>
      </c>
      <c r="D1066" s="26" t="s">
        <v>1819</v>
      </c>
      <c r="E1066" s="26"/>
      <c r="F1066" s="24">
        <v>32</v>
      </c>
      <c r="G1066" s="24"/>
      <c r="H1066" s="24"/>
      <c r="I1066" s="24"/>
      <c r="J1066" s="24"/>
      <c r="K1066" s="24"/>
      <c r="L1066" s="15"/>
      <c r="M1066" s="15"/>
      <c r="N1066" s="15"/>
      <c r="O1066" s="15"/>
      <c r="P1066" s="15"/>
      <c r="Q1066" s="15"/>
      <c r="R1066" s="15"/>
      <c r="S1066" s="15"/>
      <c r="T1066" s="15"/>
      <c r="U1066" s="15"/>
      <c r="V1066" s="15"/>
      <c r="W1066" s="15"/>
      <c r="X1066" s="15"/>
      <c r="Y1066" s="15"/>
      <c r="Z1066" s="15"/>
    </row>
    <row r="1067" spans="1:26" x14ac:dyDescent="0.3">
      <c r="A1067" s="17"/>
      <c r="B1067" s="17"/>
      <c r="C1067" s="17"/>
      <c r="D1067" s="17"/>
      <c r="E1067" s="17"/>
      <c r="F1067" s="17"/>
      <c r="G1067" s="17"/>
      <c r="H1067" s="17"/>
      <c r="I1067" s="17"/>
      <c r="J1067" s="17"/>
      <c r="K1067" s="17"/>
      <c r="L1067" s="15"/>
      <c r="M1067" s="15"/>
      <c r="N1067" s="15"/>
      <c r="O1067" s="15"/>
      <c r="P1067" s="15"/>
      <c r="Q1067" s="15"/>
      <c r="R1067" s="15"/>
      <c r="S1067" s="15"/>
      <c r="T1067" s="15"/>
      <c r="U1067" s="15"/>
      <c r="V1067" s="15"/>
      <c r="W1067" s="15"/>
      <c r="X1067" s="15"/>
      <c r="Y1067" s="15"/>
      <c r="Z1067" s="15"/>
    </row>
    <row r="1068" spans="1:26" x14ac:dyDescent="0.3">
      <c r="A1068" s="17"/>
      <c r="B1068" s="17"/>
      <c r="C1068" s="27" t="s">
        <v>1820</v>
      </c>
      <c r="D1068" s="17"/>
      <c r="E1068" s="17"/>
      <c r="F1068" s="17"/>
      <c r="G1068" s="17"/>
      <c r="H1068" s="17"/>
      <c r="I1068" s="17"/>
      <c r="J1068" s="17"/>
      <c r="K1068" s="17"/>
      <c r="L1068" s="15"/>
      <c r="M1068" s="15"/>
      <c r="N1068" s="15"/>
      <c r="O1068" s="15"/>
      <c r="P1068" s="15"/>
      <c r="Q1068" s="15"/>
      <c r="R1068" s="15"/>
      <c r="S1068" s="15"/>
      <c r="T1068" s="15"/>
      <c r="U1068" s="15"/>
      <c r="V1068" s="15"/>
      <c r="W1068" s="15"/>
      <c r="X1068" s="15"/>
      <c r="Y1068" s="15"/>
      <c r="Z1068" s="15"/>
    </row>
    <row r="1069" spans="1:26" x14ac:dyDescent="0.3">
      <c r="A1069" s="17"/>
      <c r="B1069" s="17"/>
      <c r="C1069" s="17"/>
      <c r="D1069" s="17"/>
      <c r="E1069" s="17"/>
      <c r="F1069" s="17"/>
      <c r="G1069" s="17"/>
      <c r="H1069" s="17"/>
      <c r="I1069" s="17"/>
      <c r="J1069" s="17"/>
      <c r="K1069" s="17"/>
      <c r="L1069" s="15"/>
      <c r="M1069" s="15"/>
      <c r="N1069" s="15"/>
      <c r="O1069" s="15"/>
      <c r="P1069" s="15"/>
      <c r="Q1069" s="15"/>
      <c r="R1069" s="15"/>
      <c r="S1069" s="15"/>
      <c r="T1069" s="15"/>
      <c r="U1069" s="15"/>
      <c r="V1069" s="15"/>
      <c r="W1069" s="15"/>
      <c r="X1069" s="15"/>
      <c r="Y1069" s="15"/>
      <c r="Z1069" s="15"/>
    </row>
    <row r="1070" spans="1:26" x14ac:dyDescent="0.3">
      <c r="A1070" s="22"/>
      <c r="B1070" s="22"/>
      <c r="C1070" s="21" t="s">
        <v>1821</v>
      </c>
      <c r="D1070" s="22"/>
      <c r="E1070" s="22"/>
      <c r="F1070" s="22"/>
      <c r="G1070" s="22"/>
      <c r="H1070" s="22"/>
      <c r="I1070" s="22"/>
      <c r="J1070" s="22"/>
      <c r="K1070" s="22"/>
      <c r="L1070" s="15"/>
      <c r="M1070" s="15"/>
      <c r="N1070" s="15"/>
      <c r="O1070" s="15"/>
      <c r="P1070" s="15"/>
      <c r="Q1070" s="15"/>
      <c r="R1070" s="15"/>
      <c r="S1070" s="15"/>
      <c r="T1070" s="15"/>
      <c r="U1070" s="15"/>
      <c r="V1070" s="15"/>
      <c r="W1070" s="15"/>
      <c r="X1070" s="15"/>
      <c r="Y1070" s="15"/>
      <c r="Z1070" s="15"/>
    </row>
    <row r="1071" spans="1:26" x14ac:dyDescent="0.3">
      <c r="A1071" s="17"/>
      <c r="B1071" s="17"/>
      <c r="C1071" s="17"/>
      <c r="D1071" s="17"/>
      <c r="E1071" s="17"/>
      <c r="F1071" s="17"/>
      <c r="G1071" s="17"/>
      <c r="H1071" s="17"/>
      <c r="I1071" s="17"/>
      <c r="J1071" s="17"/>
      <c r="K1071" s="17"/>
      <c r="L1071" s="15"/>
      <c r="M1071" s="15"/>
      <c r="N1071" s="15"/>
      <c r="O1071" s="15"/>
      <c r="P1071" s="15"/>
      <c r="Q1071" s="15"/>
      <c r="R1071" s="15"/>
      <c r="S1071" s="15"/>
      <c r="T1071" s="15"/>
      <c r="U1071" s="15"/>
      <c r="V1071" s="15"/>
      <c r="W1071" s="15"/>
      <c r="X1071" s="15"/>
      <c r="Y1071" s="15"/>
      <c r="Z1071" s="15"/>
    </row>
    <row r="1072" spans="1:26" x14ac:dyDescent="0.3">
      <c r="A1072" s="20" t="s">
        <v>1822</v>
      </c>
      <c r="B1072" s="22"/>
      <c r="C1072" s="21" t="s">
        <v>1823</v>
      </c>
      <c r="D1072" s="22"/>
      <c r="E1072" s="22"/>
      <c r="F1072" s="22"/>
      <c r="G1072" s="22"/>
      <c r="H1072" s="22"/>
      <c r="I1072" s="22"/>
      <c r="J1072" s="22"/>
      <c r="K1072" s="22"/>
      <c r="L1072" s="15"/>
      <c r="M1072" s="15"/>
      <c r="N1072" s="15"/>
      <c r="O1072" s="15"/>
      <c r="P1072" s="15"/>
      <c r="Q1072" s="15"/>
      <c r="R1072" s="15"/>
      <c r="S1072" s="15"/>
      <c r="T1072" s="15"/>
      <c r="U1072" s="15"/>
      <c r="V1072" s="15"/>
      <c r="W1072" s="15"/>
      <c r="X1072" s="15"/>
      <c r="Y1072" s="15"/>
      <c r="Z1072" s="15"/>
    </row>
    <row r="1073" spans="1:26" x14ac:dyDescent="0.3">
      <c r="A1073" s="17"/>
      <c r="B1073" s="17"/>
      <c r="C1073" s="17"/>
      <c r="D1073" s="17"/>
      <c r="E1073" s="17"/>
      <c r="F1073" s="17"/>
      <c r="G1073" s="17"/>
      <c r="H1073" s="17"/>
      <c r="I1073" s="17"/>
      <c r="J1073" s="17"/>
      <c r="K1073" s="17"/>
      <c r="L1073" s="15"/>
      <c r="M1073" s="15"/>
      <c r="N1073" s="15"/>
      <c r="O1073" s="15"/>
      <c r="P1073" s="15"/>
      <c r="Q1073" s="15"/>
      <c r="R1073" s="15"/>
      <c r="S1073" s="15"/>
      <c r="T1073" s="15"/>
      <c r="U1073" s="15"/>
      <c r="V1073" s="15"/>
      <c r="W1073" s="15"/>
      <c r="X1073" s="15"/>
      <c r="Y1073" s="15"/>
      <c r="Z1073" s="15"/>
    </row>
    <row r="1074" spans="1:26" x14ac:dyDescent="0.3">
      <c r="A1074" s="17"/>
      <c r="B1074" s="17"/>
      <c r="C1074" s="27" t="s">
        <v>1824</v>
      </c>
      <c r="D1074" s="17"/>
      <c r="E1074" s="17"/>
      <c r="F1074" s="17"/>
      <c r="G1074" s="17"/>
      <c r="H1074" s="17"/>
      <c r="I1074" s="17"/>
      <c r="J1074" s="17"/>
      <c r="K1074" s="17"/>
      <c r="L1074" s="15"/>
      <c r="M1074" s="15"/>
      <c r="N1074" s="15"/>
      <c r="O1074" s="15"/>
      <c r="P1074" s="15"/>
      <c r="Q1074" s="15"/>
      <c r="R1074" s="15"/>
      <c r="S1074" s="15"/>
      <c r="T1074" s="15"/>
      <c r="U1074" s="15"/>
      <c r="V1074" s="15"/>
      <c r="W1074" s="15"/>
      <c r="X1074" s="15"/>
      <c r="Y1074" s="15"/>
      <c r="Z1074" s="15"/>
    </row>
    <row r="1075" spans="1:26" x14ac:dyDescent="0.3">
      <c r="A1075" s="17"/>
      <c r="B1075" s="17"/>
      <c r="C1075" s="27" t="s">
        <v>1825</v>
      </c>
      <c r="D1075" s="17"/>
      <c r="E1075" s="17"/>
      <c r="F1075" s="17"/>
      <c r="G1075" s="17"/>
      <c r="H1075" s="17"/>
      <c r="I1075" s="17"/>
      <c r="J1075" s="17"/>
      <c r="K1075" s="17"/>
      <c r="L1075" s="15"/>
      <c r="M1075" s="15"/>
      <c r="N1075" s="15"/>
      <c r="O1075" s="15"/>
      <c r="P1075" s="15"/>
      <c r="Q1075" s="15"/>
      <c r="R1075" s="15"/>
      <c r="S1075" s="15"/>
      <c r="T1075" s="15"/>
      <c r="U1075" s="15"/>
      <c r="V1075" s="15"/>
      <c r="W1075" s="15"/>
      <c r="X1075" s="15"/>
      <c r="Y1075" s="15"/>
      <c r="Z1075" s="15"/>
    </row>
    <row r="1076" spans="1:26" x14ac:dyDescent="0.3">
      <c r="A1076" s="24">
        <v>1</v>
      </c>
      <c r="B1076" s="26" t="s">
        <v>1826</v>
      </c>
      <c r="C1076" s="17" t="s">
        <v>1827</v>
      </c>
      <c r="D1076" s="26" t="s">
        <v>1828</v>
      </c>
      <c r="E1076" s="26"/>
      <c r="F1076" s="24">
        <v>15</v>
      </c>
      <c r="G1076" s="24"/>
      <c r="H1076" s="24"/>
      <c r="I1076" s="24"/>
      <c r="J1076" s="24"/>
      <c r="K1076" s="24"/>
      <c r="L1076" s="15"/>
      <c r="M1076" s="15"/>
      <c r="N1076" s="15"/>
      <c r="O1076" s="15"/>
      <c r="P1076" s="15"/>
      <c r="Q1076" s="15"/>
      <c r="R1076" s="15"/>
      <c r="S1076" s="15"/>
      <c r="T1076" s="15"/>
      <c r="U1076" s="15"/>
      <c r="V1076" s="15"/>
      <c r="W1076" s="15"/>
      <c r="X1076" s="15"/>
      <c r="Y1076" s="15"/>
      <c r="Z1076" s="15"/>
    </row>
    <row r="1077" spans="1:26" x14ac:dyDescent="0.3">
      <c r="A1077" s="24">
        <v>2</v>
      </c>
      <c r="B1077" s="26" t="s">
        <v>1829</v>
      </c>
      <c r="C1077" s="17" t="s">
        <v>1830</v>
      </c>
      <c r="D1077" s="26" t="s">
        <v>1831</v>
      </c>
      <c r="E1077" s="26"/>
      <c r="F1077" s="24">
        <v>212</v>
      </c>
      <c r="G1077" s="24"/>
      <c r="H1077" s="24"/>
      <c r="I1077" s="24"/>
      <c r="J1077" s="24"/>
      <c r="K1077" s="24"/>
      <c r="L1077" s="15"/>
      <c r="M1077" s="15"/>
      <c r="N1077" s="15"/>
      <c r="O1077" s="15"/>
      <c r="P1077" s="15"/>
      <c r="Q1077" s="15"/>
      <c r="R1077" s="15"/>
      <c r="S1077" s="15"/>
      <c r="T1077" s="15"/>
      <c r="U1077" s="15"/>
      <c r="V1077" s="15"/>
      <c r="W1077" s="15"/>
      <c r="X1077" s="15"/>
      <c r="Y1077" s="15"/>
      <c r="Z1077" s="15"/>
    </row>
    <row r="1078" spans="1:26" x14ac:dyDescent="0.3">
      <c r="A1078" s="24">
        <v>3</v>
      </c>
      <c r="B1078" s="26" t="s">
        <v>1832</v>
      </c>
      <c r="C1078" s="17" t="s">
        <v>1833</v>
      </c>
      <c r="D1078" s="26" t="s">
        <v>1834</v>
      </c>
      <c r="E1078" s="26"/>
      <c r="F1078" s="24">
        <v>1</v>
      </c>
      <c r="G1078" s="24"/>
      <c r="H1078" s="24"/>
      <c r="I1078" s="24"/>
      <c r="J1078" s="24"/>
      <c r="K1078" s="24"/>
      <c r="L1078" s="15"/>
      <c r="M1078" s="15"/>
      <c r="N1078" s="15"/>
      <c r="O1078" s="15"/>
      <c r="P1078" s="15"/>
      <c r="Q1078" s="15"/>
      <c r="R1078" s="15"/>
      <c r="S1078" s="15"/>
      <c r="T1078" s="15"/>
      <c r="U1078" s="15"/>
      <c r="V1078" s="15"/>
      <c r="W1078" s="15"/>
      <c r="X1078" s="15"/>
      <c r="Y1078" s="15"/>
      <c r="Z1078" s="15"/>
    </row>
    <row r="1079" spans="1:26" x14ac:dyDescent="0.3">
      <c r="A1079" s="24">
        <v>4</v>
      </c>
      <c r="B1079" s="26" t="s">
        <v>1835</v>
      </c>
      <c r="C1079" s="17" t="s">
        <v>1836</v>
      </c>
      <c r="D1079" s="26" t="s">
        <v>1837</v>
      </c>
      <c r="E1079" s="26"/>
      <c r="F1079" s="24">
        <v>1</v>
      </c>
      <c r="G1079" s="24"/>
      <c r="H1079" s="24"/>
      <c r="I1079" s="24"/>
      <c r="J1079" s="24"/>
      <c r="K1079" s="24"/>
      <c r="L1079" s="15"/>
      <c r="M1079" s="15"/>
      <c r="N1079" s="15"/>
      <c r="O1079" s="15"/>
      <c r="P1079" s="15"/>
      <c r="Q1079" s="15"/>
      <c r="R1079" s="15"/>
      <c r="S1079" s="15"/>
      <c r="T1079" s="15"/>
      <c r="U1079" s="15"/>
      <c r="V1079" s="15"/>
      <c r="W1079" s="15"/>
      <c r="X1079" s="15"/>
      <c r="Y1079" s="15"/>
      <c r="Z1079" s="15"/>
    </row>
    <row r="1080" spans="1:26" x14ac:dyDescent="0.3">
      <c r="A1080" s="24">
        <v>5</v>
      </c>
      <c r="B1080" s="26" t="s">
        <v>1838</v>
      </c>
      <c r="C1080" s="27" t="s">
        <v>1839</v>
      </c>
      <c r="D1080" s="26" t="s">
        <v>1840</v>
      </c>
      <c r="E1080" s="26"/>
      <c r="F1080" s="24">
        <v>30</v>
      </c>
      <c r="G1080" s="24"/>
      <c r="H1080" s="24"/>
      <c r="I1080" s="24"/>
      <c r="J1080" s="24"/>
      <c r="K1080" s="24"/>
      <c r="L1080" s="15"/>
      <c r="M1080" s="15"/>
      <c r="N1080" s="15"/>
      <c r="O1080" s="15"/>
      <c r="P1080" s="15"/>
      <c r="Q1080" s="15"/>
      <c r="R1080" s="15"/>
      <c r="S1080" s="15"/>
      <c r="T1080" s="15"/>
      <c r="U1080" s="15"/>
      <c r="V1080" s="15"/>
      <c r="W1080" s="15"/>
      <c r="X1080" s="15"/>
      <c r="Y1080" s="15"/>
      <c r="Z1080" s="15"/>
    </row>
    <row r="1081" spans="1:26" x14ac:dyDescent="0.3">
      <c r="A1081" s="24">
        <v>6</v>
      </c>
      <c r="B1081" s="26" t="s">
        <v>1841</v>
      </c>
      <c r="C1081" s="27" t="s">
        <v>1842</v>
      </c>
      <c r="D1081" s="26" t="s">
        <v>1843</v>
      </c>
      <c r="E1081" s="26"/>
      <c r="F1081" s="24">
        <v>165</v>
      </c>
      <c r="G1081" s="24"/>
      <c r="H1081" s="24"/>
      <c r="I1081" s="24"/>
      <c r="J1081" s="24"/>
      <c r="K1081" s="24"/>
      <c r="L1081" s="15"/>
      <c r="M1081" s="15"/>
      <c r="N1081" s="15"/>
      <c r="O1081" s="15"/>
      <c r="P1081" s="15"/>
      <c r="Q1081" s="15"/>
      <c r="R1081" s="15"/>
      <c r="S1081" s="15"/>
      <c r="T1081" s="15"/>
      <c r="U1081" s="15"/>
      <c r="V1081" s="15"/>
      <c r="W1081" s="15"/>
      <c r="X1081" s="15"/>
      <c r="Y1081" s="15"/>
      <c r="Z1081" s="15"/>
    </row>
    <row r="1082" spans="1:26" x14ac:dyDescent="0.3">
      <c r="A1082" s="24">
        <v>7</v>
      </c>
      <c r="B1082" s="29">
        <v>1.2</v>
      </c>
      <c r="C1082" s="27" t="s">
        <v>1844</v>
      </c>
      <c r="D1082" s="17"/>
      <c r="E1082" s="17"/>
      <c r="F1082" s="17"/>
      <c r="G1082" s="17"/>
      <c r="H1082" s="17"/>
      <c r="I1082" s="17"/>
      <c r="J1082" s="17"/>
      <c r="K1082" s="17"/>
      <c r="L1082" s="15"/>
      <c r="M1082" s="15"/>
      <c r="N1082" s="15"/>
      <c r="O1082" s="15"/>
      <c r="P1082" s="15"/>
      <c r="Q1082" s="15"/>
      <c r="R1082" s="15"/>
      <c r="S1082" s="15"/>
      <c r="T1082" s="15"/>
      <c r="U1082" s="15"/>
      <c r="V1082" s="15"/>
      <c r="W1082" s="15"/>
      <c r="X1082" s="15"/>
      <c r="Y1082" s="15"/>
      <c r="Z1082" s="15"/>
    </row>
    <row r="1083" spans="1:26" x14ac:dyDescent="0.3">
      <c r="A1083" s="17"/>
      <c r="B1083" s="26" t="s">
        <v>1845</v>
      </c>
      <c r="C1083" s="27" t="s">
        <v>1846</v>
      </c>
      <c r="D1083" s="26" t="s">
        <v>1847</v>
      </c>
      <c r="E1083" s="26"/>
      <c r="F1083" s="24">
        <v>430</v>
      </c>
      <c r="G1083" s="24"/>
      <c r="H1083" s="24"/>
      <c r="I1083" s="24"/>
      <c r="J1083" s="24"/>
      <c r="K1083" s="24"/>
      <c r="L1083" s="15"/>
      <c r="M1083" s="15"/>
      <c r="N1083" s="15"/>
      <c r="O1083" s="15"/>
      <c r="P1083" s="15"/>
      <c r="Q1083" s="15"/>
      <c r="R1083" s="15"/>
      <c r="S1083" s="15"/>
      <c r="T1083" s="15"/>
      <c r="U1083" s="15"/>
      <c r="V1083" s="15"/>
      <c r="W1083" s="15"/>
      <c r="X1083" s="15"/>
      <c r="Y1083" s="15"/>
      <c r="Z1083" s="15"/>
    </row>
    <row r="1084" spans="1:26" x14ac:dyDescent="0.3">
      <c r="A1084" s="24">
        <v>8</v>
      </c>
      <c r="B1084" s="26" t="s">
        <v>1848</v>
      </c>
      <c r="C1084" s="27" t="s">
        <v>1849</v>
      </c>
      <c r="D1084" s="17"/>
      <c r="E1084" s="17"/>
      <c r="F1084" s="17"/>
      <c r="G1084" s="17"/>
      <c r="H1084" s="17"/>
      <c r="I1084" s="17"/>
      <c r="J1084" s="17"/>
      <c r="K1084" s="17"/>
      <c r="L1084" s="15"/>
      <c r="M1084" s="15"/>
      <c r="N1084" s="15"/>
      <c r="O1084" s="15"/>
      <c r="P1084" s="15"/>
      <c r="Q1084" s="15"/>
      <c r="R1084" s="15"/>
      <c r="S1084" s="15"/>
      <c r="T1084" s="15"/>
      <c r="U1084" s="15"/>
      <c r="V1084" s="15"/>
      <c r="W1084" s="15"/>
      <c r="X1084" s="15"/>
      <c r="Y1084" s="15"/>
      <c r="Z1084" s="15"/>
    </row>
    <row r="1085" spans="1:26" x14ac:dyDescent="0.3">
      <c r="A1085" s="25">
        <v>8.1</v>
      </c>
      <c r="B1085" s="26" t="s">
        <v>1850</v>
      </c>
      <c r="C1085" s="27" t="s">
        <v>1851</v>
      </c>
      <c r="D1085" s="26" t="s">
        <v>1852</v>
      </c>
      <c r="E1085" s="26"/>
      <c r="F1085" s="24">
        <v>2810</v>
      </c>
      <c r="G1085" s="24"/>
      <c r="H1085" s="24"/>
      <c r="I1085" s="24"/>
      <c r="J1085" s="24"/>
      <c r="K1085" s="24"/>
      <c r="L1085" s="15"/>
      <c r="M1085" s="15"/>
      <c r="N1085" s="15"/>
      <c r="O1085" s="15"/>
      <c r="P1085" s="15"/>
      <c r="Q1085" s="15"/>
      <c r="R1085" s="15"/>
      <c r="S1085" s="15"/>
      <c r="T1085" s="15"/>
      <c r="U1085" s="15"/>
      <c r="V1085" s="15"/>
      <c r="W1085" s="15"/>
      <c r="X1085" s="15"/>
      <c r="Y1085" s="15"/>
      <c r="Z1085" s="15"/>
    </row>
    <row r="1086" spans="1:26" x14ac:dyDescent="0.3">
      <c r="A1086" s="17"/>
      <c r="B1086" s="17"/>
      <c r="C1086" s="17"/>
      <c r="D1086" s="17"/>
      <c r="E1086" s="17"/>
      <c r="F1086" s="17"/>
      <c r="G1086" s="17"/>
      <c r="H1086" s="17"/>
      <c r="I1086" s="17"/>
      <c r="J1086" s="17"/>
      <c r="K1086" s="17"/>
      <c r="L1086" s="15"/>
      <c r="M1086" s="15"/>
      <c r="N1086" s="15"/>
      <c r="O1086" s="15"/>
      <c r="P1086" s="15"/>
      <c r="Q1086" s="15"/>
      <c r="R1086" s="15"/>
      <c r="S1086" s="15"/>
      <c r="T1086" s="15"/>
      <c r="U1086" s="15"/>
      <c r="V1086" s="15"/>
      <c r="W1086" s="15"/>
      <c r="X1086" s="15"/>
      <c r="Y1086" s="15"/>
      <c r="Z1086" s="15"/>
    </row>
    <row r="1087" spans="1:26" x14ac:dyDescent="0.3">
      <c r="A1087" s="17"/>
      <c r="B1087" s="17"/>
      <c r="C1087" s="27" t="s">
        <v>1853</v>
      </c>
      <c r="D1087" s="17"/>
      <c r="E1087" s="17"/>
      <c r="F1087" s="17"/>
      <c r="G1087" s="17"/>
      <c r="H1087" s="17"/>
      <c r="I1087" s="17"/>
      <c r="J1087" s="17"/>
      <c r="K1087" s="17"/>
      <c r="L1087" s="15"/>
      <c r="M1087" s="15"/>
      <c r="N1087" s="15"/>
      <c r="O1087" s="15"/>
      <c r="P1087" s="15"/>
      <c r="Q1087" s="15"/>
      <c r="R1087" s="15"/>
      <c r="S1087" s="15"/>
      <c r="T1087" s="15"/>
      <c r="U1087" s="15"/>
      <c r="V1087" s="15"/>
      <c r="W1087" s="15"/>
      <c r="X1087" s="15"/>
      <c r="Y1087" s="15"/>
      <c r="Z1087" s="15"/>
    </row>
    <row r="1088" spans="1:26" x14ac:dyDescent="0.3">
      <c r="A1088" s="17"/>
      <c r="B1088" s="17"/>
      <c r="C1088" s="17"/>
      <c r="D1088" s="17"/>
      <c r="E1088" s="17"/>
      <c r="F1088" s="17"/>
      <c r="G1088" s="17"/>
      <c r="H1088" s="17"/>
      <c r="I1088" s="17"/>
      <c r="J1088" s="17"/>
      <c r="K1088" s="17"/>
      <c r="L1088" s="15"/>
      <c r="M1088" s="15"/>
      <c r="N1088" s="15"/>
      <c r="O1088" s="15"/>
      <c r="P1088" s="15"/>
      <c r="Q1088" s="15"/>
      <c r="R1088" s="15"/>
      <c r="S1088" s="15"/>
      <c r="T1088" s="15"/>
      <c r="U1088" s="15"/>
      <c r="V1088" s="15"/>
      <c r="W1088" s="15"/>
      <c r="X1088" s="15"/>
      <c r="Y1088" s="15"/>
      <c r="Z1088" s="15"/>
    </row>
    <row r="1089" spans="1:26" x14ac:dyDescent="0.3">
      <c r="A1089" s="22"/>
      <c r="B1089" s="22"/>
      <c r="C1089" s="21" t="s">
        <v>1854</v>
      </c>
      <c r="D1089" s="22"/>
      <c r="E1089" s="22"/>
      <c r="F1089" s="22"/>
      <c r="G1089" s="22"/>
      <c r="H1089" s="22"/>
      <c r="I1089" s="22"/>
      <c r="J1089" s="22"/>
      <c r="K1089" s="22"/>
      <c r="L1089" s="15"/>
      <c r="M1089" s="15"/>
      <c r="N1089" s="15"/>
      <c r="O1089" s="15"/>
      <c r="P1089" s="15"/>
      <c r="Q1089" s="15"/>
      <c r="R1089" s="15"/>
      <c r="S1089" s="15"/>
      <c r="T1089" s="15"/>
      <c r="U1089" s="15"/>
      <c r="V1089" s="15"/>
      <c r="W1089" s="15"/>
      <c r="X1089" s="15"/>
      <c r="Y1089" s="15"/>
      <c r="Z1089" s="15"/>
    </row>
    <row r="1090" spans="1:26" x14ac:dyDescent="0.3">
      <c r="A1090" s="17"/>
      <c r="B1090" s="17"/>
      <c r="C1090" s="17"/>
      <c r="D1090" s="17"/>
      <c r="E1090" s="17"/>
      <c r="F1090" s="17"/>
      <c r="G1090" s="17"/>
      <c r="H1090" s="17"/>
      <c r="I1090" s="17"/>
      <c r="J1090" s="17"/>
      <c r="K1090" s="17"/>
      <c r="L1090" s="15"/>
      <c r="M1090" s="15"/>
      <c r="N1090" s="15"/>
      <c r="O1090" s="15"/>
      <c r="P1090" s="15"/>
      <c r="Q1090" s="15"/>
      <c r="R1090" s="15"/>
      <c r="S1090" s="15"/>
      <c r="T1090" s="15"/>
      <c r="U1090" s="15"/>
      <c r="V1090" s="15"/>
      <c r="W1090" s="15"/>
      <c r="X1090" s="15"/>
      <c r="Y1090" s="15"/>
      <c r="Z1090" s="15"/>
    </row>
    <row r="1091" spans="1:26" x14ac:dyDescent="0.3">
      <c r="A1091" s="20" t="s">
        <v>1855</v>
      </c>
      <c r="B1091" s="22"/>
      <c r="C1091" s="21" t="s">
        <v>1856</v>
      </c>
      <c r="D1091" s="22"/>
      <c r="E1091" s="22"/>
      <c r="F1091" s="22"/>
      <c r="G1091" s="22"/>
      <c r="H1091" s="22"/>
      <c r="I1091" s="22"/>
      <c r="J1091" s="22"/>
      <c r="K1091" s="22"/>
      <c r="L1091" s="15"/>
      <c r="M1091" s="15"/>
      <c r="N1091" s="15"/>
      <c r="O1091" s="15"/>
      <c r="P1091" s="15"/>
      <c r="Q1091" s="15"/>
      <c r="R1091" s="15"/>
      <c r="S1091" s="15"/>
      <c r="T1091" s="15"/>
      <c r="U1091" s="15"/>
      <c r="V1091" s="15"/>
      <c r="W1091" s="15"/>
      <c r="X1091" s="15"/>
      <c r="Y1091" s="15"/>
      <c r="Z1091" s="15"/>
    </row>
    <row r="1092" spans="1:26" x14ac:dyDescent="0.3">
      <c r="A1092" s="17"/>
      <c r="B1092" s="17"/>
      <c r="C1092" s="17"/>
      <c r="D1092" s="17"/>
      <c r="E1092" s="17"/>
      <c r="F1092" s="17"/>
      <c r="G1092" s="17"/>
      <c r="H1092" s="17"/>
      <c r="I1092" s="17"/>
      <c r="J1092" s="17"/>
      <c r="K1092" s="17"/>
      <c r="L1092" s="15"/>
      <c r="M1092" s="15"/>
      <c r="N1092" s="15"/>
      <c r="O1092" s="15"/>
      <c r="P1092" s="15"/>
      <c r="Q1092" s="15"/>
      <c r="R1092" s="15"/>
      <c r="S1092" s="15"/>
      <c r="T1092" s="15"/>
      <c r="U1092" s="15"/>
      <c r="V1092" s="15"/>
      <c r="W1092" s="15"/>
      <c r="X1092" s="15"/>
      <c r="Y1092" s="15"/>
      <c r="Z1092" s="15"/>
    </row>
    <row r="1093" spans="1:26" x14ac:dyDescent="0.3">
      <c r="A1093" s="17"/>
      <c r="B1093" s="17"/>
      <c r="C1093" s="35" t="s">
        <v>1857</v>
      </c>
      <c r="D1093" s="17"/>
      <c r="E1093" s="17"/>
      <c r="F1093" s="17"/>
      <c r="G1093" s="17"/>
      <c r="H1093" s="17"/>
      <c r="I1093" s="17"/>
      <c r="J1093" s="17"/>
      <c r="K1093" s="17"/>
      <c r="L1093" s="15"/>
      <c r="M1093" s="15"/>
      <c r="N1093" s="15"/>
      <c r="O1093" s="15"/>
      <c r="P1093" s="15"/>
      <c r="Q1093" s="15"/>
      <c r="R1093" s="15"/>
      <c r="S1093" s="15"/>
      <c r="T1093" s="15"/>
      <c r="U1093" s="15"/>
      <c r="V1093" s="15"/>
      <c r="W1093" s="15"/>
      <c r="X1093" s="15"/>
      <c r="Y1093" s="15"/>
      <c r="Z1093" s="15"/>
    </row>
    <row r="1094" spans="1:26" x14ac:dyDescent="0.3">
      <c r="A1094" s="17"/>
      <c r="B1094" s="17"/>
      <c r="C1094" s="17"/>
      <c r="D1094" s="17"/>
      <c r="E1094" s="17"/>
      <c r="F1094" s="17"/>
      <c r="G1094" s="17"/>
      <c r="H1094" s="17"/>
      <c r="I1094" s="17"/>
      <c r="J1094" s="17"/>
      <c r="K1094" s="17"/>
      <c r="L1094" s="15"/>
      <c r="M1094" s="15"/>
      <c r="N1094" s="15"/>
      <c r="O1094" s="15"/>
      <c r="P1094" s="15"/>
      <c r="Q1094" s="15"/>
      <c r="R1094" s="15"/>
      <c r="S1094" s="15"/>
      <c r="T1094" s="15"/>
      <c r="U1094" s="15"/>
      <c r="V1094" s="15"/>
      <c r="W1094" s="15"/>
      <c r="X1094" s="15"/>
      <c r="Y1094" s="15"/>
      <c r="Z1094" s="15"/>
    </row>
    <row r="1095" spans="1:26" x14ac:dyDescent="0.3">
      <c r="A1095" s="24">
        <v>1</v>
      </c>
      <c r="B1095" s="26" t="s">
        <v>1858</v>
      </c>
      <c r="C1095" s="35" t="s">
        <v>1859</v>
      </c>
      <c r="D1095" s="17"/>
      <c r="E1095" s="17"/>
      <c r="F1095" s="17"/>
      <c r="G1095" s="17"/>
      <c r="H1095" s="17"/>
      <c r="I1095" s="17"/>
      <c r="J1095" s="17"/>
      <c r="K1095" s="17"/>
      <c r="L1095" s="15"/>
      <c r="M1095" s="15"/>
      <c r="N1095" s="15"/>
      <c r="O1095" s="15"/>
      <c r="P1095" s="15"/>
      <c r="Q1095" s="15"/>
      <c r="R1095" s="15"/>
      <c r="S1095" s="15"/>
      <c r="T1095" s="15"/>
      <c r="U1095" s="15"/>
      <c r="V1095" s="15"/>
      <c r="W1095" s="15"/>
      <c r="X1095" s="15"/>
      <c r="Y1095" s="15"/>
      <c r="Z1095" s="15"/>
    </row>
    <row r="1096" spans="1:26" x14ac:dyDescent="0.3">
      <c r="A1096" s="25">
        <v>1.1000000000000001</v>
      </c>
      <c r="B1096" s="26" t="s">
        <v>1860</v>
      </c>
      <c r="C1096" s="17" t="s">
        <v>1861</v>
      </c>
      <c r="D1096" s="26" t="s">
        <v>1862</v>
      </c>
      <c r="E1096" s="26"/>
      <c r="F1096" s="24">
        <v>770</v>
      </c>
      <c r="G1096" s="24"/>
      <c r="H1096" s="24"/>
      <c r="I1096" s="24"/>
      <c r="J1096" s="24"/>
      <c r="K1096" s="24"/>
      <c r="L1096" s="15"/>
      <c r="M1096" s="15"/>
      <c r="N1096" s="15"/>
      <c r="O1096" s="15"/>
      <c r="P1096" s="15"/>
      <c r="Q1096" s="15"/>
      <c r="R1096" s="15"/>
      <c r="S1096" s="15"/>
      <c r="T1096" s="15"/>
      <c r="U1096" s="15"/>
      <c r="V1096" s="15"/>
      <c r="W1096" s="15"/>
      <c r="X1096" s="15"/>
      <c r="Y1096" s="15"/>
      <c r="Z1096" s="15"/>
    </row>
    <row r="1097" spans="1:26" x14ac:dyDescent="0.3">
      <c r="A1097" s="17"/>
      <c r="B1097" s="17"/>
      <c r="C1097" s="17"/>
      <c r="D1097" s="17"/>
      <c r="E1097" s="17"/>
      <c r="F1097" s="17"/>
      <c r="G1097" s="17"/>
      <c r="H1097" s="17"/>
      <c r="I1097" s="17"/>
      <c r="J1097" s="17"/>
      <c r="K1097" s="17"/>
      <c r="L1097" s="15"/>
      <c r="M1097" s="15"/>
      <c r="N1097" s="15"/>
      <c r="O1097" s="15"/>
      <c r="P1097" s="15"/>
      <c r="Q1097" s="15"/>
      <c r="R1097" s="15"/>
      <c r="S1097" s="15"/>
      <c r="T1097" s="15"/>
      <c r="U1097" s="15"/>
      <c r="V1097" s="15"/>
      <c r="W1097" s="15"/>
      <c r="X1097" s="15"/>
      <c r="Y1097" s="15"/>
      <c r="Z1097" s="15"/>
    </row>
    <row r="1098" spans="1:26" x14ac:dyDescent="0.3">
      <c r="A1098" s="25">
        <v>1.2</v>
      </c>
      <c r="B1098" s="26" t="s">
        <v>1863</v>
      </c>
      <c r="C1098" s="17" t="s">
        <v>1864</v>
      </c>
      <c r="D1098" s="26" t="s">
        <v>1865</v>
      </c>
      <c r="E1098" s="26"/>
      <c r="F1098" s="24">
        <v>111</v>
      </c>
      <c r="G1098" s="24"/>
      <c r="H1098" s="24"/>
      <c r="I1098" s="24"/>
      <c r="J1098" s="24"/>
      <c r="K1098" s="24"/>
      <c r="L1098" s="15"/>
      <c r="M1098" s="15"/>
      <c r="N1098" s="15"/>
      <c r="O1098" s="15"/>
      <c r="P1098" s="15"/>
      <c r="Q1098" s="15"/>
      <c r="R1098" s="15"/>
      <c r="S1098" s="15"/>
      <c r="T1098" s="15"/>
      <c r="U1098" s="15"/>
      <c r="V1098" s="15"/>
      <c r="W1098" s="15"/>
      <c r="X1098" s="15"/>
      <c r="Y1098" s="15"/>
      <c r="Z1098" s="15"/>
    </row>
    <row r="1099" spans="1:26" x14ac:dyDescent="0.3">
      <c r="A1099" s="17"/>
      <c r="B1099" s="17"/>
      <c r="C1099" s="17"/>
      <c r="D1099" s="17"/>
      <c r="E1099" s="17"/>
      <c r="F1099" s="17"/>
      <c r="G1099" s="17"/>
      <c r="H1099" s="17"/>
      <c r="I1099" s="17"/>
      <c r="J1099" s="17"/>
      <c r="K1099" s="17"/>
      <c r="L1099" s="15"/>
      <c r="M1099" s="15"/>
      <c r="N1099" s="15"/>
      <c r="O1099" s="15"/>
      <c r="P1099" s="15"/>
      <c r="Q1099" s="15"/>
      <c r="R1099" s="15"/>
      <c r="S1099" s="15"/>
      <c r="T1099" s="15"/>
      <c r="U1099" s="15"/>
      <c r="V1099" s="15"/>
      <c r="W1099" s="15"/>
      <c r="X1099" s="15"/>
      <c r="Y1099" s="15"/>
      <c r="Z1099" s="15"/>
    </row>
    <row r="1100" spans="1:26" x14ac:dyDescent="0.3">
      <c r="A1100" s="25">
        <v>1.3</v>
      </c>
      <c r="B1100" s="26" t="s">
        <v>1866</v>
      </c>
      <c r="C1100" s="17" t="s">
        <v>1867</v>
      </c>
      <c r="D1100" s="26" t="s">
        <v>1868</v>
      </c>
      <c r="E1100" s="26"/>
      <c r="F1100" s="24">
        <v>552</v>
      </c>
      <c r="G1100" s="24"/>
      <c r="H1100" s="24"/>
      <c r="I1100" s="24"/>
      <c r="J1100" s="24"/>
      <c r="K1100" s="24"/>
      <c r="L1100" s="15"/>
      <c r="M1100" s="15"/>
      <c r="N1100" s="15"/>
      <c r="O1100" s="15"/>
      <c r="P1100" s="15"/>
      <c r="Q1100" s="15"/>
      <c r="R1100" s="15"/>
      <c r="S1100" s="15"/>
      <c r="T1100" s="15"/>
      <c r="U1100" s="15"/>
      <c r="V1100" s="15"/>
      <c r="W1100" s="15"/>
      <c r="X1100" s="15"/>
      <c r="Y1100" s="15"/>
      <c r="Z1100" s="15"/>
    </row>
    <row r="1101" spans="1:26" x14ac:dyDescent="0.3">
      <c r="A1101" s="17"/>
      <c r="B1101" s="17"/>
      <c r="C1101" s="17"/>
      <c r="D1101" s="17"/>
      <c r="E1101" s="17"/>
      <c r="F1101" s="17"/>
      <c r="G1101" s="17"/>
      <c r="H1101" s="17"/>
      <c r="I1101" s="17"/>
      <c r="J1101" s="17"/>
      <c r="K1101" s="17"/>
      <c r="L1101" s="15"/>
      <c r="M1101" s="15"/>
      <c r="N1101" s="15"/>
      <c r="O1101" s="15"/>
      <c r="P1101" s="15"/>
      <c r="Q1101" s="15"/>
      <c r="R1101" s="15"/>
      <c r="S1101" s="15"/>
      <c r="T1101" s="15"/>
      <c r="U1101" s="15"/>
      <c r="V1101" s="15"/>
      <c r="W1101" s="15"/>
      <c r="X1101" s="15"/>
      <c r="Y1101" s="15"/>
      <c r="Z1101" s="15"/>
    </row>
    <row r="1102" spans="1:26" x14ac:dyDescent="0.3">
      <c r="A1102" s="25">
        <v>1.4</v>
      </c>
      <c r="B1102" s="26" t="s">
        <v>1869</v>
      </c>
      <c r="C1102" s="17" t="s">
        <v>1870</v>
      </c>
      <c r="D1102" s="26" t="s">
        <v>1871</v>
      </c>
      <c r="E1102" s="26"/>
      <c r="F1102" s="24">
        <v>80</v>
      </c>
      <c r="G1102" s="24"/>
      <c r="H1102" s="24"/>
      <c r="I1102" s="24"/>
      <c r="J1102" s="24"/>
      <c r="K1102" s="24"/>
      <c r="L1102" s="15"/>
      <c r="M1102" s="15"/>
      <c r="N1102" s="15"/>
      <c r="O1102" s="15"/>
      <c r="P1102" s="15"/>
      <c r="Q1102" s="15"/>
      <c r="R1102" s="15"/>
      <c r="S1102" s="15"/>
      <c r="T1102" s="15"/>
      <c r="U1102" s="15"/>
      <c r="V1102" s="15"/>
      <c r="W1102" s="15"/>
      <c r="X1102" s="15"/>
      <c r="Y1102" s="15"/>
      <c r="Z1102" s="15"/>
    </row>
    <row r="1103" spans="1:26" x14ac:dyDescent="0.3">
      <c r="A1103" s="17"/>
      <c r="B1103" s="17"/>
      <c r="C1103" s="17"/>
      <c r="D1103" s="17"/>
      <c r="E1103" s="17"/>
      <c r="F1103" s="17"/>
      <c r="G1103" s="17"/>
      <c r="H1103" s="17"/>
      <c r="I1103" s="17"/>
      <c r="J1103" s="17"/>
      <c r="K1103" s="17"/>
      <c r="L1103" s="15"/>
      <c r="M1103" s="15"/>
      <c r="N1103" s="15"/>
      <c r="O1103" s="15"/>
      <c r="P1103" s="15"/>
      <c r="Q1103" s="15"/>
      <c r="R1103" s="15"/>
      <c r="S1103" s="15"/>
      <c r="T1103" s="15"/>
      <c r="U1103" s="15"/>
      <c r="V1103" s="15"/>
      <c r="W1103" s="15"/>
      <c r="X1103" s="15"/>
      <c r="Y1103" s="15"/>
      <c r="Z1103" s="15"/>
    </row>
    <row r="1104" spans="1:26" x14ac:dyDescent="0.3">
      <c r="A1104" s="24">
        <v>2</v>
      </c>
      <c r="B1104" s="17"/>
      <c r="C1104" s="35" t="s">
        <v>1872</v>
      </c>
      <c r="D1104" s="17"/>
      <c r="E1104" s="17"/>
      <c r="F1104" s="17"/>
      <c r="G1104" s="17"/>
      <c r="H1104" s="17"/>
      <c r="I1104" s="17"/>
      <c r="J1104" s="17"/>
      <c r="K1104" s="17"/>
      <c r="L1104" s="15"/>
      <c r="M1104" s="15"/>
      <c r="N1104" s="15"/>
      <c r="O1104" s="15"/>
      <c r="P1104" s="15"/>
      <c r="Q1104" s="15"/>
      <c r="R1104" s="15"/>
      <c r="S1104" s="15"/>
      <c r="T1104" s="15"/>
      <c r="U1104" s="15"/>
      <c r="V1104" s="15"/>
      <c r="W1104" s="15"/>
      <c r="X1104" s="15"/>
      <c r="Y1104" s="15"/>
      <c r="Z1104" s="15"/>
    </row>
    <row r="1105" spans="1:26" x14ac:dyDescent="0.3">
      <c r="A1105" s="25">
        <v>2.1</v>
      </c>
      <c r="B1105" s="26" t="s">
        <v>1873</v>
      </c>
      <c r="C1105" s="17" t="s">
        <v>1874</v>
      </c>
      <c r="D1105" s="26" t="s">
        <v>1875</v>
      </c>
      <c r="E1105" s="26"/>
      <c r="F1105" s="24">
        <v>229</v>
      </c>
      <c r="G1105" s="24"/>
      <c r="H1105" s="24"/>
      <c r="I1105" s="24"/>
      <c r="J1105" s="24"/>
      <c r="K1105" s="24"/>
      <c r="L1105" s="15"/>
      <c r="M1105" s="15"/>
      <c r="N1105" s="15"/>
      <c r="O1105" s="15"/>
      <c r="P1105" s="15"/>
      <c r="Q1105" s="15"/>
      <c r="R1105" s="15"/>
      <c r="S1105" s="15"/>
      <c r="T1105" s="15"/>
      <c r="U1105" s="15"/>
      <c r="V1105" s="15"/>
      <c r="W1105" s="15"/>
      <c r="X1105" s="15"/>
      <c r="Y1105" s="15"/>
      <c r="Z1105" s="15"/>
    </row>
    <row r="1106" spans="1:26" x14ac:dyDescent="0.3">
      <c r="A1106" s="17"/>
      <c r="B1106" s="17"/>
      <c r="C1106" s="17"/>
      <c r="D1106" s="17"/>
      <c r="E1106" s="17"/>
      <c r="F1106" s="17"/>
      <c r="G1106" s="17"/>
      <c r="H1106" s="17"/>
      <c r="I1106" s="17"/>
      <c r="J1106" s="17"/>
      <c r="K1106" s="17"/>
      <c r="L1106" s="15"/>
      <c r="M1106" s="15"/>
      <c r="N1106" s="15"/>
      <c r="O1106" s="15"/>
      <c r="P1106" s="15"/>
      <c r="Q1106" s="15"/>
      <c r="R1106" s="15"/>
      <c r="S1106" s="15"/>
      <c r="T1106" s="15"/>
      <c r="U1106" s="15"/>
      <c r="V1106" s="15"/>
      <c r="W1106" s="15"/>
      <c r="X1106" s="15"/>
      <c r="Y1106" s="15"/>
      <c r="Z1106" s="15"/>
    </row>
    <row r="1107" spans="1:26" x14ac:dyDescent="0.3">
      <c r="A1107" s="25">
        <v>2.2000000000000002</v>
      </c>
      <c r="B1107" s="26" t="s">
        <v>1876</v>
      </c>
      <c r="C1107" s="17" t="s">
        <v>1877</v>
      </c>
      <c r="D1107" s="26" t="s">
        <v>1878</v>
      </c>
      <c r="E1107" s="26"/>
      <c r="F1107" s="24">
        <v>92</v>
      </c>
      <c r="G1107" s="24"/>
      <c r="H1107" s="24"/>
      <c r="I1107" s="24"/>
      <c r="J1107" s="24"/>
      <c r="K1107" s="24"/>
      <c r="L1107" s="15"/>
      <c r="M1107" s="15"/>
      <c r="N1107" s="15"/>
      <c r="O1107" s="15"/>
      <c r="P1107" s="15"/>
      <c r="Q1107" s="15"/>
      <c r="R1107" s="15"/>
      <c r="S1107" s="15"/>
      <c r="T1107" s="15"/>
      <c r="U1107" s="15"/>
      <c r="V1107" s="15"/>
      <c r="W1107" s="15"/>
      <c r="X1107" s="15"/>
      <c r="Y1107" s="15"/>
      <c r="Z1107" s="15"/>
    </row>
    <row r="1108" spans="1:26" x14ac:dyDescent="0.3">
      <c r="A1108" s="17"/>
      <c r="B1108" s="17"/>
      <c r="C1108" s="17"/>
      <c r="D1108" s="17"/>
      <c r="E1108" s="17"/>
      <c r="F1108" s="17"/>
      <c r="G1108" s="17"/>
      <c r="H1108" s="17"/>
      <c r="I1108" s="17"/>
      <c r="J1108" s="17"/>
      <c r="K1108" s="17"/>
      <c r="L1108" s="15"/>
      <c r="M1108" s="15"/>
      <c r="N1108" s="15"/>
      <c r="O1108" s="15"/>
      <c r="P1108" s="15"/>
      <c r="Q1108" s="15"/>
      <c r="R1108" s="15"/>
      <c r="S1108" s="15"/>
      <c r="T1108" s="15"/>
      <c r="U1108" s="15"/>
      <c r="V1108" s="15"/>
      <c r="W1108" s="15"/>
      <c r="X1108" s="15"/>
      <c r="Y1108" s="15"/>
      <c r="Z1108" s="15"/>
    </row>
    <row r="1109" spans="1:26" x14ac:dyDescent="0.3">
      <c r="A1109" s="25">
        <v>2.2999999999999998</v>
      </c>
      <c r="B1109" s="26" t="s">
        <v>1879</v>
      </c>
      <c r="C1109" s="17" t="s">
        <v>1880</v>
      </c>
      <c r="D1109" s="26" t="s">
        <v>1881</v>
      </c>
      <c r="E1109" s="26"/>
      <c r="F1109" s="24">
        <v>4</v>
      </c>
      <c r="G1109" s="24"/>
      <c r="H1109" s="24"/>
      <c r="I1109" s="24"/>
      <c r="J1109" s="24"/>
      <c r="K1109" s="24"/>
      <c r="L1109" s="15"/>
      <c r="M1109" s="15"/>
      <c r="N1109" s="15"/>
      <c r="O1109" s="15"/>
      <c r="P1109" s="15"/>
      <c r="Q1109" s="15"/>
      <c r="R1109" s="15"/>
      <c r="S1109" s="15"/>
      <c r="T1109" s="15"/>
      <c r="U1109" s="15"/>
      <c r="V1109" s="15"/>
      <c r="W1109" s="15"/>
      <c r="X1109" s="15"/>
      <c r="Y1109" s="15"/>
      <c r="Z1109" s="15"/>
    </row>
    <row r="1110" spans="1:26" x14ac:dyDescent="0.3">
      <c r="A1110" s="17"/>
      <c r="B1110" s="17"/>
      <c r="C1110" s="17"/>
      <c r="D1110" s="17"/>
      <c r="E1110" s="17"/>
      <c r="F1110" s="17"/>
      <c r="G1110" s="17"/>
      <c r="H1110" s="17"/>
      <c r="I1110" s="17"/>
      <c r="J1110" s="17"/>
      <c r="K1110" s="17"/>
      <c r="L1110" s="15"/>
      <c r="M1110" s="15"/>
      <c r="N1110" s="15"/>
      <c r="O1110" s="15"/>
      <c r="P1110" s="15"/>
      <c r="Q1110" s="15"/>
      <c r="R1110" s="15"/>
      <c r="S1110" s="15"/>
      <c r="T1110" s="15"/>
      <c r="U1110" s="15"/>
      <c r="V1110" s="15"/>
      <c r="W1110" s="15"/>
      <c r="X1110" s="15"/>
      <c r="Y1110" s="15"/>
      <c r="Z1110" s="15"/>
    </row>
    <row r="1111" spans="1:26" x14ac:dyDescent="0.3">
      <c r="A1111" s="24">
        <v>3</v>
      </c>
      <c r="B1111" s="26" t="s">
        <v>1882</v>
      </c>
      <c r="C1111" s="35" t="s">
        <v>1883</v>
      </c>
      <c r="D1111" s="17"/>
      <c r="E1111" s="17"/>
      <c r="F1111" s="17"/>
      <c r="G1111" s="17"/>
      <c r="H1111" s="17"/>
      <c r="I1111" s="17"/>
      <c r="J1111" s="17"/>
      <c r="K1111" s="17"/>
      <c r="L1111" s="15"/>
      <c r="M1111" s="15"/>
      <c r="N1111" s="15"/>
      <c r="O1111" s="15"/>
      <c r="P1111" s="15"/>
      <c r="Q1111" s="15"/>
      <c r="R1111" s="15"/>
      <c r="S1111" s="15"/>
      <c r="T1111" s="15"/>
      <c r="U1111" s="15"/>
      <c r="V1111" s="15"/>
      <c r="W1111" s="15"/>
      <c r="X1111" s="15"/>
      <c r="Y1111" s="15"/>
      <c r="Z1111" s="15"/>
    </row>
    <row r="1112" spans="1:26" x14ac:dyDescent="0.3">
      <c r="A1112" s="17"/>
      <c r="B1112" s="17"/>
      <c r="C1112" s="17" t="s">
        <v>1884</v>
      </c>
      <c r="D1112" s="17"/>
      <c r="E1112" s="17"/>
      <c r="F1112" s="17"/>
      <c r="G1112" s="17"/>
      <c r="H1112" s="17"/>
      <c r="I1112" s="17"/>
      <c r="J1112" s="17"/>
      <c r="K1112" s="17"/>
      <c r="L1112" s="15"/>
      <c r="M1112" s="15"/>
      <c r="N1112" s="15"/>
      <c r="O1112" s="15"/>
      <c r="P1112" s="15"/>
      <c r="Q1112" s="15"/>
      <c r="R1112" s="15"/>
      <c r="S1112" s="15"/>
      <c r="T1112" s="15"/>
      <c r="U1112" s="15"/>
      <c r="V1112" s="15"/>
      <c r="W1112" s="15"/>
      <c r="X1112" s="15"/>
      <c r="Y1112" s="15"/>
      <c r="Z1112" s="15"/>
    </row>
    <row r="1113" spans="1:26" x14ac:dyDescent="0.3">
      <c r="A1113" s="17"/>
      <c r="B1113" s="17"/>
      <c r="C1113" s="17" t="s">
        <v>1885</v>
      </c>
      <c r="D1113" s="26" t="s">
        <v>1886</v>
      </c>
      <c r="E1113" s="26"/>
      <c r="F1113" s="24">
        <v>3</v>
      </c>
      <c r="G1113" s="24"/>
      <c r="H1113" s="24"/>
      <c r="I1113" s="24"/>
      <c r="J1113" s="24"/>
      <c r="K1113" s="24"/>
      <c r="L1113" s="15"/>
      <c r="M1113" s="15"/>
      <c r="N1113" s="15"/>
      <c r="O1113" s="15"/>
      <c r="P1113" s="15"/>
      <c r="Q1113" s="15"/>
      <c r="R1113" s="15"/>
      <c r="S1113" s="15"/>
      <c r="T1113" s="15"/>
      <c r="U1113" s="15"/>
      <c r="V1113" s="15"/>
      <c r="W1113" s="15"/>
      <c r="X1113" s="15"/>
      <c r="Y1113" s="15"/>
      <c r="Z1113" s="15"/>
    </row>
    <row r="1114" spans="1:26" x14ac:dyDescent="0.3">
      <c r="A1114" s="17"/>
      <c r="B1114" s="17"/>
      <c r="C1114" s="17"/>
      <c r="D1114" s="17"/>
      <c r="E1114" s="17"/>
      <c r="F1114" s="17"/>
      <c r="G1114" s="17"/>
      <c r="H1114" s="17"/>
      <c r="I1114" s="17"/>
      <c r="J1114" s="17"/>
      <c r="K1114" s="17"/>
      <c r="L1114" s="15"/>
      <c r="M1114" s="15"/>
      <c r="N1114" s="15"/>
      <c r="O1114" s="15"/>
      <c r="P1114" s="15"/>
      <c r="Q1114" s="15"/>
      <c r="R1114" s="15"/>
      <c r="S1114" s="15"/>
      <c r="T1114" s="15"/>
      <c r="U1114" s="15"/>
      <c r="V1114" s="15"/>
      <c r="W1114" s="15"/>
      <c r="X1114" s="15"/>
      <c r="Y1114" s="15"/>
      <c r="Z1114" s="15"/>
    </row>
    <row r="1115" spans="1:26" x14ac:dyDescent="0.3">
      <c r="A1115" s="24">
        <v>4</v>
      </c>
      <c r="B1115" s="26" t="s">
        <v>1887</v>
      </c>
      <c r="C1115" s="17" t="s">
        <v>1888</v>
      </c>
      <c r="D1115" s="26" t="s">
        <v>1889</v>
      </c>
      <c r="E1115" s="26"/>
      <c r="F1115" s="24">
        <v>3</v>
      </c>
      <c r="G1115" s="24"/>
      <c r="H1115" s="24"/>
      <c r="I1115" s="24"/>
      <c r="J1115" s="24"/>
      <c r="K1115" s="24"/>
      <c r="L1115" s="15"/>
      <c r="M1115" s="15"/>
      <c r="N1115" s="15"/>
      <c r="O1115" s="15"/>
      <c r="P1115" s="15"/>
      <c r="Q1115" s="15"/>
      <c r="R1115" s="15"/>
      <c r="S1115" s="15"/>
      <c r="T1115" s="15"/>
      <c r="U1115" s="15"/>
      <c r="V1115" s="15"/>
      <c r="W1115" s="15"/>
      <c r="X1115" s="15"/>
      <c r="Y1115" s="15"/>
      <c r="Z1115" s="15"/>
    </row>
    <row r="1116" spans="1:26" x14ac:dyDescent="0.3">
      <c r="A1116" s="17"/>
      <c r="B1116" s="17"/>
      <c r="C1116" s="17"/>
      <c r="D1116" s="17"/>
      <c r="E1116" s="17"/>
      <c r="F1116" s="17"/>
      <c r="G1116" s="17"/>
      <c r="H1116" s="17"/>
      <c r="I1116" s="17"/>
      <c r="J1116" s="17"/>
      <c r="K1116" s="17"/>
      <c r="L1116" s="15"/>
      <c r="M1116" s="15"/>
      <c r="N1116" s="15"/>
      <c r="O1116" s="15"/>
      <c r="P1116" s="15"/>
      <c r="Q1116" s="15"/>
      <c r="R1116" s="15"/>
      <c r="S1116" s="15"/>
      <c r="T1116" s="15"/>
      <c r="U1116" s="15"/>
      <c r="V1116" s="15"/>
      <c r="W1116" s="15"/>
      <c r="X1116" s="15"/>
      <c r="Y1116" s="15"/>
      <c r="Z1116" s="15"/>
    </row>
    <row r="1117" spans="1:26" x14ac:dyDescent="0.3">
      <c r="A1117" s="24">
        <v>5</v>
      </c>
      <c r="B1117" s="26" t="s">
        <v>1890</v>
      </c>
      <c r="C1117" s="17" t="s">
        <v>1891</v>
      </c>
      <c r="D1117" s="26" t="s">
        <v>1892</v>
      </c>
      <c r="E1117" s="26"/>
      <c r="F1117" s="24">
        <v>9</v>
      </c>
      <c r="G1117" s="24"/>
      <c r="H1117" s="24"/>
      <c r="I1117" s="24"/>
      <c r="J1117" s="24"/>
      <c r="K1117" s="24"/>
      <c r="L1117" s="15"/>
      <c r="M1117" s="15"/>
      <c r="N1117" s="15"/>
      <c r="O1117" s="15"/>
      <c r="P1117" s="15"/>
      <c r="Q1117" s="15"/>
      <c r="R1117" s="15"/>
      <c r="S1117" s="15"/>
      <c r="T1117" s="15"/>
      <c r="U1117" s="15"/>
      <c r="V1117" s="15"/>
      <c r="W1117" s="15"/>
      <c r="X1117" s="15"/>
      <c r="Y1117" s="15"/>
      <c r="Z1117" s="15"/>
    </row>
    <row r="1118" spans="1:26" x14ac:dyDescent="0.3">
      <c r="A1118" s="17"/>
      <c r="B1118" s="17"/>
      <c r="C1118" s="17"/>
      <c r="D1118" s="17"/>
      <c r="E1118" s="17"/>
      <c r="F1118" s="17"/>
      <c r="G1118" s="17"/>
      <c r="H1118" s="17"/>
      <c r="I1118" s="17"/>
      <c r="J1118" s="17"/>
      <c r="K1118" s="17"/>
      <c r="L1118" s="15"/>
      <c r="M1118" s="15"/>
      <c r="N1118" s="15"/>
      <c r="O1118" s="15"/>
      <c r="P1118" s="15"/>
      <c r="Q1118" s="15"/>
      <c r="R1118" s="15"/>
      <c r="S1118" s="15"/>
      <c r="T1118" s="15"/>
      <c r="U1118" s="15"/>
      <c r="V1118" s="15"/>
      <c r="W1118" s="15"/>
      <c r="X1118" s="15"/>
      <c r="Y1118" s="15"/>
      <c r="Z1118" s="15"/>
    </row>
    <row r="1119" spans="1:26" x14ac:dyDescent="0.3">
      <c r="A1119" s="24">
        <v>6</v>
      </c>
      <c r="B1119" s="26" t="s">
        <v>1893</v>
      </c>
      <c r="C1119" s="17" t="s">
        <v>1894</v>
      </c>
      <c r="D1119" s="26" t="s">
        <v>1895</v>
      </c>
      <c r="E1119" s="26"/>
      <c r="F1119" s="24">
        <v>1</v>
      </c>
      <c r="G1119" s="24"/>
      <c r="H1119" s="24"/>
      <c r="I1119" s="24"/>
      <c r="J1119" s="24"/>
      <c r="K1119" s="24"/>
      <c r="L1119" s="15"/>
      <c r="M1119" s="15"/>
      <c r="N1119" s="15"/>
      <c r="O1119" s="15"/>
      <c r="P1119" s="15"/>
      <c r="Q1119" s="15"/>
      <c r="R1119" s="15"/>
      <c r="S1119" s="15"/>
      <c r="T1119" s="15"/>
      <c r="U1119" s="15"/>
      <c r="V1119" s="15"/>
      <c r="W1119" s="15"/>
      <c r="X1119" s="15"/>
      <c r="Y1119" s="15"/>
      <c r="Z1119" s="15"/>
    </row>
    <row r="1120" spans="1:26" x14ac:dyDescent="0.3">
      <c r="A1120" s="17"/>
      <c r="B1120" s="17"/>
      <c r="C1120" s="17"/>
      <c r="D1120" s="17"/>
      <c r="E1120" s="17"/>
      <c r="F1120" s="17"/>
      <c r="G1120" s="17"/>
      <c r="H1120" s="17"/>
      <c r="I1120" s="17"/>
      <c r="J1120" s="17"/>
      <c r="K1120" s="17"/>
      <c r="L1120" s="15"/>
      <c r="M1120" s="15"/>
      <c r="N1120" s="15"/>
      <c r="O1120" s="15"/>
      <c r="P1120" s="15"/>
      <c r="Q1120" s="15"/>
      <c r="R1120" s="15"/>
      <c r="S1120" s="15"/>
      <c r="T1120" s="15"/>
      <c r="U1120" s="15"/>
      <c r="V1120" s="15"/>
      <c r="W1120" s="15"/>
      <c r="X1120" s="15"/>
      <c r="Y1120" s="15"/>
      <c r="Z1120" s="15"/>
    </row>
    <row r="1121" spans="1:26" x14ac:dyDescent="0.3">
      <c r="A1121" s="24">
        <v>7</v>
      </c>
      <c r="B1121" s="26" t="s">
        <v>1896</v>
      </c>
      <c r="C1121" s="27" t="s">
        <v>1897</v>
      </c>
      <c r="D1121" s="26" t="s">
        <v>1898</v>
      </c>
      <c r="E1121" s="26"/>
      <c r="F1121" s="24">
        <v>25600</v>
      </c>
      <c r="G1121" s="24"/>
      <c r="H1121" s="24"/>
      <c r="I1121" s="24"/>
      <c r="J1121" s="24"/>
      <c r="K1121" s="24"/>
      <c r="L1121" s="15"/>
      <c r="M1121" s="15"/>
      <c r="N1121" s="15"/>
      <c r="O1121" s="15"/>
      <c r="P1121" s="15"/>
      <c r="Q1121" s="15"/>
      <c r="R1121" s="15"/>
      <c r="S1121" s="15"/>
      <c r="T1121" s="15"/>
      <c r="U1121" s="15"/>
      <c r="V1121" s="15"/>
      <c r="W1121" s="15"/>
      <c r="X1121" s="15"/>
      <c r="Y1121" s="15"/>
      <c r="Z1121" s="15"/>
    </row>
    <row r="1122" spans="1:26" x14ac:dyDescent="0.3">
      <c r="A1122" s="17"/>
      <c r="B1122" s="17"/>
      <c r="C1122" s="17"/>
      <c r="D1122" s="17"/>
      <c r="E1122" s="17"/>
      <c r="F1122" s="17"/>
      <c r="G1122" s="17"/>
      <c r="H1122" s="17"/>
      <c r="I1122" s="17"/>
      <c r="J1122" s="17"/>
      <c r="K1122" s="17"/>
      <c r="L1122" s="15"/>
      <c r="M1122" s="15"/>
      <c r="N1122" s="15"/>
      <c r="O1122" s="15"/>
      <c r="P1122" s="15"/>
      <c r="Q1122" s="15"/>
      <c r="R1122" s="15"/>
      <c r="S1122" s="15"/>
      <c r="T1122" s="15"/>
      <c r="U1122" s="15"/>
      <c r="V1122" s="15"/>
      <c r="W1122" s="15"/>
      <c r="X1122" s="15"/>
      <c r="Y1122" s="15"/>
      <c r="Z1122" s="15"/>
    </row>
    <row r="1123" spans="1:26" x14ac:dyDescent="0.3">
      <c r="A1123" s="17"/>
      <c r="B1123" s="17"/>
      <c r="C1123" s="27" t="s">
        <v>1899</v>
      </c>
      <c r="D1123" s="17"/>
      <c r="E1123" s="17"/>
      <c r="F1123" s="17"/>
      <c r="G1123" s="17"/>
      <c r="H1123" s="17"/>
      <c r="I1123" s="17"/>
      <c r="J1123" s="17"/>
      <c r="K1123" s="17"/>
      <c r="L1123" s="15"/>
      <c r="M1123" s="15"/>
      <c r="N1123" s="15"/>
      <c r="O1123" s="15"/>
      <c r="P1123" s="15"/>
      <c r="Q1123" s="15"/>
      <c r="R1123" s="15"/>
      <c r="S1123" s="15"/>
      <c r="T1123" s="15"/>
      <c r="U1123" s="15"/>
      <c r="V1123" s="15"/>
      <c r="W1123" s="15"/>
      <c r="X1123" s="15"/>
      <c r="Y1123" s="15"/>
      <c r="Z1123" s="15"/>
    </row>
    <row r="1124" spans="1:26" x14ac:dyDescent="0.3">
      <c r="A1124" s="17"/>
      <c r="B1124" s="17"/>
      <c r="C1124" s="17"/>
      <c r="D1124" s="17"/>
      <c r="E1124" s="17"/>
      <c r="F1124" s="17"/>
      <c r="G1124" s="17"/>
      <c r="H1124" s="17"/>
      <c r="I1124" s="17"/>
      <c r="J1124" s="17"/>
      <c r="K1124" s="17"/>
      <c r="L1124" s="15"/>
      <c r="M1124" s="15"/>
      <c r="N1124" s="15"/>
      <c r="O1124" s="15"/>
      <c r="P1124" s="15"/>
      <c r="Q1124" s="15"/>
      <c r="R1124" s="15"/>
      <c r="S1124" s="15"/>
      <c r="T1124" s="15"/>
      <c r="U1124" s="15"/>
      <c r="V1124" s="15"/>
      <c r="W1124" s="15"/>
      <c r="X1124" s="15"/>
      <c r="Y1124" s="15"/>
      <c r="Z1124" s="15"/>
    </row>
    <row r="1125" spans="1:26" x14ac:dyDescent="0.3">
      <c r="A1125" s="22"/>
      <c r="B1125" s="22"/>
      <c r="C1125" s="21" t="s">
        <v>1900</v>
      </c>
      <c r="D1125" s="22"/>
      <c r="E1125" s="22"/>
      <c r="F1125" s="22"/>
      <c r="G1125" s="22"/>
      <c r="H1125" s="22"/>
      <c r="I1125" s="22"/>
      <c r="J1125" s="22"/>
      <c r="K1125" s="22"/>
      <c r="L1125" s="15"/>
      <c r="M1125" s="15"/>
      <c r="N1125" s="15"/>
      <c r="O1125" s="15"/>
      <c r="P1125" s="15"/>
      <c r="Q1125" s="15"/>
      <c r="R1125" s="15"/>
      <c r="S1125" s="15"/>
      <c r="T1125" s="15"/>
      <c r="U1125" s="15"/>
      <c r="V1125" s="15"/>
      <c r="W1125" s="15"/>
      <c r="X1125" s="15"/>
      <c r="Y1125" s="15"/>
      <c r="Z1125" s="15"/>
    </row>
    <row r="1126" spans="1:26" x14ac:dyDescent="0.3">
      <c r="A1126" s="17"/>
      <c r="B1126" s="17"/>
      <c r="C1126" s="17"/>
      <c r="D1126" s="17"/>
      <c r="E1126" s="17"/>
      <c r="F1126" s="17"/>
      <c r="G1126" s="17"/>
      <c r="H1126" s="17"/>
      <c r="I1126" s="17"/>
      <c r="J1126" s="17"/>
      <c r="K1126" s="17"/>
      <c r="L1126" s="15"/>
      <c r="M1126" s="15"/>
      <c r="N1126" s="15"/>
      <c r="O1126" s="15"/>
      <c r="P1126" s="15"/>
      <c r="Q1126" s="15"/>
      <c r="R1126" s="15"/>
      <c r="S1126" s="15"/>
      <c r="T1126" s="15"/>
      <c r="U1126" s="15"/>
      <c r="V1126" s="15"/>
      <c r="W1126" s="15"/>
      <c r="X1126" s="15"/>
      <c r="Y1126" s="15"/>
      <c r="Z1126" s="15"/>
    </row>
    <row r="1127" spans="1:26" x14ac:dyDescent="0.3">
      <c r="A1127" s="17"/>
      <c r="B1127" s="17"/>
      <c r="C1127" s="45" t="s">
        <v>1901</v>
      </c>
      <c r="D1127" s="17"/>
      <c r="E1127" s="17"/>
      <c r="F1127" s="17"/>
      <c r="G1127" s="17"/>
      <c r="H1127" s="17"/>
      <c r="I1127" s="17"/>
      <c r="J1127" s="17"/>
      <c r="K1127" s="17"/>
      <c r="L1127" s="15"/>
      <c r="M1127" s="15"/>
      <c r="N1127" s="15"/>
      <c r="O1127" s="15"/>
      <c r="P1127" s="15"/>
      <c r="Q1127" s="15"/>
      <c r="R1127" s="15"/>
      <c r="S1127" s="15"/>
      <c r="T1127" s="15"/>
      <c r="U1127" s="15"/>
      <c r="V1127" s="15"/>
      <c r="W1127" s="15"/>
      <c r="X1127" s="15"/>
      <c r="Y1127" s="15"/>
      <c r="Z1127" s="15"/>
    </row>
    <row r="1128" spans="1:26" x14ac:dyDescent="0.3">
      <c r="A1128" s="17"/>
      <c r="B1128" s="17"/>
      <c r="C1128" s="17"/>
      <c r="D1128" s="17"/>
      <c r="E1128" s="17"/>
      <c r="F1128" s="17"/>
      <c r="G1128" s="17"/>
      <c r="H1128" s="17"/>
      <c r="I1128" s="17"/>
      <c r="J1128" s="17"/>
      <c r="K1128" s="17"/>
      <c r="L1128" s="15"/>
      <c r="M1128" s="15"/>
      <c r="N1128" s="15"/>
      <c r="O1128" s="15"/>
      <c r="P1128" s="15"/>
      <c r="Q1128" s="15"/>
      <c r="R1128" s="15"/>
      <c r="S1128" s="15"/>
      <c r="T1128" s="15"/>
      <c r="U1128" s="15"/>
      <c r="V1128" s="15"/>
      <c r="W1128" s="15"/>
      <c r="X1128" s="15"/>
      <c r="Y1128" s="15"/>
      <c r="Z1128" s="15"/>
    </row>
    <row r="1129" spans="1:26" x14ac:dyDescent="0.3">
      <c r="A1129" s="20" t="s">
        <v>1902</v>
      </c>
      <c r="B1129" s="22"/>
      <c r="C1129" s="21" t="s">
        <v>1903</v>
      </c>
      <c r="D1129" s="22"/>
      <c r="E1129" s="22"/>
      <c r="F1129" s="22"/>
      <c r="G1129" s="22"/>
      <c r="H1129" s="22"/>
      <c r="I1129" s="22"/>
      <c r="J1129" s="22"/>
      <c r="K1129" s="22"/>
      <c r="L1129" s="15"/>
      <c r="M1129" s="15"/>
      <c r="N1129" s="15"/>
      <c r="O1129" s="15"/>
      <c r="P1129" s="15"/>
      <c r="Q1129" s="15"/>
      <c r="R1129" s="15"/>
      <c r="S1129" s="15"/>
      <c r="T1129" s="15"/>
      <c r="U1129" s="15"/>
      <c r="V1129" s="15"/>
      <c r="W1129" s="15"/>
      <c r="X1129" s="15"/>
      <c r="Y1129" s="15"/>
      <c r="Z1129" s="15"/>
    </row>
    <row r="1130" spans="1:26" x14ac:dyDescent="0.3">
      <c r="A1130" s="17"/>
      <c r="B1130" s="17"/>
      <c r="C1130" s="17"/>
      <c r="D1130" s="17"/>
      <c r="E1130" s="17"/>
      <c r="F1130" s="17"/>
      <c r="G1130" s="17"/>
      <c r="H1130" s="17"/>
      <c r="I1130" s="17"/>
      <c r="J1130" s="17"/>
      <c r="K1130" s="17"/>
      <c r="L1130" s="15"/>
      <c r="M1130" s="15"/>
      <c r="N1130" s="15"/>
      <c r="O1130" s="15"/>
      <c r="P1130" s="15"/>
      <c r="Q1130" s="15"/>
      <c r="R1130" s="15"/>
      <c r="S1130" s="15"/>
      <c r="T1130" s="15"/>
      <c r="U1130" s="15"/>
      <c r="V1130" s="15"/>
      <c r="W1130" s="15"/>
      <c r="X1130" s="15"/>
      <c r="Y1130" s="15"/>
      <c r="Z1130" s="15"/>
    </row>
    <row r="1131" spans="1:26" x14ac:dyDescent="0.3">
      <c r="A1131" s="24">
        <v>1</v>
      </c>
      <c r="B1131" s="26" t="s">
        <v>1904</v>
      </c>
      <c r="C1131" s="35" t="s">
        <v>1905</v>
      </c>
      <c r="D1131" s="17"/>
      <c r="E1131" s="17"/>
      <c r="F1131" s="17"/>
      <c r="G1131" s="17"/>
      <c r="H1131" s="17"/>
      <c r="I1131" s="17"/>
      <c r="J1131" s="17"/>
      <c r="K1131" s="17"/>
      <c r="L1131" s="15"/>
      <c r="M1131" s="15"/>
      <c r="N1131" s="15"/>
      <c r="O1131" s="15"/>
      <c r="P1131" s="15"/>
      <c r="Q1131" s="15"/>
      <c r="R1131" s="15"/>
      <c r="S1131" s="15"/>
      <c r="T1131" s="15"/>
      <c r="U1131" s="15"/>
      <c r="V1131" s="15"/>
      <c r="W1131" s="15"/>
      <c r="X1131" s="15"/>
      <c r="Y1131" s="15"/>
      <c r="Z1131" s="15"/>
    </row>
    <row r="1132" spans="1:26" x14ac:dyDescent="0.3">
      <c r="A1132" s="17"/>
      <c r="B1132" s="17"/>
      <c r="C1132" s="17" t="s">
        <v>1906</v>
      </c>
      <c r="D1132" s="17"/>
      <c r="E1132" s="17"/>
      <c r="F1132" s="17"/>
      <c r="G1132" s="17"/>
      <c r="H1132" s="17"/>
      <c r="I1132" s="17"/>
      <c r="J1132" s="17"/>
      <c r="K1132" s="17"/>
      <c r="L1132" s="15"/>
      <c r="M1132" s="15"/>
      <c r="N1132" s="15"/>
      <c r="O1132" s="15"/>
      <c r="P1132" s="15"/>
      <c r="Q1132" s="15"/>
      <c r="R1132" s="15"/>
      <c r="S1132" s="15"/>
      <c r="T1132" s="15"/>
      <c r="U1132" s="15"/>
      <c r="V1132" s="15"/>
      <c r="W1132" s="15"/>
      <c r="X1132" s="15"/>
      <c r="Y1132" s="15"/>
      <c r="Z1132" s="15"/>
    </row>
    <row r="1133" spans="1:26" x14ac:dyDescent="0.3">
      <c r="A1133" s="17"/>
      <c r="B1133" s="17"/>
      <c r="C1133" s="27" t="s">
        <v>1907</v>
      </c>
      <c r="D1133" s="26" t="s">
        <v>1908</v>
      </c>
      <c r="E1133" s="26"/>
      <c r="F1133" s="24">
        <v>5</v>
      </c>
      <c r="G1133" s="24"/>
      <c r="H1133" s="24"/>
      <c r="I1133" s="24"/>
      <c r="J1133" s="24"/>
      <c r="K1133" s="24"/>
      <c r="L1133" s="15"/>
      <c r="M1133" s="15"/>
      <c r="N1133" s="15"/>
      <c r="O1133" s="15"/>
      <c r="P1133" s="15"/>
      <c r="Q1133" s="15"/>
      <c r="R1133" s="15"/>
      <c r="S1133" s="15"/>
      <c r="T1133" s="15"/>
      <c r="U1133" s="15"/>
      <c r="V1133" s="15"/>
      <c r="W1133" s="15"/>
      <c r="X1133" s="15"/>
      <c r="Y1133" s="15"/>
      <c r="Z1133" s="15"/>
    </row>
    <row r="1134" spans="1:26" x14ac:dyDescent="0.3">
      <c r="A1134" s="17"/>
      <c r="B1134" s="17"/>
      <c r="C1134" s="17"/>
      <c r="D1134" s="17"/>
      <c r="E1134" s="17"/>
      <c r="F1134" s="17"/>
      <c r="G1134" s="17"/>
      <c r="H1134" s="17"/>
      <c r="I1134" s="17"/>
      <c r="J1134" s="17"/>
      <c r="K1134" s="17"/>
      <c r="L1134" s="15"/>
      <c r="M1134" s="15"/>
      <c r="N1134" s="15"/>
      <c r="O1134" s="15"/>
      <c r="P1134" s="15"/>
      <c r="Q1134" s="15"/>
      <c r="R1134" s="15"/>
      <c r="S1134" s="15"/>
      <c r="T1134" s="15"/>
      <c r="U1134" s="15"/>
      <c r="V1134" s="15"/>
      <c r="W1134" s="15"/>
      <c r="X1134" s="15"/>
      <c r="Y1134" s="15"/>
      <c r="Z1134" s="15"/>
    </row>
    <row r="1135" spans="1:26" x14ac:dyDescent="0.3">
      <c r="A1135" s="24">
        <v>2</v>
      </c>
      <c r="B1135" s="26" t="s">
        <v>1909</v>
      </c>
      <c r="C1135" s="35" t="s">
        <v>1910</v>
      </c>
      <c r="D1135" s="17"/>
      <c r="E1135" s="17"/>
      <c r="F1135" s="17"/>
      <c r="G1135" s="17"/>
      <c r="H1135" s="17"/>
      <c r="I1135" s="17"/>
      <c r="J1135" s="17"/>
      <c r="K1135" s="17"/>
      <c r="L1135" s="15"/>
      <c r="M1135" s="15"/>
      <c r="N1135" s="15"/>
      <c r="O1135" s="15"/>
      <c r="P1135" s="15"/>
      <c r="Q1135" s="15"/>
      <c r="R1135" s="15"/>
      <c r="S1135" s="15"/>
      <c r="T1135" s="15"/>
      <c r="U1135" s="15"/>
      <c r="V1135" s="15"/>
      <c r="W1135" s="15"/>
      <c r="X1135" s="15"/>
      <c r="Y1135" s="15"/>
      <c r="Z1135" s="15"/>
    </row>
    <row r="1136" spans="1:26" x14ac:dyDescent="0.3">
      <c r="A1136" s="17"/>
      <c r="B1136" s="17"/>
      <c r="C1136" s="17" t="s">
        <v>1911</v>
      </c>
      <c r="D1136" s="26" t="s">
        <v>1912</v>
      </c>
      <c r="E1136" s="26"/>
      <c r="F1136" s="24">
        <v>10</v>
      </c>
      <c r="G1136" s="24"/>
      <c r="H1136" s="24"/>
      <c r="I1136" s="24"/>
      <c r="J1136" s="24"/>
      <c r="K1136" s="24"/>
      <c r="L1136" s="15"/>
      <c r="M1136" s="15"/>
      <c r="N1136" s="15"/>
      <c r="O1136" s="15"/>
      <c r="P1136" s="15"/>
      <c r="Q1136" s="15"/>
      <c r="R1136" s="15"/>
      <c r="S1136" s="15"/>
      <c r="T1136" s="15"/>
      <c r="U1136" s="15"/>
      <c r="V1136" s="15"/>
      <c r="W1136" s="15"/>
      <c r="X1136" s="15"/>
      <c r="Y1136" s="15"/>
      <c r="Z1136" s="15"/>
    </row>
    <row r="1137" spans="1:26" x14ac:dyDescent="0.3">
      <c r="A1137" s="17"/>
      <c r="B1137" s="17"/>
      <c r="C1137" s="17"/>
      <c r="D1137" s="17"/>
      <c r="E1137" s="17"/>
      <c r="F1137" s="17"/>
      <c r="G1137" s="17"/>
      <c r="H1137" s="17"/>
      <c r="I1137" s="17"/>
      <c r="J1137" s="17"/>
      <c r="K1137" s="17"/>
      <c r="L1137" s="15"/>
      <c r="M1137" s="15"/>
      <c r="N1137" s="15"/>
      <c r="O1137" s="15"/>
      <c r="P1137" s="15"/>
      <c r="Q1137" s="15"/>
      <c r="R1137" s="15"/>
      <c r="S1137" s="15"/>
      <c r="T1137" s="15"/>
      <c r="U1137" s="15"/>
      <c r="V1137" s="15"/>
      <c r="W1137" s="15"/>
      <c r="X1137" s="15"/>
      <c r="Y1137" s="15"/>
      <c r="Z1137" s="15"/>
    </row>
    <row r="1138" spans="1:26" x14ac:dyDescent="0.3">
      <c r="A1138" s="24">
        <v>3</v>
      </c>
      <c r="B1138" s="26" t="s">
        <v>1913</v>
      </c>
      <c r="C1138" s="35" t="s">
        <v>1914</v>
      </c>
      <c r="D1138" s="17"/>
      <c r="E1138" s="17"/>
      <c r="F1138" s="17"/>
      <c r="G1138" s="17"/>
      <c r="H1138" s="17"/>
      <c r="I1138" s="17"/>
      <c r="J1138" s="17"/>
      <c r="K1138" s="17"/>
      <c r="L1138" s="15"/>
      <c r="M1138" s="15"/>
      <c r="N1138" s="15"/>
      <c r="O1138" s="15"/>
      <c r="P1138" s="15"/>
      <c r="Q1138" s="15"/>
      <c r="R1138" s="15"/>
      <c r="S1138" s="15"/>
      <c r="T1138" s="15"/>
      <c r="U1138" s="15"/>
      <c r="V1138" s="15"/>
      <c r="W1138" s="15"/>
      <c r="X1138" s="15"/>
      <c r="Y1138" s="15"/>
      <c r="Z1138" s="15"/>
    </row>
    <row r="1139" spans="1:26" x14ac:dyDescent="0.3">
      <c r="A1139" s="17"/>
      <c r="B1139" s="17"/>
      <c r="C1139" s="17" t="s">
        <v>1915</v>
      </c>
      <c r="D1139" s="26" t="s">
        <v>1916</v>
      </c>
      <c r="E1139" s="26"/>
      <c r="F1139" s="24">
        <v>5</v>
      </c>
      <c r="G1139" s="24"/>
      <c r="H1139" s="24"/>
      <c r="I1139" s="24"/>
      <c r="J1139" s="24"/>
      <c r="K1139" s="24"/>
      <c r="L1139" s="15"/>
      <c r="M1139" s="15"/>
      <c r="N1139" s="15"/>
      <c r="O1139" s="15"/>
      <c r="P1139" s="15"/>
      <c r="Q1139" s="15"/>
      <c r="R1139" s="15"/>
      <c r="S1139" s="15"/>
      <c r="T1139" s="15"/>
      <c r="U1139" s="15"/>
      <c r="V1139" s="15"/>
      <c r="W1139" s="15"/>
      <c r="X1139" s="15"/>
      <c r="Y1139" s="15"/>
      <c r="Z1139" s="15"/>
    </row>
    <row r="1140" spans="1:26" x14ac:dyDescent="0.3">
      <c r="A1140" s="17"/>
      <c r="B1140" s="17"/>
      <c r="C1140" s="17"/>
      <c r="D1140" s="17"/>
      <c r="E1140" s="17"/>
      <c r="F1140" s="17"/>
      <c r="G1140" s="17"/>
      <c r="H1140" s="17"/>
      <c r="I1140" s="17"/>
      <c r="J1140" s="17"/>
      <c r="K1140" s="17"/>
      <c r="L1140" s="15"/>
      <c r="M1140" s="15"/>
      <c r="N1140" s="15"/>
      <c r="O1140" s="15"/>
      <c r="P1140" s="15"/>
      <c r="Q1140" s="15"/>
      <c r="R1140" s="15"/>
      <c r="S1140" s="15"/>
      <c r="T1140" s="15"/>
      <c r="U1140" s="15"/>
      <c r="V1140" s="15"/>
      <c r="W1140" s="15"/>
      <c r="X1140" s="15"/>
      <c r="Y1140" s="15"/>
      <c r="Z1140" s="15"/>
    </row>
    <row r="1141" spans="1:26" x14ac:dyDescent="0.3">
      <c r="A1141" s="24">
        <v>4</v>
      </c>
      <c r="B1141" s="26" t="s">
        <v>1917</v>
      </c>
      <c r="C1141" s="17" t="s">
        <v>1918</v>
      </c>
      <c r="D1141" s="26" t="s">
        <v>1919</v>
      </c>
      <c r="E1141" s="26"/>
      <c r="F1141" s="24">
        <v>1</v>
      </c>
      <c r="G1141" s="24"/>
      <c r="H1141" s="24"/>
      <c r="I1141" s="24"/>
      <c r="J1141" s="24"/>
      <c r="K1141" s="24"/>
      <c r="L1141" s="15"/>
      <c r="M1141" s="15"/>
      <c r="N1141" s="15"/>
      <c r="O1141" s="15"/>
      <c r="P1141" s="15"/>
      <c r="Q1141" s="15"/>
      <c r="R1141" s="15"/>
      <c r="S1141" s="15"/>
      <c r="T1141" s="15"/>
      <c r="U1141" s="15"/>
      <c r="V1141" s="15"/>
      <c r="W1141" s="15"/>
      <c r="X1141" s="15"/>
      <c r="Y1141" s="15"/>
      <c r="Z1141" s="15"/>
    </row>
    <row r="1142" spans="1:26" x14ac:dyDescent="0.3">
      <c r="A1142" s="17"/>
      <c r="B1142" s="17"/>
      <c r="C1142" s="17"/>
      <c r="D1142" s="17"/>
      <c r="E1142" s="17"/>
      <c r="F1142" s="17"/>
      <c r="G1142" s="17"/>
      <c r="H1142" s="17"/>
      <c r="I1142" s="17"/>
      <c r="J1142" s="17"/>
      <c r="K1142" s="17"/>
      <c r="L1142" s="15"/>
      <c r="M1142" s="15"/>
      <c r="N1142" s="15"/>
      <c r="O1142" s="15"/>
      <c r="P1142" s="15"/>
      <c r="Q1142" s="15"/>
      <c r="R1142" s="15"/>
      <c r="S1142" s="15"/>
      <c r="T1142" s="15"/>
      <c r="U1142" s="15"/>
      <c r="V1142" s="15"/>
      <c r="W1142" s="15"/>
      <c r="X1142" s="15"/>
      <c r="Y1142" s="15"/>
      <c r="Z1142" s="15"/>
    </row>
    <row r="1143" spans="1:26" x14ac:dyDescent="0.3">
      <c r="A1143" s="17"/>
      <c r="B1143" s="17"/>
      <c r="C1143" s="27" t="s">
        <v>1920</v>
      </c>
      <c r="D1143" s="17"/>
      <c r="E1143" s="17"/>
      <c r="F1143" s="17"/>
      <c r="G1143" s="17"/>
      <c r="H1143" s="17"/>
      <c r="I1143" s="17"/>
      <c r="J1143" s="17"/>
      <c r="K1143" s="17"/>
      <c r="L1143" s="15"/>
      <c r="M1143" s="15"/>
      <c r="N1143" s="15"/>
      <c r="O1143" s="15"/>
      <c r="P1143" s="15"/>
      <c r="Q1143" s="15"/>
      <c r="R1143" s="15"/>
      <c r="S1143" s="15"/>
      <c r="T1143" s="15"/>
      <c r="U1143" s="15"/>
      <c r="V1143" s="15"/>
      <c r="W1143" s="15"/>
      <c r="X1143" s="15"/>
      <c r="Y1143" s="15"/>
      <c r="Z1143" s="15"/>
    </row>
    <row r="1144" spans="1:26" x14ac:dyDescent="0.3">
      <c r="A1144" s="17"/>
      <c r="B1144" s="17"/>
      <c r="C1144" s="17"/>
      <c r="D1144" s="17"/>
      <c r="E1144" s="17"/>
      <c r="F1144" s="17"/>
      <c r="G1144" s="17"/>
      <c r="H1144" s="17"/>
      <c r="I1144" s="17"/>
      <c r="J1144" s="17"/>
      <c r="K1144" s="17"/>
      <c r="L1144" s="15"/>
      <c r="M1144" s="15"/>
      <c r="N1144" s="15"/>
      <c r="O1144" s="15"/>
      <c r="P1144" s="15"/>
      <c r="Q1144" s="15"/>
      <c r="R1144" s="15"/>
      <c r="S1144" s="15"/>
      <c r="T1144" s="15"/>
      <c r="U1144" s="15"/>
      <c r="V1144" s="15"/>
      <c r="W1144" s="15"/>
      <c r="X1144" s="15"/>
      <c r="Y1144" s="15"/>
      <c r="Z1144" s="15"/>
    </row>
    <row r="1145" spans="1:26" x14ac:dyDescent="0.3">
      <c r="A1145" s="22"/>
      <c r="B1145" s="22"/>
      <c r="C1145" s="21" t="s">
        <v>1921</v>
      </c>
      <c r="D1145" s="22"/>
      <c r="E1145" s="22"/>
      <c r="F1145" s="22"/>
      <c r="G1145" s="22"/>
      <c r="H1145" s="22"/>
      <c r="I1145" s="22"/>
      <c r="J1145" s="22"/>
      <c r="K1145" s="22"/>
      <c r="L1145" s="15"/>
      <c r="M1145" s="15"/>
      <c r="N1145" s="15"/>
      <c r="O1145" s="15"/>
      <c r="P1145" s="15"/>
      <c r="Q1145" s="15"/>
      <c r="R1145" s="15"/>
      <c r="S1145" s="15"/>
      <c r="T1145" s="15"/>
      <c r="U1145" s="15"/>
      <c r="V1145" s="15"/>
      <c r="W1145" s="15"/>
      <c r="X1145" s="15"/>
      <c r="Y1145" s="15"/>
      <c r="Z1145" s="15"/>
    </row>
    <row r="1146" spans="1:26" x14ac:dyDescent="0.3">
      <c r="A1146" s="17"/>
      <c r="B1146" s="17"/>
      <c r="C1146" s="17"/>
      <c r="D1146" s="17"/>
      <c r="E1146" s="17"/>
      <c r="F1146" s="17"/>
      <c r="G1146" s="17"/>
      <c r="H1146" s="17"/>
      <c r="I1146" s="17"/>
      <c r="J1146" s="17"/>
      <c r="K1146" s="17"/>
      <c r="L1146" s="15"/>
      <c r="M1146" s="15"/>
      <c r="N1146" s="15"/>
      <c r="O1146" s="15"/>
      <c r="P1146" s="15"/>
      <c r="Q1146" s="15"/>
      <c r="R1146" s="15"/>
      <c r="S1146" s="15"/>
      <c r="T1146" s="15"/>
      <c r="U1146" s="15"/>
      <c r="V1146" s="15"/>
      <c r="W1146" s="15"/>
      <c r="X1146" s="15"/>
      <c r="Y1146" s="15"/>
      <c r="Z1146" s="15"/>
    </row>
    <row r="1147" spans="1:26" x14ac:dyDescent="0.3">
      <c r="A1147" s="20" t="s">
        <v>1922</v>
      </c>
      <c r="B1147" s="21" t="s">
        <v>1923</v>
      </c>
      <c r="C1147" s="21" t="s">
        <v>1924</v>
      </c>
      <c r="D1147" s="22"/>
      <c r="E1147" s="22"/>
      <c r="F1147" s="22"/>
      <c r="G1147" s="22"/>
      <c r="H1147" s="22"/>
      <c r="I1147" s="22"/>
      <c r="J1147" s="22"/>
      <c r="K1147" s="22"/>
      <c r="L1147" s="15"/>
      <c r="M1147" s="15"/>
      <c r="N1147" s="15"/>
      <c r="O1147" s="15"/>
      <c r="P1147" s="15"/>
      <c r="Q1147" s="15"/>
      <c r="R1147" s="15"/>
      <c r="S1147" s="15"/>
      <c r="T1147" s="15"/>
      <c r="U1147" s="15"/>
      <c r="V1147" s="15"/>
      <c r="W1147" s="15"/>
      <c r="X1147" s="15"/>
      <c r="Y1147" s="15"/>
      <c r="Z1147" s="15"/>
    </row>
    <row r="1148" spans="1:26" x14ac:dyDescent="0.3">
      <c r="A1148" s="17"/>
      <c r="B1148" s="17"/>
      <c r="C1148" s="17"/>
      <c r="D1148" s="17"/>
      <c r="E1148" s="17"/>
      <c r="F1148" s="17"/>
      <c r="G1148" s="17"/>
      <c r="H1148" s="17"/>
      <c r="I1148" s="17"/>
      <c r="J1148" s="17"/>
      <c r="K1148" s="17"/>
      <c r="L1148" s="15"/>
      <c r="M1148" s="15"/>
      <c r="N1148" s="15"/>
      <c r="O1148" s="15"/>
      <c r="P1148" s="15"/>
      <c r="Q1148" s="15"/>
      <c r="R1148" s="15"/>
      <c r="S1148" s="15"/>
      <c r="T1148" s="15"/>
      <c r="U1148" s="15"/>
      <c r="V1148" s="15"/>
      <c r="W1148" s="15"/>
      <c r="X1148" s="15"/>
      <c r="Y1148" s="15"/>
      <c r="Z1148" s="15"/>
    </row>
    <row r="1149" spans="1:26" x14ac:dyDescent="0.3">
      <c r="A1149" s="17"/>
      <c r="B1149" s="27" t="s">
        <v>1925</v>
      </c>
      <c r="C1149" s="27" t="s">
        <v>1926</v>
      </c>
      <c r="D1149" s="17"/>
      <c r="E1149" s="17"/>
      <c r="F1149" s="17"/>
      <c r="G1149" s="17"/>
      <c r="H1149" s="17"/>
      <c r="I1149" s="17"/>
      <c r="J1149" s="17"/>
      <c r="K1149" s="17"/>
      <c r="L1149" s="15"/>
      <c r="M1149" s="15"/>
      <c r="N1149" s="15"/>
      <c r="O1149" s="15"/>
      <c r="P1149" s="15"/>
      <c r="Q1149" s="15"/>
      <c r="R1149" s="15"/>
      <c r="S1149" s="15"/>
      <c r="T1149" s="15"/>
      <c r="U1149" s="15"/>
      <c r="V1149" s="15"/>
      <c r="W1149" s="15"/>
      <c r="X1149" s="15"/>
      <c r="Y1149" s="15"/>
      <c r="Z1149" s="15"/>
    </row>
    <row r="1150" spans="1:26" x14ac:dyDescent="0.3">
      <c r="A1150" s="24">
        <v>1</v>
      </c>
      <c r="B1150" s="27" t="s">
        <v>1927</v>
      </c>
      <c r="C1150" s="17" t="s">
        <v>1928</v>
      </c>
      <c r="D1150" s="26" t="s">
        <v>1929</v>
      </c>
      <c r="E1150" s="26"/>
      <c r="F1150" s="24">
        <v>50</v>
      </c>
      <c r="G1150" s="24"/>
      <c r="H1150" s="24"/>
      <c r="I1150" s="24"/>
      <c r="J1150" s="24"/>
      <c r="K1150" s="24"/>
      <c r="L1150" s="15"/>
      <c r="M1150" s="15"/>
      <c r="N1150" s="15"/>
      <c r="O1150" s="15"/>
      <c r="P1150" s="15"/>
      <c r="Q1150" s="15"/>
      <c r="R1150" s="15"/>
      <c r="S1150" s="15"/>
      <c r="T1150" s="15"/>
      <c r="U1150" s="15"/>
      <c r="V1150" s="15"/>
      <c r="W1150" s="15"/>
      <c r="X1150" s="15"/>
      <c r="Y1150" s="15"/>
      <c r="Z1150" s="15"/>
    </row>
    <row r="1151" spans="1:26" x14ac:dyDescent="0.3">
      <c r="A1151" s="17"/>
      <c r="B1151" s="17"/>
      <c r="C1151" s="17"/>
      <c r="D1151" s="17"/>
      <c r="E1151" s="17"/>
      <c r="F1151" s="17"/>
      <c r="G1151" s="17"/>
      <c r="H1151" s="17"/>
      <c r="I1151" s="17"/>
      <c r="J1151" s="17"/>
      <c r="K1151" s="17"/>
      <c r="L1151" s="15"/>
      <c r="M1151" s="15"/>
      <c r="N1151" s="15"/>
      <c r="O1151" s="15"/>
      <c r="P1151" s="15"/>
      <c r="Q1151" s="15"/>
      <c r="R1151" s="15"/>
      <c r="S1151" s="15"/>
      <c r="T1151" s="15"/>
      <c r="U1151" s="15"/>
      <c r="V1151" s="15"/>
      <c r="W1151" s="15"/>
      <c r="X1151" s="15"/>
      <c r="Y1151" s="15"/>
      <c r="Z1151" s="15"/>
    </row>
    <row r="1152" spans="1:26" x14ac:dyDescent="0.3">
      <c r="A1152" s="24">
        <v>2</v>
      </c>
      <c r="B1152" s="27" t="s">
        <v>1930</v>
      </c>
      <c r="C1152" s="27" t="s">
        <v>1931</v>
      </c>
      <c r="D1152" s="26" t="s">
        <v>1932</v>
      </c>
      <c r="E1152" s="26"/>
      <c r="F1152" s="24">
        <v>5</v>
      </c>
      <c r="G1152" s="24"/>
      <c r="H1152" s="24"/>
      <c r="I1152" s="24"/>
      <c r="J1152" s="24"/>
      <c r="K1152" s="24"/>
      <c r="L1152" s="15"/>
      <c r="M1152" s="15"/>
      <c r="N1152" s="15"/>
      <c r="O1152" s="15"/>
      <c r="P1152" s="15"/>
      <c r="Q1152" s="15"/>
      <c r="R1152" s="15"/>
      <c r="S1152" s="15"/>
      <c r="T1152" s="15"/>
      <c r="U1152" s="15"/>
      <c r="V1152" s="15"/>
      <c r="W1152" s="15"/>
      <c r="X1152" s="15"/>
      <c r="Y1152" s="15"/>
      <c r="Z1152" s="15"/>
    </row>
    <row r="1153" spans="1:26" x14ac:dyDescent="0.3">
      <c r="A1153" s="17"/>
      <c r="B1153" s="17"/>
      <c r="C1153" s="17"/>
      <c r="D1153" s="17"/>
      <c r="E1153" s="17"/>
      <c r="F1153" s="17"/>
      <c r="G1153" s="17"/>
      <c r="H1153" s="17"/>
      <c r="I1153" s="17"/>
      <c r="J1153" s="17"/>
      <c r="K1153" s="17"/>
      <c r="L1153" s="15"/>
      <c r="M1153" s="15"/>
      <c r="N1153" s="15"/>
      <c r="O1153" s="15"/>
      <c r="P1153" s="15"/>
      <c r="Q1153" s="15"/>
      <c r="R1153" s="15"/>
      <c r="S1153" s="15"/>
      <c r="T1153" s="15"/>
      <c r="U1153" s="15"/>
      <c r="V1153" s="15"/>
      <c r="W1153" s="15"/>
      <c r="X1153" s="15"/>
      <c r="Y1153" s="15"/>
      <c r="Z1153" s="15"/>
    </row>
    <row r="1154" spans="1:26" x14ac:dyDescent="0.3">
      <c r="A1154" s="24">
        <v>3</v>
      </c>
      <c r="B1154" s="26" t="s">
        <v>1933</v>
      </c>
      <c r="C1154" s="17" t="s">
        <v>1934</v>
      </c>
      <c r="D1154" s="26" t="s">
        <v>1935</v>
      </c>
      <c r="E1154" s="26"/>
      <c r="F1154" s="24">
        <v>5</v>
      </c>
      <c r="G1154" s="24"/>
      <c r="H1154" s="24"/>
      <c r="I1154" s="24"/>
      <c r="J1154" s="24"/>
      <c r="K1154" s="24"/>
      <c r="L1154" s="15"/>
      <c r="M1154" s="15"/>
      <c r="N1154" s="15"/>
      <c r="O1154" s="15"/>
      <c r="P1154" s="15"/>
      <c r="Q1154" s="15"/>
      <c r="R1154" s="15"/>
      <c r="S1154" s="15"/>
      <c r="T1154" s="15"/>
      <c r="U1154" s="15"/>
      <c r="V1154" s="15"/>
      <c r="W1154" s="15"/>
      <c r="X1154" s="15"/>
      <c r="Y1154" s="15"/>
      <c r="Z1154" s="15"/>
    </row>
    <row r="1155" spans="1:26" x14ac:dyDescent="0.3">
      <c r="A1155" s="17"/>
      <c r="B1155" s="17"/>
      <c r="C1155" s="17"/>
      <c r="D1155" s="17"/>
      <c r="E1155" s="17"/>
      <c r="F1155" s="17"/>
      <c r="G1155" s="17"/>
      <c r="H1155" s="17"/>
      <c r="I1155" s="17"/>
      <c r="J1155" s="17"/>
      <c r="K1155" s="17"/>
      <c r="L1155" s="15"/>
      <c r="M1155" s="15"/>
      <c r="N1155" s="15"/>
      <c r="O1155" s="15"/>
      <c r="P1155" s="15"/>
      <c r="Q1155" s="15"/>
      <c r="R1155" s="15"/>
      <c r="S1155" s="15"/>
      <c r="T1155" s="15"/>
      <c r="U1155" s="15"/>
      <c r="V1155" s="15"/>
      <c r="W1155" s="15"/>
      <c r="X1155" s="15"/>
      <c r="Y1155" s="15"/>
      <c r="Z1155" s="15"/>
    </row>
    <row r="1156" spans="1:26" x14ac:dyDescent="0.3">
      <c r="A1156" s="22"/>
      <c r="B1156" s="22"/>
      <c r="C1156" s="21" t="s">
        <v>1936</v>
      </c>
      <c r="D1156" s="22"/>
      <c r="E1156" s="22"/>
      <c r="F1156" s="22"/>
      <c r="G1156" s="22"/>
      <c r="H1156" s="22"/>
      <c r="I1156" s="22"/>
      <c r="J1156" s="22"/>
      <c r="K1156" s="22"/>
      <c r="L1156" s="15"/>
      <c r="M1156" s="15"/>
      <c r="N1156" s="15"/>
      <c r="O1156" s="15"/>
      <c r="P1156" s="15"/>
      <c r="Q1156" s="15"/>
      <c r="R1156" s="15"/>
      <c r="S1156" s="15"/>
      <c r="T1156" s="15"/>
      <c r="U1156" s="15"/>
      <c r="V1156" s="15"/>
      <c r="W1156" s="15"/>
      <c r="X1156" s="15"/>
      <c r="Y1156" s="15"/>
      <c r="Z1156" s="15"/>
    </row>
    <row r="1157" spans="1:26" x14ac:dyDescent="0.3">
      <c r="A1157" s="17"/>
      <c r="B1157" s="17"/>
      <c r="C1157" s="17"/>
      <c r="D1157" s="17"/>
      <c r="E1157" s="17"/>
      <c r="F1157" s="17"/>
      <c r="G1157" s="278"/>
      <c r="H1157" s="278"/>
      <c r="I1157" s="278"/>
      <c r="J1157" s="278"/>
      <c r="K1157" s="278"/>
      <c r="L1157" s="15"/>
      <c r="M1157" s="15"/>
      <c r="N1157" s="15"/>
      <c r="O1157" s="15"/>
      <c r="P1157" s="15"/>
      <c r="Q1157" s="15"/>
      <c r="R1157" s="15"/>
      <c r="S1157" s="15"/>
      <c r="T1157" s="15"/>
      <c r="U1157" s="15"/>
      <c r="V1157" s="15"/>
      <c r="W1157" s="15"/>
      <c r="X1157" s="15"/>
      <c r="Y1157" s="15"/>
      <c r="Z1157" s="15"/>
    </row>
    <row r="1158" spans="1:26" x14ac:dyDescent="0.3">
      <c r="A1158" s="23" t="s">
        <v>1937</v>
      </c>
      <c r="B1158" s="22"/>
      <c r="C1158" s="21" t="s">
        <v>1938</v>
      </c>
      <c r="D1158" s="22"/>
      <c r="E1158" s="22"/>
      <c r="F1158" s="22"/>
      <c r="G1158" s="22"/>
      <c r="H1158" s="22"/>
      <c r="I1158" s="22"/>
      <c r="J1158" s="22"/>
      <c r="K1158" s="22"/>
      <c r="L1158" s="15"/>
      <c r="M1158" s="15"/>
      <c r="N1158" s="15"/>
      <c r="O1158" s="15"/>
      <c r="P1158" s="15"/>
      <c r="Q1158" s="15"/>
      <c r="R1158" s="15"/>
      <c r="S1158" s="15"/>
      <c r="T1158" s="15"/>
      <c r="U1158" s="15"/>
      <c r="V1158" s="15"/>
      <c r="W1158" s="15"/>
      <c r="X1158" s="15"/>
      <c r="Y1158" s="15"/>
      <c r="Z1158" s="15"/>
    </row>
    <row r="1159" spans="1:26" x14ac:dyDescent="0.3">
      <c r="A1159" s="17"/>
      <c r="B1159" s="17"/>
      <c r="C1159" s="17"/>
      <c r="D1159" s="17"/>
      <c r="E1159" s="17"/>
      <c r="F1159" s="17"/>
      <c r="G1159" s="17"/>
      <c r="H1159" s="17"/>
      <c r="I1159" s="17"/>
      <c r="J1159" s="17"/>
      <c r="K1159" s="17"/>
      <c r="L1159" s="15"/>
      <c r="M1159" s="15"/>
      <c r="N1159" s="15"/>
      <c r="O1159" s="15"/>
      <c r="P1159" s="15"/>
      <c r="Q1159" s="15"/>
      <c r="R1159" s="15"/>
      <c r="S1159" s="15"/>
      <c r="T1159" s="15"/>
      <c r="U1159" s="15"/>
      <c r="V1159" s="15"/>
      <c r="W1159" s="15"/>
      <c r="X1159" s="15"/>
      <c r="Y1159" s="15"/>
      <c r="Z1159" s="15"/>
    </row>
    <row r="1160" spans="1:26" x14ac:dyDescent="0.3">
      <c r="A1160" s="17"/>
      <c r="B1160" s="17"/>
      <c r="C1160" s="35" t="s">
        <v>1939</v>
      </c>
      <c r="D1160" s="17"/>
      <c r="E1160" s="17"/>
      <c r="F1160" s="17"/>
      <c r="G1160" s="17"/>
      <c r="H1160" s="17"/>
      <c r="I1160" s="17"/>
      <c r="J1160" s="17"/>
      <c r="K1160" s="17"/>
      <c r="L1160" s="15"/>
      <c r="M1160" s="15"/>
      <c r="N1160" s="15"/>
      <c r="O1160" s="15"/>
      <c r="P1160" s="15"/>
      <c r="Q1160" s="15"/>
      <c r="R1160" s="15"/>
      <c r="S1160" s="15"/>
      <c r="T1160" s="15"/>
      <c r="U1160" s="15"/>
      <c r="V1160" s="15"/>
      <c r="W1160" s="15"/>
      <c r="X1160" s="15"/>
      <c r="Y1160" s="15"/>
      <c r="Z1160" s="15"/>
    </row>
    <row r="1161" spans="1:26" x14ac:dyDescent="0.3">
      <c r="A1161" s="24">
        <v>1</v>
      </c>
      <c r="B1161" s="26" t="s">
        <v>1940</v>
      </c>
      <c r="C1161" s="17" t="s">
        <v>1941</v>
      </c>
      <c r="D1161" s="26" t="s">
        <v>1942</v>
      </c>
      <c r="E1161" s="26"/>
      <c r="F1161" s="24">
        <v>2</v>
      </c>
      <c r="G1161" s="24"/>
      <c r="H1161" s="24"/>
      <c r="I1161" s="24"/>
      <c r="J1161" s="24"/>
      <c r="K1161" s="24"/>
      <c r="L1161" s="15"/>
      <c r="M1161" s="15"/>
      <c r="N1161" s="15"/>
      <c r="O1161" s="15"/>
      <c r="P1161" s="15"/>
      <c r="Q1161" s="15"/>
      <c r="R1161" s="15"/>
      <c r="S1161" s="15"/>
      <c r="T1161" s="15"/>
      <c r="U1161" s="15"/>
      <c r="V1161" s="15"/>
      <c r="W1161" s="15"/>
      <c r="X1161" s="15"/>
      <c r="Y1161" s="15"/>
      <c r="Z1161" s="15"/>
    </row>
    <row r="1162" spans="1:26" x14ac:dyDescent="0.3">
      <c r="A1162" s="24">
        <v>2</v>
      </c>
      <c r="B1162" s="26" t="s">
        <v>1943</v>
      </c>
      <c r="C1162" s="17" t="s">
        <v>1944</v>
      </c>
      <c r="D1162" s="26" t="s">
        <v>1945</v>
      </c>
      <c r="E1162" s="26"/>
      <c r="F1162" s="24">
        <v>2</v>
      </c>
      <c r="G1162" s="24"/>
      <c r="H1162" s="24"/>
      <c r="I1162" s="24"/>
      <c r="J1162" s="24"/>
      <c r="K1162" s="24"/>
      <c r="L1162" s="15"/>
      <c r="M1162" s="15"/>
      <c r="N1162" s="15"/>
      <c r="O1162" s="15"/>
      <c r="P1162" s="15"/>
      <c r="Q1162" s="15"/>
      <c r="R1162" s="15"/>
      <c r="S1162" s="15"/>
      <c r="T1162" s="15"/>
      <c r="U1162" s="15"/>
      <c r="V1162" s="15"/>
      <c r="W1162" s="15"/>
      <c r="X1162" s="15"/>
      <c r="Y1162" s="15"/>
      <c r="Z1162" s="15"/>
    </row>
    <row r="1163" spans="1:26" x14ac:dyDescent="0.3">
      <c r="A1163" s="24">
        <v>3</v>
      </c>
      <c r="B1163" s="26" t="s">
        <v>1946</v>
      </c>
      <c r="C1163" s="17" t="s">
        <v>1947</v>
      </c>
      <c r="D1163" s="26" t="s">
        <v>1948</v>
      </c>
      <c r="E1163" s="26"/>
      <c r="F1163" s="24">
        <v>2</v>
      </c>
      <c r="G1163" s="24"/>
      <c r="H1163" s="24"/>
      <c r="I1163" s="24"/>
      <c r="J1163" s="24"/>
      <c r="K1163" s="24"/>
      <c r="L1163" s="15"/>
      <c r="M1163" s="15"/>
      <c r="N1163" s="15"/>
      <c r="O1163" s="15"/>
      <c r="P1163" s="15"/>
      <c r="Q1163" s="15"/>
      <c r="R1163" s="15"/>
      <c r="S1163" s="15"/>
      <c r="T1163" s="15"/>
      <c r="U1163" s="15"/>
      <c r="V1163" s="15"/>
      <c r="W1163" s="15"/>
      <c r="X1163" s="15"/>
      <c r="Y1163" s="15"/>
      <c r="Z1163" s="15"/>
    </row>
    <row r="1164" spans="1:26" x14ac:dyDescent="0.3">
      <c r="A1164" s="24">
        <v>4</v>
      </c>
      <c r="B1164" s="26" t="s">
        <v>1949</v>
      </c>
      <c r="C1164" s="27" t="s">
        <v>1950</v>
      </c>
      <c r="D1164" s="26" t="s">
        <v>1951</v>
      </c>
      <c r="E1164" s="26"/>
      <c r="F1164" s="24">
        <v>1</v>
      </c>
      <c r="G1164" s="24"/>
      <c r="H1164" s="24"/>
      <c r="I1164" s="24"/>
      <c r="J1164" s="24"/>
      <c r="K1164" s="24"/>
      <c r="L1164" s="15"/>
      <c r="M1164" s="15"/>
      <c r="N1164" s="15"/>
      <c r="O1164" s="15"/>
      <c r="P1164" s="15"/>
      <c r="Q1164" s="15"/>
      <c r="R1164" s="15"/>
      <c r="S1164" s="15"/>
      <c r="T1164" s="15"/>
      <c r="U1164" s="15"/>
      <c r="V1164" s="15"/>
      <c r="W1164" s="15"/>
      <c r="X1164" s="15"/>
      <c r="Y1164" s="15"/>
      <c r="Z1164" s="15"/>
    </row>
    <row r="1165" spans="1:26" x14ac:dyDescent="0.3">
      <c r="A1165" s="24">
        <v>5</v>
      </c>
      <c r="B1165" s="26" t="s">
        <v>1952</v>
      </c>
      <c r="C1165" s="17" t="s">
        <v>1953</v>
      </c>
      <c r="D1165" s="26" t="s">
        <v>1954</v>
      </c>
      <c r="E1165" s="26"/>
      <c r="F1165" s="24">
        <v>1</v>
      </c>
      <c r="G1165" s="24"/>
      <c r="H1165" s="24"/>
      <c r="I1165" s="24"/>
      <c r="J1165" s="24"/>
      <c r="K1165" s="24"/>
      <c r="L1165" s="15"/>
      <c r="M1165" s="15"/>
      <c r="N1165" s="15"/>
      <c r="O1165" s="15"/>
      <c r="P1165" s="15"/>
      <c r="Q1165" s="15"/>
      <c r="R1165" s="15"/>
      <c r="S1165" s="15"/>
      <c r="T1165" s="15"/>
      <c r="U1165" s="15"/>
      <c r="V1165" s="15"/>
      <c r="W1165" s="15"/>
      <c r="X1165" s="15"/>
      <c r="Y1165" s="15"/>
      <c r="Z1165" s="15"/>
    </row>
    <row r="1166" spans="1:26" x14ac:dyDescent="0.3">
      <c r="A1166" s="26" t="s">
        <v>1955</v>
      </c>
      <c r="B1166" s="26" t="s">
        <v>1956</v>
      </c>
      <c r="C1166" s="17" t="s">
        <v>1957</v>
      </c>
      <c r="D1166" s="26" t="s">
        <v>1958</v>
      </c>
      <c r="E1166" s="26"/>
      <c r="F1166" s="24">
        <v>750</v>
      </c>
      <c r="G1166" s="24"/>
      <c r="H1166" s="24"/>
      <c r="I1166" s="24"/>
      <c r="J1166" s="24"/>
      <c r="K1166" s="24"/>
      <c r="L1166" s="15"/>
      <c r="M1166" s="15"/>
      <c r="N1166" s="15"/>
      <c r="O1166" s="15"/>
      <c r="P1166" s="15"/>
      <c r="Q1166" s="15"/>
      <c r="R1166" s="15"/>
      <c r="S1166" s="15"/>
      <c r="T1166" s="15"/>
      <c r="U1166" s="15"/>
      <c r="V1166" s="15"/>
      <c r="W1166" s="15"/>
      <c r="X1166" s="15"/>
      <c r="Y1166" s="15"/>
      <c r="Z1166" s="15"/>
    </row>
    <row r="1167" spans="1:26" x14ac:dyDescent="0.3">
      <c r="A1167" s="26" t="s">
        <v>1959</v>
      </c>
      <c r="B1167" s="26" t="s">
        <v>1960</v>
      </c>
      <c r="C1167" s="27" t="s">
        <v>1961</v>
      </c>
      <c r="D1167" s="26" t="s">
        <v>1962</v>
      </c>
      <c r="E1167" s="26"/>
      <c r="F1167" s="24">
        <v>750</v>
      </c>
      <c r="G1167" s="24"/>
      <c r="H1167" s="24"/>
      <c r="I1167" s="24"/>
      <c r="J1167" s="24"/>
      <c r="K1167" s="24"/>
      <c r="L1167" s="15"/>
      <c r="M1167" s="15"/>
      <c r="N1167" s="15"/>
      <c r="O1167" s="15"/>
      <c r="P1167" s="15"/>
      <c r="Q1167" s="15"/>
      <c r="R1167" s="15"/>
      <c r="S1167" s="15"/>
      <c r="T1167" s="15"/>
      <c r="U1167" s="15"/>
      <c r="V1167" s="15"/>
      <c r="W1167" s="15"/>
      <c r="X1167" s="15"/>
      <c r="Y1167" s="15"/>
      <c r="Z1167" s="15"/>
    </row>
    <row r="1168" spans="1:26" x14ac:dyDescent="0.3">
      <c r="A1168" s="26" t="s">
        <v>1963</v>
      </c>
      <c r="B1168" s="26" t="s">
        <v>1964</v>
      </c>
      <c r="C1168" s="27" t="s">
        <v>1965</v>
      </c>
      <c r="D1168" s="26" t="s">
        <v>1966</v>
      </c>
      <c r="E1168" s="26"/>
      <c r="F1168" s="24">
        <v>750</v>
      </c>
      <c r="G1168" s="24"/>
      <c r="H1168" s="24"/>
      <c r="I1168" s="24"/>
      <c r="J1168" s="24"/>
      <c r="K1168" s="24"/>
      <c r="L1168" s="15"/>
      <c r="M1168" s="15"/>
      <c r="N1168" s="15"/>
      <c r="O1168" s="15"/>
      <c r="P1168" s="15"/>
      <c r="Q1168" s="15"/>
      <c r="R1168" s="15"/>
      <c r="S1168" s="15"/>
      <c r="T1168" s="15"/>
      <c r="U1168" s="15"/>
      <c r="V1168" s="15"/>
      <c r="W1168" s="15"/>
      <c r="X1168" s="15"/>
      <c r="Y1168" s="15"/>
      <c r="Z1168" s="15"/>
    </row>
    <row r="1169" spans="1:26" x14ac:dyDescent="0.3">
      <c r="A1169" s="26" t="s">
        <v>1967</v>
      </c>
      <c r="B1169" s="26" t="s">
        <v>1968</v>
      </c>
      <c r="C1169" s="17" t="s">
        <v>1969</v>
      </c>
      <c r="D1169" s="26" t="s">
        <v>1970</v>
      </c>
      <c r="E1169" s="26"/>
      <c r="F1169" s="24">
        <v>30</v>
      </c>
      <c r="G1169" s="24"/>
      <c r="H1169" s="24"/>
      <c r="I1169" s="24"/>
      <c r="J1169" s="24"/>
      <c r="K1169" s="24"/>
      <c r="L1169" s="15"/>
      <c r="M1169" s="15"/>
      <c r="N1169" s="15"/>
      <c r="O1169" s="15"/>
      <c r="P1169" s="15"/>
      <c r="Q1169" s="15"/>
      <c r="R1169" s="15"/>
      <c r="S1169" s="15"/>
      <c r="T1169" s="15"/>
      <c r="U1169" s="15"/>
      <c r="V1169" s="15"/>
      <c r="W1169" s="15"/>
      <c r="X1169" s="15"/>
      <c r="Y1169" s="15"/>
      <c r="Z1169" s="15"/>
    </row>
    <row r="1170" spans="1:26" x14ac:dyDescent="0.3">
      <c r="A1170" s="26" t="s">
        <v>1971</v>
      </c>
      <c r="B1170" s="26" t="s">
        <v>1972</v>
      </c>
      <c r="C1170" s="27" t="s">
        <v>1973</v>
      </c>
      <c r="D1170" s="26" t="s">
        <v>1974</v>
      </c>
      <c r="E1170" s="26"/>
      <c r="F1170" s="24">
        <v>1</v>
      </c>
      <c r="G1170" s="24"/>
      <c r="H1170" s="24"/>
      <c r="I1170" s="24"/>
      <c r="J1170" s="24"/>
      <c r="K1170" s="24"/>
      <c r="L1170" s="15"/>
      <c r="M1170" s="15"/>
      <c r="N1170" s="15"/>
      <c r="O1170" s="15"/>
      <c r="P1170" s="15"/>
      <c r="Q1170" s="15"/>
      <c r="R1170" s="15"/>
      <c r="S1170" s="15"/>
      <c r="T1170" s="15"/>
      <c r="U1170" s="15"/>
      <c r="V1170" s="15"/>
      <c r="W1170" s="15"/>
      <c r="X1170" s="15"/>
      <c r="Y1170" s="15"/>
      <c r="Z1170" s="15"/>
    </row>
    <row r="1171" spans="1:26" x14ac:dyDescent="0.3">
      <c r="A1171" s="26" t="s">
        <v>1975</v>
      </c>
      <c r="B1171" s="26" t="s">
        <v>1976</v>
      </c>
      <c r="C1171" s="27" t="s">
        <v>1977</v>
      </c>
      <c r="D1171" s="26" t="s">
        <v>1978</v>
      </c>
      <c r="E1171" s="26"/>
      <c r="F1171" s="24">
        <v>42</v>
      </c>
      <c r="G1171" s="24"/>
      <c r="H1171" s="24"/>
      <c r="I1171" s="24"/>
      <c r="J1171" s="24"/>
      <c r="K1171" s="24"/>
      <c r="L1171" s="15"/>
      <c r="M1171" s="15"/>
      <c r="N1171" s="15"/>
      <c r="O1171" s="15"/>
      <c r="P1171" s="15"/>
      <c r="Q1171" s="15"/>
      <c r="R1171" s="15"/>
      <c r="S1171" s="15"/>
      <c r="T1171" s="15"/>
      <c r="U1171" s="15"/>
      <c r="V1171" s="15"/>
      <c r="W1171" s="15"/>
      <c r="X1171" s="15"/>
      <c r="Y1171" s="15"/>
      <c r="Z1171" s="15"/>
    </row>
    <row r="1172" spans="1:26" x14ac:dyDescent="0.3">
      <c r="A1172" s="26" t="s">
        <v>1979</v>
      </c>
      <c r="B1172" s="26" t="s">
        <v>1980</v>
      </c>
      <c r="C1172" s="27" t="s">
        <v>1981</v>
      </c>
      <c r="D1172" s="26" t="s">
        <v>1982</v>
      </c>
      <c r="E1172" s="26"/>
      <c r="F1172" s="24">
        <v>3</v>
      </c>
      <c r="G1172" s="24"/>
      <c r="H1172" s="24"/>
      <c r="I1172" s="24"/>
      <c r="J1172" s="24"/>
      <c r="K1172" s="24"/>
      <c r="L1172" s="15"/>
      <c r="M1172" s="15"/>
      <c r="N1172" s="15"/>
      <c r="O1172" s="15"/>
      <c r="P1172" s="15"/>
      <c r="Q1172" s="15"/>
      <c r="R1172" s="15"/>
      <c r="S1172" s="15"/>
      <c r="T1172" s="15"/>
      <c r="U1172" s="15"/>
      <c r="V1172" s="15"/>
      <c r="W1172" s="15"/>
      <c r="X1172" s="15"/>
      <c r="Y1172" s="15"/>
      <c r="Z1172" s="15"/>
    </row>
    <row r="1173" spans="1:26" x14ac:dyDescent="0.3">
      <c r="A1173" s="26" t="s">
        <v>1983</v>
      </c>
      <c r="B1173" s="26" t="s">
        <v>1984</v>
      </c>
      <c r="C1173" s="27" t="s">
        <v>1985</v>
      </c>
      <c r="D1173" s="26" t="s">
        <v>1986</v>
      </c>
      <c r="E1173" s="26"/>
      <c r="F1173" s="24">
        <v>1</v>
      </c>
      <c r="G1173" s="24"/>
      <c r="H1173" s="24"/>
      <c r="I1173" s="24"/>
      <c r="J1173" s="24"/>
      <c r="K1173" s="24"/>
      <c r="L1173" s="15"/>
      <c r="M1173" s="15"/>
      <c r="N1173" s="15"/>
      <c r="O1173" s="15"/>
      <c r="P1173" s="15"/>
      <c r="Q1173" s="15"/>
      <c r="R1173" s="15"/>
      <c r="S1173" s="15"/>
      <c r="T1173" s="15"/>
      <c r="U1173" s="15"/>
      <c r="V1173" s="15"/>
      <c r="W1173" s="15"/>
      <c r="X1173" s="15"/>
      <c r="Y1173" s="15"/>
      <c r="Z1173" s="15"/>
    </row>
    <row r="1174" spans="1:26" x14ac:dyDescent="0.3">
      <c r="A1174" s="17"/>
      <c r="B1174" s="17"/>
      <c r="C1174" s="17"/>
      <c r="D1174" s="17"/>
      <c r="E1174" s="17"/>
      <c r="F1174" s="17"/>
      <c r="G1174" s="17"/>
      <c r="H1174" s="17"/>
      <c r="I1174" s="17"/>
      <c r="J1174" s="17"/>
      <c r="K1174" s="17"/>
      <c r="L1174" s="15"/>
      <c r="M1174" s="15"/>
      <c r="N1174" s="15"/>
      <c r="O1174" s="15"/>
      <c r="P1174" s="15"/>
      <c r="Q1174" s="15"/>
      <c r="R1174" s="15"/>
      <c r="S1174" s="15"/>
      <c r="T1174" s="15"/>
      <c r="U1174" s="15"/>
      <c r="V1174" s="15"/>
      <c r="W1174" s="15"/>
      <c r="X1174" s="15"/>
      <c r="Y1174" s="15"/>
      <c r="Z1174" s="15"/>
    </row>
    <row r="1175" spans="1:26" x14ac:dyDescent="0.3">
      <c r="A1175" s="17"/>
      <c r="B1175" s="17"/>
      <c r="C1175" s="35" t="s">
        <v>1987</v>
      </c>
      <c r="D1175" s="17"/>
      <c r="E1175" s="17"/>
      <c r="F1175" s="17"/>
      <c r="G1175" s="17"/>
      <c r="H1175" s="17"/>
      <c r="I1175" s="17"/>
      <c r="J1175" s="17"/>
      <c r="K1175" s="17"/>
      <c r="L1175" s="15"/>
      <c r="M1175" s="15"/>
      <c r="N1175" s="15"/>
      <c r="O1175" s="15"/>
      <c r="P1175" s="15"/>
      <c r="Q1175" s="15"/>
      <c r="R1175" s="15"/>
      <c r="S1175" s="15"/>
      <c r="T1175" s="15"/>
      <c r="U1175" s="15"/>
      <c r="V1175" s="15"/>
      <c r="W1175" s="15"/>
      <c r="X1175" s="15"/>
      <c r="Y1175" s="15"/>
      <c r="Z1175" s="15"/>
    </row>
    <row r="1176" spans="1:26" x14ac:dyDescent="0.3">
      <c r="A1176" s="24">
        <v>15</v>
      </c>
      <c r="B1176" s="27" t="s">
        <v>1988</v>
      </c>
      <c r="C1176" s="17" t="s">
        <v>1989</v>
      </c>
      <c r="D1176" s="17"/>
      <c r="E1176" s="17"/>
      <c r="F1176" s="17"/>
      <c r="G1176" s="17"/>
      <c r="H1176" s="17"/>
      <c r="I1176" s="17"/>
      <c r="J1176" s="17"/>
      <c r="K1176" s="17"/>
      <c r="L1176" s="15"/>
      <c r="M1176" s="15"/>
      <c r="N1176" s="15"/>
      <c r="O1176" s="15"/>
      <c r="P1176" s="15"/>
      <c r="Q1176" s="15"/>
      <c r="R1176" s="15"/>
      <c r="S1176" s="15"/>
      <c r="T1176" s="15"/>
      <c r="U1176" s="15"/>
      <c r="V1176" s="15"/>
      <c r="W1176" s="15"/>
      <c r="X1176" s="15"/>
      <c r="Y1176" s="15"/>
      <c r="Z1176" s="15"/>
    </row>
    <row r="1177" spans="1:26" x14ac:dyDescent="0.3">
      <c r="A1177" s="17"/>
      <c r="B1177" s="26" t="s">
        <v>1990</v>
      </c>
      <c r="C1177" s="27" t="s">
        <v>1991</v>
      </c>
      <c r="D1177" s="26" t="s">
        <v>1992</v>
      </c>
      <c r="E1177" s="26"/>
      <c r="F1177" s="19">
        <v>1150</v>
      </c>
      <c r="G1177" s="19"/>
      <c r="H1177" s="19"/>
      <c r="I1177" s="19"/>
      <c r="J1177" s="19"/>
      <c r="K1177" s="19"/>
      <c r="L1177" s="15"/>
      <c r="M1177" s="15"/>
      <c r="N1177" s="15"/>
      <c r="O1177" s="15"/>
      <c r="P1177" s="15"/>
      <c r="Q1177" s="15"/>
      <c r="R1177" s="15"/>
      <c r="S1177" s="15"/>
      <c r="T1177" s="15"/>
      <c r="U1177" s="15"/>
      <c r="V1177" s="15"/>
      <c r="W1177" s="15"/>
      <c r="X1177" s="15"/>
      <c r="Y1177" s="15"/>
      <c r="Z1177" s="15"/>
    </row>
    <row r="1178" spans="1:26" x14ac:dyDescent="0.3">
      <c r="A1178" s="24">
        <v>16</v>
      </c>
      <c r="B1178" s="26" t="s">
        <v>1993</v>
      </c>
      <c r="C1178" s="27" t="s">
        <v>1994</v>
      </c>
      <c r="D1178" s="26" t="s">
        <v>1995</v>
      </c>
      <c r="E1178" s="26"/>
      <c r="F1178" s="19">
        <v>7350</v>
      </c>
      <c r="G1178" s="19"/>
      <c r="H1178" s="19"/>
      <c r="I1178" s="19"/>
      <c r="J1178" s="19"/>
      <c r="K1178" s="19"/>
      <c r="L1178" s="15"/>
      <c r="M1178" s="15"/>
      <c r="N1178" s="15"/>
      <c r="O1178" s="15"/>
      <c r="P1178" s="15"/>
      <c r="Q1178" s="15"/>
      <c r="R1178" s="15"/>
      <c r="S1178" s="15"/>
      <c r="T1178" s="15"/>
      <c r="U1178" s="15"/>
      <c r="V1178" s="15"/>
      <c r="W1178" s="15"/>
      <c r="X1178" s="15"/>
      <c r="Y1178" s="15"/>
      <c r="Z1178" s="15"/>
    </row>
    <row r="1179" spans="1:26" x14ac:dyDescent="0.3">
      <c r="A1179" s="24">
        <v>17</v>
      </c>
      <c r="B1179" s="26" t="s">
        <v>1996</v>
      </c>
      <c r="C1179" s="27" t="s">
        <v>1997</v>
      </c>
      <c r="D1179" s="26" t="s">
        <v>1998</v>
      </c>
      <c r="E1179" s="26"/>
      <c r="F1179" s="19">
        <v>2400</v>
      </c>
      <c r="G1179" s="19"/>
      <c r="H1179" s="19"/>
      <c r="I1179" s="19"/>
      <c r="J1179" s="19"/>
      <c r="K1179" s="19"/>
      <c r="L1179" s="15"/>
      <c r="M1179" s="15"/>
      <c r="N1179" s="15"/>
      <c r="O1179" s="15"/>
      <c r="P1179" s="15"/>
      <c r="Q1179" s="15"/>
      <c r="R1179" s="15"/>
      <c r="S1179" s="15"/>
      <c r="T1179" s="15"/>
      <c r="U1179" s="15"/>
      <c r="V1179" s="15"/>
      <c r="W1179" s="15"/>
      <c r="X1179" s="15"/>
      <c r="Y1179" s="15"/>
      <c r="Z1179" s="15"/>
    </row>
    <row r="1180" spans="1:26" x14ac:dyDescent="0.3">
      <c r="A1180" s="24">
        <v>18</v>
      </c>
      <c r="B1180" s="27" t="s">
        <v>1999</v>
      </c>
      <c r="C1180" s="27" t="s">
        <v>2000</v>
      </c>
      <c r="D1180" s="17"/>
      <c r="E1180" s="17"/>
      <c r="F1180" s="17"/>
      <c r="G1180" s="17"/>
      <c r="H1180" s="17"/>
      <c r="I1180" s="17"/>
      <c r="J1180" s="17"/>
      <c r="K1180" s="17"/>
      <c r="L1180" s="15"/>
      <c r="M1180" s="15"/>
      <c r="N1180" s="15"/>
      <c r="O1180" s="15"/>
      <c r="P1180" s="15"/>
      <c r="Q1180" s="15"/>
      <c r="R1180" s="15"/>
      <c r="S1180" s="15"/>
      <c r="T1180" s="15"/>
      <c r="U1180" s="15"/>
      <c r="V1180" s="15"/>
      <c r="W1180" s="15"/>
      <c r="X1180" s="15"/>
      <c r="Y1180" s="15"/>
      <c r="Z1180" s="15"/>
    </row>
    <row r="1181" spans="1:26" x14ac:dyDescent="0.3">
      <c r="A1181" s="17"/>
      <c r="B1181" s="27" t="s">
        <v>2001</v>
      </c>
      <c r="C1181" s="27" t="s">
        <v>2002</v>
      </c>
      <c r="D1181" s="26" t="s">
        <v>2003</v>
      </c>
      <c r="E1181" s="26"/>
      <c r="F1181" s="19">
        <v>7200</v>
      </c>
      <c r="G1181" s="19"/>
      <c r="H1181" s="19"/>
      <c r="I1181" s="19"/>
      <c r="J1181" s="19"/>
      <c r="K1181" s="19"/>
      <c r="L1181" s="15"/>
      <c r="M1181" s="15"/>
      <c r="N1181" s="15"/>
      <c r="O1181" s="15"/>
      <c r="P1181" s="15"/>
      <c r="Q1181" s="15"/>
      <c r="R1181" s="15"/>
      <c r="S1181" s="15"/>
      <c r="T1181" s="15"/>
      <c r="U1181" s="15"/>
      <c r="V1181" s="15"/>
      <c r="W1181" s="15"/>
      <c r="X1181" s="15"/>
      <c r="Y1181" s="15"/>
      <c r="Z1181" s="15"/>
    </row>
    <row r="1182" spans="1:26" x14ac:dyDescent="0.3">
      <c r="A1182" s="17"/>
      <c r="B1182" s="17"/>
      <c r="C1182" s="27" t="s">
        <v>2004</v>
      </c>
      <c r="D1182" s="17"/>
      <c r="E1182" s="17"/>
      <c r="F1182" s="17"/>
      <c r="G1182" s="17"/>
      <c r="H1182" s="17"/>
      <c r="I1182" s="17"/>
      <c r="J1182" s="17"/>
      <c r="K1182" s="17"/>
      <c r="L1182" s="15"/>
      <c r="M1182" s="15"/>
      <c r="N1182" s="15"/>
      <c r="O1182" s="15"/>
      <c r="P1182" s="15"/>
      <c r="Q1182" s="15"/>
      <c r="R1182" s="15"/>
      <c r="S1182" s="15"/>
      <c r="T1182" s="15"/>
      <c r="U1182" s="15"/>
      <c r="V1182" s="15"/>
      <c r="W1182" s="15"/>
      <c r="X1182" s="15"/>
      <c r="Y1182" s="15"/>
      <c r="Z1182" s="15"/>
    </row>
    <row r="1183" spans="1:26" x14ac:dyDescent="0.3">
      <c r="A1183" s="17"/>
      <c r="B1183" s="17"/>
      <c r="C1183" s="17"/>
      <c r="D1183" s="17"/>
      <c r="E1183" s="17"/>
      <c r="F1183" s="17"/>
      <c r="G1183" s="17"/>
      <c r="H1183" s="17"/>
      <c r="I1183" s="17"/>
      <c r="J1183" s="17"/>
      <c r="K1183" s="17"/>
      <c r="L1183" s="15"/>
      <c r="M1183" s="15"/>
      <c r="N1183" s="15"/>
      <c r="O1183" s="15"/>
      <c r="P1183" s="15"/>
      <c r="Q1183" s="15"/>
      <c r="R1183" s="15"/>
      <c r="S1183" s="15"/>
      <c r="T1183" s="15"/>
      <c r="U1183" s="15"/>
      <c r="V1183" s="15"/>
      <c r="W1183" s="15"/>
      <c r="X1183" s="15"/>
      <c r="Y1183" s="15"/>
      <c r="Z1183" s="15"/>
    </row>
    <row r="1184" spans="1:26" x14ac:dyDescent="0.3">
      <c r="A1184" s="22"/>
      <c r="B1184" s="22"/>
      <c r="C1184" s="21" t="s">
        <v>2005</v>
      </c>
      <c r="D1184" s="22"/>
      <c r="E1184" s="22"/>
      <c r="F1184" s="22"/>
      <c r="G1184" s="22"/>
      <c r="H1184" s="22"/>
      <c r="I1184" s="22"/>
      <c r="J1184" s="22"/>
      <c r="K1184" s="22"/>
      <c r="L1184" s="15"/>
      <c r="M1184" s="15"/>
      <c r="N1184" s="15"/>
      <c r="O1184" s="15"/>
      <c r="P1184" s="15"/>
      <c r="Q1184" s="15"/>
      <c r="R1184" s="15"/>
      <c r="S1184" s="15"/>
      <c r="T1184" s="15"/>
      <c r="U1184" s="15"/>
      <c r="V1184" s="15"/>
      <c r="W1184" s="15"/>
      <c r="X1184" s="15"/>
      <c r="Y1184" s="15"/>
      <c r="Z1184" s="15"/>
    </row>
    <row r="1185" spans="1:26" x14ac:dyDescent="0.3">
      <c r="A1185" s="17"/>
      <c r="B1185" s="17"/>
      <c r="C1185" s="17"/>
      <c r="D1185" s="17"/>
      <c r="E1185" s="17"/>
      <c r="F1185" s="17"/>
      <c r="G1185" s="17"/>
      <c r="H1185" s="17"/>
      <c r="I1185" s="17"/>
      <c r="J1185" s="17"/>
      <c r="K1185" s="17"/>
      <c r="L1185" s="15"/>
      <c r="M1185" s="15"/>
      <c r="N1185" s="15"/>
      <c r="O1185" s="15"/>
      <c r="P1185" s="15"/>
      <c r="Q1185" s="15"/>
      <c r="R1185" s="15"/>
      <c r="S1185" s="15"/>
      <c r="T1185" s="15"/>
      <c r="U1185" s="15"/>
      <c r="V1185" s="15"/>
      <c r="W1185" s="15"/>
      <c r="X1185" s="15"/>
      <c r="Y1185" s="15"/>
      <c r="Z1185" s="15"/>
    </row>
    <row r="1186" spans="1:26" x14ac:dyDescent="0.3">
      <c r="A1186" s="20" t="s">
        <v>2006</v>
      </c>
      <c r="B1186" s="22"/>
      <c r="C1186" s="21" t="s">
        <v>2007</v>
      </c>
      <c r="D1186" s="22"/>
      <c r="E1186" s="22"/>
      <c r="F1186" s="22"/>
      <c r="G1186" s="22"/>
      <c r="H1186" s="22"/>
      <c r="I1186" s="22"/>
      <c r="J1186" s="22"/>
      <c r="K1186" s="22"/>
      <c r="L1186" s="15"/>
      <c r="M1186" s="15"/>
      <c r="N1186" s="15"/>
      <c r="O1186" s="15"/>
      <c r="P1186" s="15"/>
      <c r="Q1186" s="15"/>
      <c r="R1186" s="15"/>
      <c r="S1186" s="15"/>
      <c r="T1186" s="15"/>
      <c r="U1186" s="15"/>
      <c r="V1186" s="15"/>
      <c r="W1186" s="15"/>
      <c r="X1186" s="15"/>
      <c r="Y1186" s="15"/>
      <c r="Z1186" s="15"/>
    </row>
    <row r="1187" spans="1:26" x14ac:dyDescent="0.3">
      <c r="A1187" s="17"/>
      <c r="B1187" s="17"/>
      <c r="C1187" s="27" t="s">
        <v>2008</v>
      </c>
      <c r="D1187" s="26" t="s">
        <v>2009</v>
      </c>
      <c r="E1187" s="26"/>
      <c r="F1187" s="24">
        <v>1</v>
      </c>
      <c r="G1187" s="24"/>
      <c r="H1187" s="24"/>
      <c r="I1187" s="24"/>
      <c r="J1187" s="24"/>
      <c r="K1187" s="24"/>
      <c r="L1187" s="15"/>
      <c r="M1187" s="15"/>
      <c r="N1187" s="15"/>
      <c r="O1187" s="15"/>
      <c r="P1187" s="15"/>
      <c r="Q1187" s="15"/>
      <c r="R1187" s="15"/>
      <c r="S1187" s="15"/>
      <c r="T1187" s="15"/>
      <c r="U1187" s="15"/>
      <c r="V1187" s="15"/>
      <c r="W1187" s="15"/>
      <c r="X1187" s="15"/>
      <c r="Y1187" s="15"/>
      <c r="Z1187" s="15"/>
    </row>
    <row r="1188" spans="1:26" x14ac:dyDescent="0.3">
      <c r="A1188" s="17"/>
      <c r="B1188" s="17"/>
      <c r="C1188" s="17"/>
      <c r="D1188" s="17"/>
      <c r="E1188" s="17"/>
      <c r="F1188" s="17"/>
      <c r="G1188" s="17"/>
      <c r="H1188" s="17"/>
      <c r="I1188" s="17"/>
      <c r="J1188" s="17"/>
      <c r="K1188" s="17"/>
      <c r="L1188" s="15"/>
      <c r="M1188" s="15"/>
      <c r="N1188" s="15"/>
      <c r="O1188" s="15"/>
      <c r="P1188" s="15"/>
      <c r="Q1188" s="15"/>
      <c r="R1188" s="15"/>
      <c r="S1188" s="15"/>
      <c r="T1188" s="15"/>
      <c r="U1188" s="15"/>
      <c r="V1188" s="15"/>
      <c r="W1188" s="15"/>
      <c r="X1188" s="15"/>
      <c r="Y1188" s="15"/>
      <c r="Z1188" s="15"/>
    </row>
    <row r="1189" spans="1:26" x14ac:dyDescent="0.3">
      <c r="A1189" s="22"/>
      <c r="B1189" s="22"/>
      <c r="C1189" s="21" t="s">
        <v>2010</v>
      </c>
      <c r="D1189" s="22"/>
      <c r="E1189" s="22"/>
      <c r="F1189" s="22"/>
      <c r="G1189" s="22"/>
      <c r="H1189" s="22"/>
      <c r="I1189" s="22"/>
      <c r="J1189" s="22"/>
      <c r="K1189" s="22"/>
      <c r="L1189" s="15"/>
      <c r="M1189" s="15"/>
      <c r="N1189" s="15"/>
      <c r="O1189" s="15"/>
      <c r="P1189" s="15"/>
      <c r="Q1189" s="15"/>
      <c r="R1189" s="15"/>
      <c r="S1189" s="15"/>
      <c r="T1189" s="15"/>
      <c r="U1189" s="15"/>
      <c r="V1189" s="15"/>
      <c r="W1189" s="15"/>
      <c r="X1189" s="15"/>
      <c r="Y1189" s="15"/>
      <c r="Z1189" s="15"/>
    </row>
  </sheetData>
  <mergeCells count="7">
    <mergeCell ref="A928:A929"/>
    <mergeCell ref="A1:A2"/>
    <mergeCell ref="B1:B2"/>
    <mergeCell ref="C1:C2"/>
    <mergeCell ref="D1:D2"/>
    <mergeCell ref="E1:H1"/>
    <mergeCell ref="I1:L1"/>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3984375" defaultRowHeight="15" customHeight="1" x14ac:dyDescent="0.3"/>
  <cols>
    <col min="1" max="1" width="6.296875" customWidth="1"/>
    <col min="2" max="2" width="9.296875" customWidth="1"/>
    <col min="3" max="3" width="78.09765625" customWidth="1"/>
    <col min="4" max="4" width="6.69921875" customWidth="1"/>
    <col min="5" max="5" width="7.8984375" customWidth="1"/>
    <col min="6" max="6" width="8.69921875" customWidth="1"/>
    <col min="7" max="8" width="12.09765625" customWidth="1"/>
    <col min="9" max="9" width="17.09765625" customWidth="1"/>
    <col min="10" max="26" width="8.69921875" customWidth="1"/>
  </cols>
  <sheetData>
    <row r="1" spans="1:26" x14ac:dyDescent="0.3">
      <c r="A1" s="224" t="s">
        <v>2011</v>
      </c>
      <c r="B1" s="224" t="s">
        <v>2012</v>
      </c>
      <c r="C1" s="225" t="s">
        <v>2013</v>
      </c>
      <c r="D1" s="224" t="s">
        <v>2014</v>
      </c>
      <c r="E1" s="224" t="s">
        <v>2015</v>
      </c>
      <c r="F1" s="226" t="s">
        <v>2016</v>
      </c>
      <c r="G1" s="221"/>
      <c r="H1" s="226" t="s">
        <v>2017</v>
      </c>
      <c r="I1" s="221"/>
      <c r="J1" s="15"/>
      <c r="K1" s="15"/>
      <c r="L1" s="15"/>
      <c r="M1" s="15"/>
      <c r="N1" s="15"/>
      <c r="O1" s="15"/>
      <c r="P1" s="15"/>
      <c r="Q1" s="15"/>
      <c r="R1" s="15"/>
      <c r="S1" s="15"/>
      <c r="T1" s="15"/>
      <c r="U1" s="15"/>
      <c r="V1" s="15"/>
      <c r="W1" s="15"/>
      <c r="X1" s="15"/>
      <c r="Y1" s="15"/>
      <c r="Z1" s="15"/>
    </row>
    <row r="2" spans="1:26" x14ac:dyDescent="0.3">
      <c r="A2" s="217"/>
      <c r="B2" s="217"/>
      <c r="C2" s="217"/>
      <c r="D2" s="217"/>
      <c r="E2" s="217"/>
      <c r="F2" s="46" t="s">
        <v>65</v>
      </c>
      <c r="G2" s="46" t="s">
        <v>66</v>
      </c>
      <c r="H2" s="16" t="s">
        <v>65</v>
      </c>
      <c r="I2" s="16" t="s">
        <v>66</v>
      </c>
      <c r="J2" s="15"/>
      <c r="K2" s="15"/>
      <c r="L2" s="15"/>
      <c r="M2" s="15"/>
      <c r="N2" s="15"/>
      <c r="O2" s="15"/>
      <c r="P2" s="15"/>
      <c r="Q2" s="15"/>
      <c r="R2" s="15"/>
      <c r="S2" s="15"/>
      <c r="T2" s="15"/>
      <c r="U2" s="15"/>
      <c r="V2" s="15"/>
      <c r="W2" s="15"/>
      <c r="X2" s="15"/>
      <c r="Y2" s="15"/>
      <c r="Z2" s="15"/>
    </row>
    <row r="3" spans="1:26" x14ac:dyDescent="0.3">
      <c r="A3" s="17"/>
      <c r="B3" s="17"/>
      <c r="C3" s="17"/>
      <c r="D3" s="17"/>
      <c r="E3" s="17"/>
      <c r="F3" s="17"/>
      <c r="G3" s="17"/>
      <c r="H3" s="18"/>
      <c r="I3" s="18"/>
      <c r="J3" s="15"/>
      <c r="K3" s="15"/>
      <c r="L3" s="15"/>
      <c r="M3" s="15"/>
      <c r="N3" s="15"/>
      <c r="O3" s="15"/>
      <c r="P3" s="15"/>
      <c r="Q3" s="15"/>
      <c r="R3" s="15"/>
      <c r="S3" s="15"/>
      <c r="T3" s="15"/>
      <c r="U3" s="15"/>
      <c r="V3" s="15"/>
      <c r="W3" s="15"/>
      <c r="X3" s="15"/>
      <c r="Y3" s="15"/>
      <c r="Z3" s="15"/>
    </row>
    <row r="4" spans="1:26" x14ac:dyDescent="0.3">
      <c r="A4" s="20" t="s">
        <v>2018</v>
      </c>
      <c r="B4" s="22"/>
      <c r="C4" s="21" t="s">
        <v>2019</v>
      </c>
      <c r="D4" s="22"/>
      <c r="E4" s="22"/>
      <c r="F4" s="22"/>
      <c r="G4" s="22"/>
      <c r="H4" s="23"/>
      <c r="I4" s="23"/>
      <c r="J4" s="15"/>
      <c r="K4" s="15"/>
      <c r="L4" s="15"/>
      <c r="M4" s="15"/>
      <c r="N4" s="15"/>
      <c r="O4" s="15"/>
      <c r="P4" s="15"/>
      <c r="Q4" s="15"/>
      <c r="R4" s="15"/>
      <c r="S4" s="15"/>
      <c r="T4" s="15"/>
      <c r="U4" s="15"/>
      <c r="V4" s="15"/>
      <c r="W4" s="15"/>
      <c r="X4" s="15"/>
      <c r="Y4" s="15"/>
      <c r="Z4" s="15"/>
    </row>
    <row r="5" spans="1:26" x14ac:dyDescent="0.3">
      <c r="A5" s="17"/>
      <c r="B5" s="17"/>
      <c r="C5" s="17"/>
      <c r="D5" s="17"/>
      <c r="E5" s="17"/>
      <c r="F5" s="17"/>
      <c r="G5" s="17"/>
      <c r="H5" s="18"/>
      <c r="I5" s="18"/>
      <c r="J5" s="15"/>
      <c r="K5" s="15"/>
      <c r="L5" s="15"/>
      <c r="M5" s="15"/>
      <c r="N5" s="15"/>
      <c r="O5" s="15"/>
      <c r="P5" s="15"/>
      <c r="Q5" s="15"/>
      <c r="R5" s="15"/>
      <c r="S5" s="15"/>
      <c r="T5" s="15"/>
      <c r="U5" s="15"/>
      <c r="V5" s="15"/>
      <c r="W5" s="15"/>
      <c r="X5" s="15"/>
      <c r="Y5" s="15"/>
      <c r="Z5" s="15"/>
    </row>
    <row r="6" spans="1:26" x14ac:dyDescent="0.3">
      <c r="A6" s="17"/>
      <c r="B6" s="17"/>
      <c r="C6" s="17" t="s">
        <v>2020</v>
      </c>
      <c r="D6" s="17"/>
      <c r="E6" s="17"/>
      <c r="F6" s="17"/>
      <c r="G6" s="17"/>
      <c r="H6" s="18"/>
      <c r="I6" s="18"/>
      <c r="J6" s="15"/>
      <c r="K6" s="15"/>
      <c r="L6" s="15"/>
      <c r="M6" s="15"/>
      <c r="N6" s="15"/>
      <c r="O6" s="15"/>
      <c r="P6" s="15"/>
      <c r="Q6" s="15"/>
      <c r="R6" s="15"/>
      <c r="S6" s="15"/>
      <c r="T6" s="15"/>
      <c r="U6" s="15"/>
      <c r="V6" s="15"/>
      <c r="W6" s="15"/>
      <c r="X6" s="15"/>
      <c r="Y6" s="15"/>
      <c r="Z6" s="15"/>
    </row>
    <row r="7" spans="1:26" x14ac:dyDescent="0.3">
      <c r="A7" s="17"/>
      <c r="B7" s="17"/>
      <c r="C7" s="17"/>
      <c r="D7" s="17"/>
      <c r="E7" s="17"/>
      <c r="F7" s="17"/>
      <c r="G7" s="17"/>
      <c r="H7" s="18"/>
      <c r="I7" s="18"/>
      <c r="J7" s="15"/>
      <c r="K7" s="15"/>
      <c r="L7" s="15"/>
      <c r="M7" s="15"/>
      <c r="N7" s="15"/>
      <c r="O7" s="15"/>
      <c r="P7" s="15"/>
      <c r="Q7" s="15"/>
      <c r="R7" s="15"/>
      <c r="S7" s="15"/>
      <c r="T7" s="15"/>
      <c r="U7" s="15"/>
      <c r="V7" s="15"/>
      <c r="W7" s="15"/>
      <c r="X7" s="15"/>
      <c r="Y7" s="15"/>
      <c r="Z7" s="15"/>
    </row>
    <row r="8" spans="1:26" x14ac:dyDescent="0.3">
      <c r="A8" s="24">
        <v>1</v>
      </c>
      <c r="B8" s="26" t="s">
        <v>2021</v>
      </c>
      <c r="C8" s="17" t="s">
        <v>2022</v>
      </c>
      <c r="D8" s="27" t="s">
        <v>2023</v>
      </c>
      <c r="E8" s="47">
        <v>2030</v>
      </c>
      <c r="F8" s="17"/>
      <c r="G8" s="48">
        <v>50</v>
      </c>
      <c r="H8" s="18">
        <f t="shared" ref="H8:H94" si="0">E8*F8</f>
        <v>0</v>
      </c>
      <c r="I8" s="28">
        <f t="shared" ref="I8:I94" si="1">E8*G8</f>
        <v>101500</v>
      </c>
      <c r="J8" s="15"/>
      <c r="K8" s="15"/>
      <c r="L8" s="15"/>
      <c r="M8" s="15"/>
      <c r="N8" s="15"/>
      <c r="O8" s="15"/>
      <c r="P8" s="15"/>
      <c r="Q8" s="15"/>
      <c r="R8" s="15"/>
      <c r="S8" s="15"/>
      <c r="T8" s="15"/>
      <c r="U8" s="15"/>
      <c r="V8" s="15"/>
      <c r="W8" s="15"/>
      <c r="X8" s="15"/>
      <c r="Y8" s="15"/>
      <c r="Z8" s="15"/>
    </row>
    <row r="9" spans="1:26" x14ac:dyDescent="0.3">
      <c r="A9" s="24">
        <v>2</v>
      </c>
      <c r="B9" s="26" t="s">
        <v>2024</v>
      </c>
      <c r="C9" s="17" t="s">
        <v>2025</v>
      </c>
      <c r="D9" s="26" t="s">
        <v>2026</v>
      </c>
      <c r="E9" s="24">
        <v>865</v>
      </c>
      <c r="F9" s="17"/>
      <c r="G9" s="49">
        <v>50</v>
      </c>
      <c r="H9" s="18">
        <f t="shared" si="0"/>
        <v>0</v>
      </c>
      <c r="I9" s="28">
        <f t="shared" si="1"/>
        <v>43250</v>
      </c>
      <c r="J9" s="15"/>
      <c r="K9" s="15"/>
      <c r="L9" s="15"/>
      <c r="M9" s="15"/>
      <c r="N9" s="15"/>
      <c r="O9" s="15"/>
      <c r="P9" s="15"/>
      <c r="Q9" s="15"/>
      <c r="R9" s="15"/>
      <c r="S9" s="15"/>
      <c r="T9" s="15"/>
      <c r="U9" s="15"/>
      <c r="V9" s="15"/>
      <c r="W9" s="15"/>
      <c r="X9" s="15"/>
      <c r="Y9" s="15"/>
      <c r="Z9" s="15"/>
    </row>
    <row r="10" spans="1:26" x14ac:dyDescent="0.3">
      <c r="A10" s="24">
        <v>3</v>
      </c>
      <c r="B10" s="26" t="s">
        <v>2027</v>
      </c>
      <c r="C10" s="27" t="s">
        <v>2028</v>
      </c>
      <c r="D10" s="26" t="s">
        <v>2029</v>
      </c>
      <c r="E10" s="24">
        <v>1381</v>
      </c>
      <c r="F10" s="17"/>
      <c r="G10" s="49">
        <v>250</v>
      </c>
      <c r="H10" s="18">
        <f t="shared" si="0"/>
        <v>0</v>
      </c>
      <c r="I10" s="28">
        <f t="shared" si="1"/>
        <v>345250</v>
      </c>
      <c r="J10" s="15"/>
      <c r="K10" s="15"/>
      <c r="L10" s="15"/>
      <c r="M10" s="15"/>
      <c r="N10" s="15"/>
      <c r="O10" s="15"/>
      <c r="P10" s="15"/>
      <c r="Q10" s="15"/>
      <c r="R10" s="15"/>
      <c r="S10" s="15"/>
      <c r="T10" s="15"/>
      <c r="U10" s="15"/>
      <c r="V10" s="15"/>
      <c r="W10" s="15"/>
      <c r="X10" s="15"/>
      <c r="Y10" s="15"/>
      <c r="Z10" s="15"/>
    </row>
    <row r="11" spans="1:26" x14ac:dyDescent="0.3">
      <c r="A11" s="24">
        <v>4</v>
      </c>
      <c r="B11" s="26" t="s">
        <v>2030</v>
      </c>
      <c r="C11" s="27" t="s">
        <v>2031</v>
      </c>
      <c r="D11" s="26" t="s">
        <v>2032</v>
      </c>
      <c r="E11" s="24">
        <v>4113</v>
      </c>
      <c r="F11" s="17"/>
      <c r="G11" s="49">
        <v>250</v>
      </c>
      <c r="H11" s="18">
        <f t="shared" si="0"/>
        <v>0</v>
      </c>
      <c r="I11" s="28">
        <f t="shared" si="1"/>
        <v>1028250</v>
      </c>
      <c r="J11" s="15"/>
      <c r="K11" s="15"/>
      <c r="L11" s="15"/>
      <c r="M11" s="15"/>
      <c r="N11" s="15"/>
      <c r="O11" s="15"/>
      <c r="P11" s="15"/>
      <c r="Q11" s="15"/>
      <c r="R11" s="15"/>
      <c r="S11" s="15"/>
      <c r="T11" s="15"/>
      <c r="U11" s="15"/>
      <c r="V11" s="15"/>
      <c r="W11" s="15"/>
      <c r="X11" s="15"/>
      <c r="Y11" s="15"/>
      <c r="Z11" s="15"/>
    </row>
    <row r="12" spans="1:26" x14ac:dyDescent="0.3">
      <c r="A12" s="24">
        <v>5</v>
      </c>
      <c r="B12" s="26" t="s">
        <v>2033</v>
      </c>
      <c r="C12" s="17" t="s">
        <v>2034</v>
      </c>
      <c r="D12" s="26" t="s">
        <v>2035</v>
      </c>
      <c r="E12" s="24">
        <v>88</v>
      </c>
      <c r="F12" s="17"/>
      <c r="G12" s="49">
        <v>250</v>
      </c>
      <c r="H12" s="18">
        <f t="shared" si="0"/>
        <v>0</v>
      </c>
      <c r="I12" s="28">
        <f t="shared" si="1"/>
        <v>22000</v>
      </c>
      <c r="J12" s="15"/>
      <c r="K12" s="15"/>
      <c r="L12" s="15"/>
      <c r="M12" s="15"/>
      <c r="N12" s="15"/>
      <c r="O12" s="15"/>
      <c r="P12" s="15"/>
      <c r="Q12" s="15"/>
      <c r="R12" s="15"/>
      <c r="S12" s="15"/>
      <c r="T12" s="15"/>
      <c r="U12" s="15"/>
      <c r="V12" s="15"/>
      <c r="W12" s="15"/>
      <c r="X12" s="15"/>
      <c r="Y12" s="15"/>
      <c r="Z12" s="15"/>
    </row>
    <row r="13" spans="1:26" x14ac:dyDescent="0.3">
      <c r="A13" s="24">
        <v>6</v>
      </c>
      <c r="B13" s="26" t="s">
        <v>2036</v>
      </c>
      <c r="C13" s="27" t="s">
        <v>2037</v>
      </c>
      <c r="D13" s="26" t="s">
        <v>2038</v>
      </c>
      <c r="E13" s="24">
        <v>1273</v>
      </c>
      <c r="F13" s="17"/>
      <c r="G13" s="49">
        <v>300</v>
      </c>
      <c r="H13" s="18">
        <f t="shared" si="0"/>
        <v>0</v>
      </c>
      <c r="I13" s="28">
        <f t="shared" si="1"/>
        <v>381900</v>
      </c>
      <c r="J13" s="15"/>
      <c r="K13" s="15"/>
      <c r="L13" s="15"/>
      <c r="M13" s="15"/>
      <c r="N13" s="15"/>
      <c r="O13" s="15"/>
      <c r="P13" s="15"/>
      <c r="Q13" s="15"/>
      <c r="R13" s="15"/>
      <c r="S13" s="15"/>
      <c r="T13" s="15"/>
      <c r="U13" s="15"/>
      <c r="V13" s="15"/>
      <c r="W13" s="15"/>
      <c r="X13" s="15"/>
      <c r="Y13" s="15"/>
      <c r="Z13" s="15"/>
    </row>
    <row r="14" spans="1:26" x14ac:dyDescent="0.3">
      <c r="A14" s="24">
        <v>7</v>
      </c>
      <c r="B14" s="26" t="s">
        <v>2039</v>
      </c>
      <c r="C14" s="27" t="s">
        <v>2040</v>
      </c>
      <c r="D14" s="26" t="s">
        <v>2041</v>
      </c>
      <c r="E14" s="24">
        <v>4</v>
      </c>
      <c r="F14" s="17"/>
      <c r="G14" s="49">
        <v>300</v>
      </c>
      <c r="H14" s="18">
        <f t="shared" si="0"/>
        <v>0</v>
      </c>
      <c r="I14" s="28">
        <f t="shared" si="1"/>
        <v>1200</v>
      </c>
      <c r="J14" s="15"/>
      <c r="K14" s="15"/>
      <c r="L14" s="15"/>
      <c r="M14" s="15"/>
      <c r="N14" s="15"/>
      <c r="O14" s="15"/>
      <c r="P14" s="15"/>
      <c r="Q14" s="15"/>
      <c r="R14" s="15"/>
      <c r="S14" s="15"/>
      <c r="T14" s="15"/>
      <c r="U14" s="15"/>
      <c r="V14" s="15"/>
      <c r="W14" s="15"/>
      <c r="X14" s="15"/>
      <c r="Y14" s="15"/>
      <c r="Z14" s="15"/>
    </row>
    <row r="15" spans="1:26" x14ac:dyDescent="0.3">
      <c r="A15" s="24">
        <v>8</v>
      </c>
      <c r="B15" s="26" t="s">
        <v>2042</v>
      </c>
      <c r="C15" s="27" t="s">
        <v>2043</v>
      </c>
      <c r="D15" s="26" t="s">
        <v>2044</v>
      </c>
      <c r="E15" s="24">
        <v>1</v>
      </c>
      <c r="F15" s="17"/>
      <c r="G15" s="49">
        <v>300</v>
      </c>
      <c r="H15" s="18">
        <f t="shared" si="0"/>
        <v>0</v>
      </c>
      <c r="I15" s="28">
        <f t="shared" si="1"/>
        <v>300</v>
      </c>
      <c r="J15" s="15"/>
      <c r="K15" s="15"/>
      <c r="L15" s="15"/>
      <c r="M15" s="15"/>
      <c r="N15" s="15"/>
      <c r="O15" s="15"/>
      <c r="P15" s="15"/>
      <c r="Q15" s="15"/>
      <c r="R15" s="15"/>
      <c r="S15" s="15"/>
      <c r="T15" s="15"/>
      <c r="U15" s="15"/>
      <c r="V15" s="15"/>
      <c r="W15" s="15"/>
      <c r="X15" s="15"/>
      <c r="Y15" s="15"/>
      <c r="Z15" s="15"/>
    </row>
    <row r="16" spans="1:26" x14ac:dyDescent="0.3">
      <c r="A16" s="24">
        <v>9</v>
      </c>
      <c r="B16" s="26" t="s">
        <v>2045</v>
      </c>
      <c r="C16" s="27" t="s">
        <v>2046</v>
      </c>
      <c r="D16" s="26" t="s">
        <v>2047</v>
      </c>
      <c r="E16" s="24">
        <v>4</v>
      </c>
      <c r="F16" s="17"/>
      <c r="G16" s="49">
        <v>300</v>
      </c>
      <c r="H16" s="18">
        <f t="shared" si="0"/>
        <v>0</v>
      </c>
      <c r="I16" s="28">
        <f t="shared" si="1"/>
        <v>1200</v>
      </c>
      <c r="J16" s="15"/>
      <c r="K16" s="15"/>
      <c r="L16" s="15"/>
      <c r="M16" s="15"/>
      <c r="N16" s="15"/>
      <c r="O16" s="15"/>
      <c r="P16" s="15"/>
      <c r="Q16" s="15"/>
      <c r="R16" s="15"/>
      <c r="S16" s="15"/>
      <c r="T16" s="15"/>
      <c r="U16" s="15"/>
      <c r="V16" s="15"/>
      <c r="W16" s="15"/>
      <c r="X16" s="15"/>
      <c r="Y16" s="15"/>
      <c r="Z16" s="15"/>
    </row>
    <row r="17" spans="1:26" x14ac:dyDescent="0.3">
      <c r="A17" s="24">
        <v>10</v>
      </c>
      <c r="B17" s="26" t="s">
        <v>2048</v>
      </c>
      <c r="C17" s="27" t="s">
        <v>2049</v>
      </c>
      <c r="D17" s="26" t="s">
        <v>2050</v>
      </c>
      <c r="E17" s="24">
        <v>5</v>
      </c>
      <c r="F17" s="17"/>
      <c r="G17" s="49">
        <v>300</v>
      </c>
      <c r="H17" s="18">
        <f t="shared" si="0"/>
        <v>0</v>
      </c>
      <c r="I17" s="28">
        <f t="shared" si="1"/>
        <v>1500</v>
      </c>
      <c r="J17" s="15"/>
      <c r="K17" s="15"/>
      <c r="L17" s="15"/>
      <c r="M17" s="15"/>
      <c r="N17" s="15"/>
      <c r="O17" s="15"/>
      <c r="P17" s="15"/>
      <c r="Q17" s="15"/>
      <c r="R17" s="15"/>
      <c r="S17" s="15"/>
      <c r="T17" s="15"/>
      <c r="U17" s="15"/>
      <c r="V17" s="15"/>
      <c r="W17" s="15"/>
      <c r="X17" s="15"/>
      <c r="Y17" s="15"/>
      <c r="Z17" s="15"/>
    </row>
    <row r="18" spans="1:26" x14ac:dyDescent="0.3">
      <c r="A18" s="24">
        <v>11</v>
      </c>
      <c r="B18" s="26" t="s">
        <v>2051</v>
      </c>
      <c r="C18" s="27" t="s">
        <v>2052</v>
      </c>
      <c r="D18" s="26" t="s">
        <v>2053</v>
      </c>
      <c r="E18" s="24">
        <v>4</v>
      </c>
      <c r="F18" s="17"/>
      <c r="G18" s="49">
        <v>350</v>
      </c>
      <c r="H18" s="18">
        <f t="shared" si="0"/>
        <v>0</v>
      </c>
      <c r="I18" s="28">
        <f t="shared" si="1"/>
        <v>1400</v>
      </c>
      <c r="J18" s="15"/>
      <c r="K18" s="15"/>
      <c r="L18" s="15"/>
      <c r="M18" s="15"/>
      <c r="N18" s="15"/>
      <c r="O18" s="15"/>
      <c r="P18" s="15"/>
      <c r="Q18" s="15"/>
      <c r="R18" s="15"/>
      <c r="S18" s="15"/>
      <c r="T18" s="15"/>
      <c r="U18" s="15"/>
      <c r="V18" s="15"/>
      <c r="W18" s="15"/>
      <c r="X18" s="15"/>
      <c r="Y18" s="15"/>
      <c r="Z18" s="15"/>
    </row>
    <row r="19" spans="1:26" x14ac:dyDescent="0.3">
      <c r="A19" s="24">
        <v>12</v>
      </c>
      <c r="B19" s="26" t="s">
        <v>2054</v>
      </c>
      <c r="C19" s="27" t="s">
        <v>2055</v>
      </c>
      <c r="D19" s="26" t="s">
        <v>2056</v>
      </c>
      <c r="E19" s="24">
        <v>5</v>
      </c>
      <c r="F19" s="17"/>
      <c r="G19" s="49">
        <v>350</v>
      </c>
      <c r="H19" s="18">
        <f t="shared" si="0"/>
        <v>0</v>
      </c>
      <c r="I19" s="28">
        <f t="shared" si="1"/>
        <v>1750</v>
      </c>
      <c r="J19" s="15"/>
      <c r="K19" s="15"/>
      <c r="L19" s="15"/>
      <c r="M19" s="15"/>
      <c r="N19" s="15"/>
      <c r="O19" s="15"/>
      <c r="P19" s="15"/>
      <c r="Q19" s="15"/>
      <c r="R19" s="15"/>
      <c r="S19" s="15"/>
      <c r="T19" s="15"/>
      <c r="U19" s="15"/>
      <c r="V19" s="15"/>
      <c r="W19" s="15"/>
      <c r="X19" s="15"/>
      <c r="Y19" s="15"/>
      <c r="Z19" s="15"/>
    </row>
    <row r="20" spans="1:26" x14ac:dyDescent="0.3">
      <c r="A20" s="24">
        <v>13</v>
      </c>
      <c r="B20" s="26" t="s">
        <v>2057</v>
      </c>
      <c r="C20" s="27" t="s">
        <v>2058</v>
      </c>
      <c r="D20" s="26" t="s">
        <v>2059</v>
      </c>
      <c r="E20" s="24">
        <v>14</v>
      </c>
      <c r="F20" s="17"/>
      <c r="G20" s="49">
        <v>350</v>
      </c>
      <c r="H20" s="18">
        <f t="shared" si="0"/>
        <v>0</v>
      </c>
      <c r="I20" s="28">
        <f t="shared" si="1"/>
        <v>4900</v>
      </c>
      <c r="J20" s="15"/>
      <c r="K20" s="15"/>
      <c r="L20" s="15"/>
      <c r="M20" s="15"/>
      <c r="N20" s="15"/>
      <c r="O20" s="15"/>
      <c r="P20" s="15"/>
      <c r="Q20" s="15"/>
      <c r="R20" s="15"/>
      <c r="S20" s="15"/>
      <c r="T20" s="15"/>
      <c r="U20" s="15"/>
      <c r="V20" s="15"/>
      <c r="W20" s="15"/>
      <c r="X20" s="15"/>
      <c r="Y20" s="15"/>
      <c r="Z20" s="15"/>
    </row>
    <row r="21" spans="1:26" x14ac:dyDescent="0.3">
      <c r="A21" s="24">
        <v>14</v>
      </c>
      <c r="B21" s="26" t="s">
        <v>2060</v>
      </c>
      <c r="C21" s="27" t="s">
        <v>2061</v>
      </c>
      <c r="D21" s="26" t="s">
        <v>2062</v>
      </c>
      <c r="E21" s="24">
        <v>2</v>
      </c>
      <c r="F21" s="17"/>
      <c r="G21" s="49">
        <v>350</v>
      </c>
      <c r="H21" s="18">
        <f t="shared" si="0"/>
        <v>0</v>
      </c>
      <c r="I21" s="28">
        <f t="shared" si="1"/>
        <v>700</v>
      </c>
      <c r="J21" s="15"/>
      <c r="K21" s="15"/>
      <c r="L21" s="15"/>
      <c r="M21" s="15"/>
      <c r="N21" s="15"/>
      <c r="O21" s="15"/>
      <c r="P21" s="15"/>
      <c r="Q21" s="15"/>
      <c r="R21" s="15"/>
      <c r="S21" s="15"/>
      <c r="T21" s="15"/>
      <c r="U21" s="15"/>
      <c r="V21" s="15"/>
      <c r="W21" s="15"/>
      <c r="X21" s="15"/>
      <c r="Y21" s="15"/>
      <c r="Z21" s="15"/>
    </row>
    <row r="22" spans="1:26" x14ac:dyDescent="0.3">
      <c r="A22" s="24">
        <v>15</v>
      </c>
      <c r="B22" s="26" t="s">
        <v>2063</v>
      </c>
      <c r="C22" s="17" t="s">
        <v>2064</v>
      </c>
      <c r="D22" s="26" t="s">
        <v>2065</v>
      </c>
      <c r="E22" s="24">
        <v>4</v>
      </c>
      <c r="F22" s="17"/>
      <c r="G22" s="49">
        <v>350</v>
      </c>
      <c r="H22" s="18">
        <f t="shared" si="0"/>
        <v>0</v>
      </c>
      <c r="I22" s="28">
        <f t="shared" si="1"/>
        <v>1400</v>
      </c>
      <c r="J22" s="15"/>
      <c r="K22" s="15"/>
      <c r="L22" s="15"/>
      <c r="M22" s="15"/>
      <c r="N22" s="15"/>
      <c r="O22" s="15"/>
      <c r="P22" s="15"/>
      <c r="Q22" s="15"/>
      <c r="R22" s="15"/>
      <c r="S22" s="15"/>
      <c r="T22" s="15"/>
      <c r="U22" s="15"/>
      <c r="V22" s="15"/>
      <c r="W22" s="15"/>
      <c r="X22" s="15"/>
      <c r="Y22" s="15"/>
      <c r="Z22" s="15"/>
    </row>
    <row r="23" spans="1:26" x14ac:dyDescent="0.3">
      <c r="A23" s="24">
        <v>16</v>
      </c>
      <c r="B23" s="26" t="s">
        <v>2066</v>
      </c>
      <c r="C23" s="27" t="s">
        <v>2067</v>
      </c>
      <c r="D23" s="26" t="s">
        <v>2068</v>
      </c>
      <c r="E23" s="24">
        <v>28</v>
      </c>
      <c r="F23" s="17"/>
      <c r="G23" s="49">
        <v>350</v>
      </c>
      <c r="H23" s="18">
        <f t="shared" si="0"/>
        <v>0</v>
      </c>
      <c r="I23" s="28">
        <f t="shared" si="1"/>
        <v>9800</v>
      </c>
      <c r="J23" s="15"/>
      <c r="K23" s="15"/>
      <c r="L23" s="15"/>
      <c r="M23" s="15"/>
      <c r="N23" s="15"/>
      <c r="O23" s="15"/>
      <c r="P23" s="15"/>
      <c r="Q23" s="15"/>
      <c r="R23" s="15"/>
      <c r="S23" s="15"/>
      <c r="T23" s="15"/>
      <c r="U23" s="15"/>
      <c r="V23" s="15"/>
      <c r="W23" s="15"/>
      <c r="X23" s="15"/>
      <c r="Y23" s="15"/>
      <c r="Z23" s="15"/>
    </row>
    <row r="24" spans="1:26" x14ac:dyDescent="0.3">
      <c r="A24" s="24">
        <v>17</v>
      </c>
      <c r="B24" s="26" t="s">
        <v>2069</v>
      </c>
      <c r="C24" s="27" t="s">
        <v>2070</v>
      </c>
      <c r="D24" s="26" t="s">
        <v>2071</v>
      </c>
      <c r="E24" s="24">
        <v>2</v>
      </c>
      <c r="F24" s="17"/>
      <c r="G24" s="49">
        <v>300</v>
      </c>
      <c r="H24" s="18">
        <f t="shared" si="0"/>
        <v>0</v>
      </c>
      <c r="I24" s="28">
        <f t="shared" si="1"/>
        <v>600</v>
      </c>
      <c r="J24" s="15"/>
      <c r="K24" s="15"/>
      <c r="L24" s="15"/>
      <c r="M24" s="15"/>
      <c r="N24" s="15"/>
      <c r="O24" s="15"/>
      <c r="P24" s="15"/>
      <c r="Q24" s="15"/>
      <c r="R24" s="15"/>
      <c r="S24" s="15"/>
      <c r="T24" s="15"/>
      <c r="U24" s="15"/>
      <c r="V24" s="15"/>
      <c r="W24" s="15"/>
      <c r="X24" s="15"/>
      <c r="Y24" s="15"/>
      <c r="Z24" s="15"/>
    </row>
    <row r="25" spans="1:26" x14ac:dyDescent="0.3">
      <c r="A25" s="24">
        <v>18</v>
      </c>
      <c r="B25" s="26" t="s">
        <v>2072</v>
      </c>
      <c r="C25" s="17" t="s">
        <v>2073</v>
      </c>
      <c r="D25" s="26" t="s">
        <v>2074</v>
      </c>
      <c r="E25" s="24">
        <v>2</v>
      </c>
      <c r="F25" s="17"/>
      <c r="G25" s="49">
        <v>300</v>
      </c>
      <c r="H25" s="18">
        <f t="shared" si="0"/>
        <v>0</v>
      </c>
      <c r="I25" s="28">
        <f t="shared" si="1"/>
        <v>600</v>
      </c>
      <c r="J25" s="15"/>
      <c r="K25" s="15"/>
      <c r="L25" s="15"/>
      <c r="M25" s="15"/>
      <c r="N25" s="15"/>
      <c r="O25" s="15"/>
      <c r="P25" s="15"/>
      <c r="Q25" s="15"/>
      <c r="R25" s="15"/>
      <c r="S25" s="15"/>
      <c r="T25" s="15"/>
      <c r="U25" s="15"/>
      <c r="V25" s="15"/>
      <c r="W25" s="15"/>
      <c r="X25" s="15"/>
      <c r="Y25" s="15"/>
      <c r="Z25" s="15"/>
    </row>
    <row r="26" spans="1:26" x14ac:dyDescent="0.3">
      <c r="A26" s="24">
        <v>19</v>
      </c>
      <c r="B26" s="26" t="s">
        <v>2075</v>
      </c>
      <c r="C26" s="17" t="s">
        <v>2076</v>
      </c>
      <c r="D26" s="26" t="s">
        <v>2077</v>
      </c>
      <c r="E26" s="24">
        <v>2</v>
      </c>
      <c r="F26" s="17"/>
      <c r="G26" s="49">
        <v>300</v>
      </c>
      <c r="H26" s="18">
        <f t="shared" si="0"/>
        <v>0</v>
      </c>
      <c r="I26" s="28">
        <f t="shared" si="1"/>
        <v>600</v>
      </c>
      <c r="J26" s="15"/>
      <c r="K26" s="15"/>
      <c r="L26" s="15"/>
      <c r="M26" s="15"/>
      <c r="N26" s="15"/>
      <c r="O26" s="15"/>
      <c r="P26" s="15"/>
      <c r="Q26" s="15"/>
      <c r="R26" s="15"/>
      <c r="S26" s="15"/>
      <c r="T26" s="15"/>
      <c r="U26" s="15"/>
      <c r="V26" s="15"/>
      <c r="W26" s="15"/>
      <c r="X26" s="15"/>
      <c r="Y26" s="15"/>
      <c r="Z26" s="15"/>
    </row>
    <row r="27" spans="1:26" x14ac:dyDescent="0.3">
      <c r="A27" s="24">
        <v>20</v>
      </c>
      <c r="B27" s="26" t="s">
        <v>2078</v>
      </c>
      <c r="C27" s="27" t="s">
        <v>2079</v>
      </c>
      <c r="D27" s="26" t="s">
        <v>2080</v>
      </c>
      <c r="E27" s="24">
        <v>7</v>
      </c>
      <c r="F27" s="17"/>
      <c r="G27" s="49">
        <v>300</v>
      </c>
      <c r="H27" s="18">
        <f t="shared" si="0"/>
        <v>0</v>
      </c>
      <c r="I27" s="28">
        <f t="shared" si="1"/>
        <v>2100</v>
      </c>
      <c r="J27" s="15"/>
      <c r="K27" s="15"/>
      <c r="L27" s="15"/>
      <c r="M27" s="15"/>
      <c r="N27" s="15"/>
      <c r="O27" s="15"/>
      <c r="P27" s="15"/>
      <c r="Q27" s="15"/>
      <c r="R27" s="15"/>
      <c r="S27" s="15"/>
      <c r="T27" s="15"/>
      <c r="U27" s="15"/>
      <c r="V27" s="15"/>
      <c r="W27" s="15"/>
      <c r="X27" s="15"/>
      <c r="Y27" s="15"/>
      <c r="Z27" s="15"/>
    </row>
    <row r="28" spans="1:26" x14ac:dyDescent="0.3">
      <c r="A28" s="24">
        <v>21</v>
      </c>
      <c r="B28" s="26" t="s">
        <v>2081</v>
      </c>
      <c r="C28" s="17" t="s">
        <v>2082</v>
      </c>
      <c r="D28" s="26" t="s">
        <v>2083</v>
      </c>
      <c r="E28" s="24">
        <v>1</v>
      </c>
      <c r="F28" s="17"/>
      <c r="G28" s="49">
        <v>300</v>
      </c>
      <c r="H28" s="18">
        <f t="shared" si="0"/>
        <v>0</v>
      </c>
      <c r="I28" s="28">
        <f t="shared" si="1"/>
        <v>300</v>
      </c>
      <c r="J28" s="15"/>
      <c r="K28" s="15"/>
      <c r="L28" s="15"/>
      <c r="M28" s="15"/>
      <c r="N28" s="15"/>
      <c r="O28" s="15"/>
      <c r="P28" s="15"/>
      <c r="Q28" s="15"/>
      <c r="R28" s="15"/>
      <c r="S28" s="15"/>
      <c r="T28" s="15"/>
      <c r="U28" s="15"/>
      <c r="V28" s="15"/>
      <c r="W28" s="15"/>
      <c r="X28" s="15"/>
      <c r="Y28" s="15"/>
      <c r="Z28" s="15"/>
    </row>
    <row r="29" spans="1:26" x14ac:dyDescent="0.3">
      <c r="A29" s="24">
        <v>22</v>
      </c>
      <c r="B29" s="26" t="s">
        <v>2084</v>
      </c>
      <c r="C29" s="17" t="s">
        <v>2085</v>
      </c>
      <c r="D29" s="26" t="s">
        <v>2086</v>
      </c>
      <c r="E29" s="24">
        <v>1</v>
      </c>
      <c r="F29" s="17"/>
      <c r="G29" s="49">
        <v>3000</v>
      </c>
      <c r="H29" s="18">
        <f t="shared" si="0"/>
        <v>0</v>
      </c>
      <c r="I29" s="28">
        <f t="shared" si="1"/>
        <v>3000</v>
      </c>
      <c r="J29" s="15"/>
      <c r="K29" s="15"/>
      <c r="L29" s="15"/>
      <c r="M29" s="15"/>
      <c r="N29" s="15"/>
      <c r="O29" s="15"/>
      <c r="P29" s="15"/>
      <c r="Q29" s="15"/>
      <c r="R29" s="15"/>
      <c r="S29" s="15"/>
      <c r="T29" s="15"/>
      <c r="U29" s="15"/>
      <c r="V29" s="15"/>
      <c r="W29" s="15"/>
      <c r="X29" s="15"/>
      <c r="Y29" s="15"/>
      <c r="Z29" s="15"/>
    </row>
    <row r="30" spans="1:26" x14ac:dyDescent="0.3">
      <c r="A30" s="24">
        <v>23</v>
      </c>
      <c r="B30" s="26" t="s">
        <v>2087</v>
      </c>
      <c r="C30" s="17" t="s">
        <v>2088</v>
      </c>
      <c r="D30" s="26" t="s">
        <v>2089</v>
      </c>
      <c r="E30" s="24">
        <v>2</v>
      </c>
      <c r="F30" s="17"/>
      <c r="G30" s="49">
        <v>4900</v>
      </c>
      <c r="H30" s="18">
        <f t="shared" si="0"/>
        <v>0</v>
      </c>
      <c r="I30" s="28">
        <f t="shared" si="1"/>
        <v>9800</v>
      </c>
      <c r="J30" s="15"/>
      <c r="K30" s="15"/>
      <c r="L30" s="15"/>
      <c r="M30" s="15"/>
      <c r="N30" s="15"/>
      <c r="O30" s="15"/>
      <c r="P30" s="15"/>
      <c r="Q30" s="15"/>
      <c r="R30" s="15"/>
      <c r="S30" s="15"/>
      <c r="T30" s="15"/>
      <c r="U30" s="15"/>
      <c r="V30" s="15"/>
      <c r="W30" s="15"/>
      <c r="X30" s="15"/>
      <c r="Y30" s="15"/>
      <c r="Z30" s="15"/>
    </row>
    <row r="31" spans="1:26" x14ac:dyDescent="0.3">
      <c r="A31" s="24">
        <v>24</v>
      </c>
      <c r="B31" s="26" t="s">
        <v>2090</v>
      </c>
      <c r="C31" s="17" t="s">
        <v>2091</v>
      </c>
      <c r="D31" s="26" t="s">
        <v>2092</v>
      </c>
      <c r="E31" s="24">
        <v>1</v>
      </c>
      <c r="F31" s="17"/>
      <c r="G31" s="49">
        <v>350</v>
      </c>
      <c r="H31" s="18">
        <f t="shared" si="0"/>
        <v>0</v>
      </c>
      <c r="I31" s="28">
        <f t="shared" si="1"/>
        <v>350</v>
      </c>
      <c r="J31" s="15"/>
      <c r="K31" s="15"/>
      <c r="L31" s="15"/>
      <c r="M31" s="15"/>
      <c r="N31" s="15"/>
      <c r="O31" s="15"/>
      <c r="P31" s="15"/>
      <c r="Q31" s="15"/>
      <c r="R31" s="15"/>
      <c r="S31" s="15"/>
      <c r="T31" s="15"/>
      <c r="U31" s="15"/>
      <c r="V31" s="15"/>
      <c r="W31" s="15"/>
      <c r="X31" s="15"/>
      <c r="Y31" s="15"/>
      <c r="Z31" s="15"/>
    </row>
    <row r="32" spans="1:26" x14ac:dyDescent="0.3">
      <c r="A32" s="24">
        <v>25</v>
      </c>
      <c r="B32" s="26" t="s">
        <v>2093</v>
      </c>
      <c r="C32" s="27" t="s">
        <v>2094</v>
      </c>
      <c r="D32" s="26" t="s">
        <v>2095</v>
      </c>
      <c r="E32" s="24">
        <v>1</v>
      </c>
      <c r="F32" s="17"/>
      <c r="G32" s="49">
        <v>350</v>
      </c>
      <c r="H32" s="18">
        <f t="shared" si="0"/>
        <v>0</v>
      </c>
      <c r="I32" s="28">
        <f t="shared" si="1"/>
        <v>350</v>
      </c>
      <c r="J32" s="15"/>
      <c r="K32" s="15"/>
      <c r="L32" s="15"/>
      <c r="M32" s="15"/>
      <c r="N32" s="15"/>
      <c r="O32" s="15"/>
      <c r="P32" s="15"/>
      <c r="Q32" s="15"/>
      <c r="R32" s="15"/>
      <c r="S32" s="15"/>
      <c r="T32" s="15"/>
      <c r="U32" s="15"/>
      <c r="V32" s="15"/>
      <c r="W32" s="15"/>
      <c r="X32" s="15"/>
      <c r="Y32" s="15"/>
      <c r="Z32" s="15"/>
    </row>
    <row r="33" spans="1:26" x14ac:dyDescent="0.3">
      <c r="A33" s="24">
        <v>26</v>
      </c>
      <c r="B33" s="26" t="s">
        <v>2096</v>
      </c>
      <c r="C33" s="17" t="s">
        <v>2097</v>
      </c>
      <c r="D33" s="26" t="s">
        <v>2098</v>
      </c>
      <c r="E33" s="24">
        <v>1</v>
      </c>
      <c r="F33" s="17"/>
      <c r="G33" s="49">
        <v>350</v>
      </c>
      <c r="H33" s="18">
        <f t="shared" si="0"/>
        <v>0</v>
      </c>
      <c r="I33" s="28">
        <f t="shared" si="1"/>
        <v>350</v>
      </c>
      <c r="J33" s="15"/>
      <c r="K33" s="15"/>
      <c r="L33" s="15"/>
      <c r="M33" s="15"/>
      <c r="N33" s="15"/>
      <c r="O33" s="15"/>
      <c r="P33" s="15"/>
      <c r="Q33" s="15"/>
      <c r="R33" s="15"/>
      <c r="S33" s="15"/>
      <c r="T33" s="15"/>
      <c r="U33" s="15"/>
      <c r="V33" s="15"/>
      <c r="W33" s="15"/>
      <c r="X33" s="15"/>
      <c r="Y33" s="15"/>
      <c r="Z33" s="15"/>
    </row>
    <row r="34" spans="1:26" x14ac:dyDescent="0.3">
      <c r="A34" s="24">
        <v>27</v>
      </c>
      <c r="B34" s="26" t="s">
        <v>2099</v>
      </c>
      <c r="C34" s="27" t="s">
        <v>2100</v>
      </c>
      <c r="D34" s="26" t="s">
        <v>2101</v>
      </c>
      <c r="E34" s="24">
        <v>1</v>
      </c>
      <c r="F34" s="17"/>
      <c r="G34" s="49">
        <v>350</v>
      </c>
      <c r="H34" s="18">
        <f t="shared" si="0"/>
        <v>0</v>
      </c>
      <c r="I34" s="28">
        <f t="shared" si="1"/>
        <v>350</v>
      </c>
      <c r="J34" s="15"/>
      <c r="K34" s="15"/>
      <c r="L34" s="15"/>
      <c r="M34" s="15"/>
      <c r="N34" s="15"/>
      <c r="O34" s="15"/>
      <c r="P34" s="15"/>
      <c r="Q34" s="15"/>
      <c r="R34" s="15"/>
      <c r="S34" s="15"/>
      <c r="T34" s="15"/>
      <c r="U34" s="15"/>
      <c r="V34" s="15"/>
      <c r="W34" s="15"/>
      <c r="X34" s="15"/>
      <c r="Y34" s="15"/>
      <c r="Z34" s="15"/>
    </row>
    <row r="35" spans="1:26" x14ac:dyDescent="0.3">
      <c r="A35" s="24">
        <v>28</v>
      </c>
      <c r="B35" s="26" t="s">
        <v>2102</v>
      </c>
      <c r="C35" s="17" t="s">
        <v>2103</v>
      </c>
      <c r="D35" s="26" t="s">
        <v>2104</v>
      </c>
      <c r="E35" s="24">
        <v>1</v>
      </c>
      <c r="F35" s="17"/>
      <c r="G35" s="49">
        <v>350</v>
      </c>
      <c r="H35" s="18">
        <f t="shared" si="0"/>
        <v>0</v>
      </c>
      <c r="I35" s="28">
        <f t="shared" si="1"/>
        <v>350</v>
      </c>
      <c r="J35" s="15"/>
      <c r="K35" s="15"/>
      <c r="L35" s="15"/>
      <c r="M35" s="15"/>
      <c r="N35" s="15"/>
      <c r="O35" s="15"/>
      <c r="P35" s="15"/>
      <c r="Q35" s="15"/>
      <c r="R35" s="15"/>
      <c r="S35" s="15"/>
      <c r="T35" s="15"/>
      <c r="U35" s="15"/>
      <c r="V35" s="15"/>
      <c r="W35" s="15"/>
      <c r="X35" s="15"/>
      <c r="Y35" s="15"/>
      <c r="Z35" s="15"/>
    </row>
    <row r="36" spans="1:26" x14ac:dyDescent="0.3">
      <c r="A36" s="24">
        <v>29</v>
      </c>
      <c r="B36" s="26" t="s">
        <v>2105</v>
      </c>
      <c r="C36" s="17" t="s">
        <v>2106</v>
      </c>
      <c r="D36" s="26" t="s">
        <v>2107</v>
      </c>
      <c r="E36" s="24">
        <v>1</v>
      </c>
      <c r="F36" s="17"/>
      <c r="G36" s="49">
        <v>350</v>
      </c>
      <c r="H36" s="18">
        <f t="shared" si="0"/>
        <v>0</v>
      </c>
      <c r="I36" s="28">
        <f t="shared" si="1"/>
        <v>350</v>
      </c>
      <c r="J36" s="15"/>
      <c r="K36" s="15"/>
      <c r="L36" s="15"/>
      <c r="M36" s="15"/>
      <c r="N36" s="15"/>
      <c r="O36" s="15"/>
      <c r="P36" s="15"/>
      <c r="Q36" s="15"/>
      <c r="R36" s="15"/>
      <c r="S36" s="15"/>
      <c r="T36" s="15"/>
      <c r="U36" s="15"/>
      <c r="V36" s="15"/>
      <c r="W36" s="15"/>
      <c r="X36" s="15"/>
      <c r="Y36" s="15"/>
      <c r="Z36" s="15"/>
    </row>
    <row r="37" spans="1:26" x14ac:dyDescent="0.3">
      <c r="A37" s="24">
        <v>30</v>
      </c>
      <c r="B37" s="26" t="s">
        <v>2108</v>
      </c>
      <c r="C37" s="17" t="s">
        <v>2109</v>
      </c>
      <c r="D37" s="26" t="s">
        <v>2110</v>
      </c>
      <c r="E37" s="24">
        <v>18</v>
      </c>
      <c r="F37" s="17"/>
      <c r="G37" s="49">
        <v>350</v>
      </c>
      <c r="H37" s="18">
        <f t="shared" si="0"/>
        <v>0</v>
      </c>
      <c r="I37" s="28">
        <f t="shared" si="1"/>
        <v>6300</v>
      </c>
      <c r="J37" s="15"/>
      <c r="K37" s="15"/>
      <c r="L37" s="15"/>
      <c r="M37" s="15"/>
      <c r="N37" s="15"/>
      <c r="O37" s="15"/>
      <c r="P37" s="15"/>
      <c r="Q37" s="15"/>
      <c r="R37" s="15"/>
      <c r="S37" s="15"/>
      <c r="T37" s="15"/>
      <c r="U37" s="15"/>
      <c r="V37" s="15"/>
      <c r="W37" s="15"/>
      <c r="X37" s="15"/>
      <c r="Y37" s="15"/>
      <c r="Z37" s="15"/>
    </row>
    <row r="38" spans="1:26" x14ac:dyDescent="0.3">
      <c r="A38" s="24">
        <v>31</v>
      </c>
      <c r="B38" s="26" t="s">
        <v>2111</v>
      </c>
      <c r="C38" s="17" t="s">
        <v>2112</v>
      </c>
      <c r="D38" s="26" t="s">
        <v>2113</v>
      </c>
      <c r="E38" s="24">
        <v>7</v>
      </c>
      <c r="F38" s="17"/>
      <c r="G38" s="49">
        <v>350</v>
      </c>
      <c r="H38" s="18">
        <f t="shared" si="0"/>
        <v>0</v>
      </c>
      <c r="I38" s="28">
        <f t="shared" si="1"/>
        <v>2450</v>
      </c>
      <c r="J38" s="15"/>
      <c r="K38" s="15"/>
      <c r="L38" s="15"/>
      <c r="M38" s="15"/>
      <c r="N38" s="15"/>
      <c r="O38" s="15"/>
      <c r="P38" s="15"/>
      <c r="Q38" s="15"/>
      <c r="R38" s="15"/>
      <c r="S38" s="15"/>
      <c r="T38" s="15"/>
      <c r="U38" s="15"/>
      <c r="V38" s="15"/>
      <c r="W38" s="15"/>
      <c r="X38" s="15"/>
      <c r="Y38" s="15"/>
      <c r="Z38" s="15"/>
    </row>
    <row r="39" spans="1:26" x14ac:dyDescent="0.3">
      <c r="A39" s="24">
        <v>32</v>
      </c>
      <c r="B39" s="26" t="s">
        <v>2114</v>
      </c>
      <c r="C39" s="17" t="s">
        <v>2115</v>
      </c>
      <c r="D39" s="26" t="s">
        <v>2116</v>
      </c>
      <c r="E39" s="24">
        <v>10</v>
      </c>
      <c r="F39" s="17"/>
      <c r="G39" s="49">
        <v>350</v>
      </c>
      <c r="H39" s="18">
        <f t="shared" si="0"/>
        <v>0</v>
      </c>
      <c r="I39" s="28">
        <f t="shared" si="1"/>
        <v>3500</v>
      </c>
      <c r="J39" s="15"/>
      <c r="K39" s="15"/>
      <c r="L39" s="15"/>
      <c r="M39" s="15"/>
      <c r="N39" s="15"/>
      <c r="O39" s="15"/>
      <c r="P39" s="15"/>
      <c r="Q39" s="15"/>
      <c r="R39" s="15"/>
      <c r="S39" s="15"/>
      <c r="T39" s="15"/>
      <c r="U39" s="15"/>
      <c r="V39" s="15"/>
      <c r="W39" s="15"/>
      <c r="X39" s="15"/>
      <c r="Y39" s="15"/>
      <c r="Z39" s="15"/>
    </row>
    <row r="40" spans="1:26" x14ac:dyDescent="0.3">
      <c r="A40" s="24">
        <v>33</v>
      </c>
      <c r="B40" s="26" t="s">
        <v>2117</v>
      </c>
      <c r="C40" s="17" t="s">
        <v>2118</v>
      </c>
      <c r="D40" s="26" t="s">
        <v>2119</v>
      </c>
      <c r="E40" s="24">
        <v>10</v>
      </c>
      <c r="F40" s="17"/>
      <c r="G40" s="49">
        <v>350</v>
      </c>
      <c r="H40" s="18">
        <f t="shared" si="0"/>
        <v>0</v>
      </c>
      <c r="I40" s="28">
        <f t="shared" si="1"/>
        <v>3500</v>
      </c>
      <c r="J40" s="15"/>
      <c r="K40" s="15"/>
      <c r="L40" s="15"/>
      <c r="M40" s="15"/>
      <c r="N40" s="15"/>
      <c r="O40" s="15"/>
      <c r="P40" s="15"/>
      <c r="Q40" s="15"/>
      <c r="R40" s="15"/>
      <c r="S40" s="15"/>
      <c r="T40" s="15"/>
      <c r="U40" s="15"/>
      <c r="V40" s="15"/>
      <c r="W40" s="15"/>
      <c r="X40" s="15"/>
      <c r="Y40" s="15"/>
      <c r="Z40" s="15"/>
    </row>
    <row r="41" spans="1:26" x14ac:dyDescent="0.3">
      <c r="A41" s="24">
        <v>34</v>
      </c>
      <c r="B41" s="26" t="s">
        <v>2120</v>
      </c>
      <c r="C41" s="17" t="s">
        <v>2121</v>
      </c>
      <c r="D41" s="26" t="s">
        <v>2122</v>
      </c>
      <c r="E41" s="24">
        <v>2</v>
      </c>
      <c r="F41" s="17"/>
      <c r="G41" s="49">
        <v>350</v>
      </c>
      <c r="H41" s="18">
        <f t="shared" si="0"/>
        <v>0</v>
      </c>
      <c r="I41" s="28">
        <f t="shared" si="1"/>
        <v>700</v>
      </c>
      <c r="J41" s="15"/>
      <c r="K41" s="15"/>
      <c r="L41" s="15"/>
      <c r="M41" s="15"/>
      <c r="N41" s="15"/>
      <c r="O41" s="15"/>
      <c r="P41" s="15"/>
      <c r="Q41" s="15"/>
      <c r="R41" s="15"/>
      <c r="S41" s="15"/>
      <c r="T41" s="15"/>
      <c r="U41" s="15"/>
      <c r="V41" s="15"/>
      <c r="W41" s="15"/>
      <c r="X41" s="15"/>
      <c r="Y41" s="15"/>
      <c r="Z41" s="15"/>
    </row>
    <row r="42" spans="1:26" x14ac:dyDescent="0.3">
      <c r="A42" s="24">
        <v>35</v>
      </c>
      <c r="B42" s="26" t="s">
        <v>2123</v>
      </c>
      <c r="C42" s="17" t="s">
        <v>2124</v>
      </c>
      <c r="D42" s="26" t="s">
        <v>2125</v>
      </c>
      <c r="E42" s="24">
        <v>2</v>
      </c>
      <c r="F42" s="17"/>
      <c r="G42" s="49">
        <v>350</v>
      </c>
      <c r="H42" s="18">
        <f t="shared" si="0"/>
        <v>0</v>
      </c>
      <c r="I42" s="28">
        <f t="shared" si="1"/>
        <v>700</v>
      </c>
      <c r="J42" s="15"/>
      <c r="K42" s="15"/>
      <c r="L42" s="15"/>
      <c r="M42" s="15"/>
      <c r="N42" s="15"/>
      <c r="O42" s="15"/>
      <c r="P42" s="15"/>
      <c r="Q42" s="15"/>
      <c r="R42" s="15"/>
      <c r="S42" s="15"/>
      <c r="T42" s="15"/>
      <c r="U42" s="15"/>
      <c r="V42" s="15"/>
      <c r="W42" s="15"/>
      <c r="X42" s="15"/>
      <c r="Y42" s="15"/>
      <c r="Z42" s="15"/>
    </row>
    <row r="43" spans="1:26" x14ac:dyDescent="0.3">
      <c r="A43" s="24">
        <v>36</v>
      </c>
      <c r="B43" s="26" t="s">
        <v>2126</v>
      </c>
      <c r="C43" s="27" t="s">
        <v>2127</v>
      </c>
      <c r="D43" s="26" t="s">
        <v>2128</v>
      </c>
      <c r="E43" s="24">
        <v>2</v>
      </c>
      <c r="F43" s="17"/>
      <c r="G43" s="49">
        <v>350</v>
      </c>
      <c r="H43" s="18">
        <f t="shared" si="0"/>
        <v>0</v>
      </c>
      <c r="I43" s="28">
        <f t="shared" si="1"/>
        <v>700</v>
      </c>
      <c r="J43" s="15"/>
      <c r="K43" s="15"/>
      <c r="L43" s="15"/>
      <c r="M43" s="15"/>
      <c r="N43" s="15"/>
      <c r="O43" s="15"/>
      <c r="P43" s="15"/>
      <c r="Q43" s="15"/>
      <c r="R43" s="15"/>
      <c r="S43" s="15"/>
      <c r="T43" s="15"/>
      <c r="U43" s="15"/>
      <c r="V43" s="15"/>
      <c r="W43" s="15"/>
      <c r="X43" s="15"/>
      <c r="Y43" s="15"/>
      <c r="Z43" s="15"/>
    </row>
    <row r="44" spans="1:26" x14ac:dyDescent="0.3">
      <c r="A44" s="24">
        <v>37</v>
      </c>
      <c r="B44" s="26" t="s">
        <v>2129</v>
      </c>
      <c r="C44" s="17" t="s">
        <v>2130</v>
      </c>
      <c r="D44" s="26" t="s">
        <v>2131</v>
      </c>
      <c r="E44" s="24">
        <v>54</v>
      </c>
      <c r="F44" s="17"/>
      <c r="G44" s="49">
        <v>350</v>
      </c>
      <c r="H44" s="18">
        <f t="shared" si="0"/>
        <v>0</v>
      </c>
      <c r="I44" s="28">
        <f t="shared" si="1"/>
        <v>18900</v>
      </c>
      <c r="J44" s="15"/>
      <c r="K44" s="15"/>
      <c r="L44" s="15"/>
      <c r="M44" s="15"/>
      <c r="N44" s="15"/>
      <c r="O44" s="15"/>
      <c r="P44" s="15"/>
      <c r="Q44" s="15"/>
      <c r="R44" s="15"/>
      <c r="S44" s="15"/>
      <c r="T44" s="15"/>
      <c r="U44" s="15"/>
      <c r="V44" s="15"/>
      <c r="W44" s="15"/>
      <c r="X44" s="15"/>
      <c r="Y44" s="15"/>
      <c r="Z44" s="15"/>
    </row>
    <row r="45" spans="1:26" x14ac:dyDescent="0.3">
      <c r="A45" s="24">
        <v>38</v>
      </c>
      <c r="B45" s="26" t="s">
        <v>2132</v>
      </c>
      <c r="C45" s="27" t="s">
        <v>2133</v>
      </c>
      <c r="D45" s="26" t="s">
        <v>2134</v>
      </c>
      <c r="E45" s="24">
        <v>10</v>
      </c>
      <c r="F45" s="17"/>
      <c r="G45" s="49">
        <v>350</v>
      </c>
      <c r="H45" s="18">
        <f t="shared" si="0"/>
        <v>0</v>
      </c>
      <c r="I45" s="28">
        <f t="shared" si="1"/>
        <v>3500</v>
      </c>
      <c r="J45" s="15"/>
      <c r="K45" s="15"/>
      <c r="L45" s="15"/>
      <c r="M45" s="15"/>
      <c r="N45" s="15"/>
      <c r="O45" s="15"/>
      <c r="P45" s="15"/>
      <c r="Q45" s="15"/>
      <c r="R45" s="15"/>
      <c r="S45" s="15"/>
      <c r="T45" s="15"/>
      <c r="U45" s="15"/>
      <c r="V45" s="15"/>
      <c r="W45" s="15"/>
      <c r="X45" s="15"/>
      <c r="Y45" s="15"/>
      <c r="Z45" s="15"/>
    </row>
    <row r="46" spans="1:26" x14ac:dyDescent="0.3">
      <c r="A46" s="24">
        <v>39</v>
      </c>
      <c r="B46" s="26" t="s">
        <v>2135</v>
      </c>
      <c r="C46" s="27" t="s">
        <v>2136</v>
      </c>
      <c r="D46" s="26" t="s">
        <v>2137</v>
      </c>
      <c r="E46" s="24">
        <v>40</v>
      </c>
      <c r="F46" s="17"/>
      <c r="G46" s="49">
        <v>350</v>
      </c>
      <c r="H46" s="18">
        <f t="shared" si="0"/>
        <v>0</v>
      </c>
      <c r="I46" s="28">
        <f t="shared" si="1"/>
        <v>14000</v>
      </c>
      <c r="J46" s="15"/>
      <c r="K46" s="15"/>
      <c r="L46" s="15"/>
      <c r="M46" s="15"/>
      <c r="N46" s="15"/>
      <c r="O46" s="15"/>
      <c r="P46" s="15"/>
      <c r="Q46" s="15"/>
      <c r="R46" s="15"/>
      <c r="S46" s="15"/>
      <c r="T46" s="15"/>
      <c r="U46" s="15"/>
      <c r="V46" s="15"/>
      <c r="W46" s="15"/>
      <c r="X46" s="15"/>
      <c r="Y46" s="15"/>
      <c r="Z46" s="15"/>
    </row>
    <row r="47" spans="1:26" x14ac:dyDescent="0.3">
      <c r="A47" s="24">
        <v>40</v>
      </c>
      <c r="B47" s="26" t="s">
        <v>2138</v>
      </c>
      <c r="C47" s="27" t="s">
        <v>2139</v>
      </c>
      <c r="D47" s="26" t="s">
        <v>2140</v>
      </c>
      <c r="E47" s="24">
        <v>85</v>
      </c>
      <c r="F47" s="17"/>
      <c r="G47" s="49">
        <v>350</v>
      </c>
      <c r="H47" s="18">
        <f t="shared" si="0"/>
        <v>0</v>
      </c>
      <c r="I47" s="28">
        <f t="shared" si="1"/>
        <v>29750</v>
      </c>
      <c r="J47" s="15"/>
      <c r="K47" s="15"/>
      <c r="L47" s="15"/>
      <c r="M47" s="15"/>
      <c r="N47" s="15"/>
      <c r="O47" s="15"/>
      <c r="P47" s="15"/>
      <c r="Q47" s="15"/>
      <c r="R47" s="15"/>
      <c r="S47" s="15"/>
      <c r="T47" s="15"/>
      <c r="U47" s="15"/>
      <c r="V47" s="15"/>
      <c r="W47" s="15"/>
      <c r="X47" s="15"/>
      <c r="Y47" s="15"/>
      <c r="Z47" s="15"/>
    </row>
    <row r="48" spans="1:26" x14ac:dyDescent="0.3">
      <c r="A48" s="24">
        <v>41</v>
      </c>
      <c r="B48" s="26" t="s">
        <v>2141</v>
      </c>
      <c r="C48" s="27" t="s">
        <v>2142</v>
      </c>
      <c r="D48" s="26" t="s">
        <v>2143</v>
      </c>
      <c r="E48" s="24">
        <v>623</v>
      </c>
      <c r="F48" s="17"/>
      <c r="G48" s="49">
        <v>350</v>
      </c>
      <c r="H48" s="18">
        <f t="shared" si="0"/>
        <v>0</v>
      </c>
      <c r="I48" s="28">
        <f t="shared" si="1"/>
        <v>218050</v>
      </c>
      <c r="J48" s="15"/>
      <c r="K48" s="15"/>
      <c r="L48" s="15"/>
      <c r="M48" s="15"/>
      <c r="N48" s="15"/>
      <c r="O48" s="15"/>
      <c r="P48" s="15"/>
      <c r="Q48" s="15"/>
      <c r="R48" s="15"/>
      <c r="S48" s="15"/>
      <c r="T48" s="15"/>
      <c r="U48" s="15"/>
      <c r="V48" s="15"/>
      <c r="W48" s="15"/>
      <c r="X48" s="15"/>
      <c r="Y48" s="15"/>
      <c r="Z48" s="15"/>
    </row>
    <row r="49" spans="1:26" x14ac:dyDescent="0.3">
      <c r="A49" s="24">
        <v>42</v>
      </c>
      <c r="B49" s="26" t="s">
        <v>2144</v>
      </c>
      <c r="C49" s="27" t="s">
        <v>2145</v>
      </c>
      <c r="D49" s="26" t="s">
        <v>2146</v>
      </c>
      <c r="E49" s="24">
        <v>322</v>
      </c>
      <c r="F49" s="17"/>
      <c r="G49" s="49">
        <v>350</v>
      </c>
      <c r="H49" s="18">
        <f t="shared" si="0"/>
        <v>0</v>
      </c>
      <c r="I49" s="28">
        <f t="shared" si="1"/>
        <v>112700</v>
      </c>
      <c r="J49" s="15"/>
      <c r="K49" s="15"/>
      <c r="L49" s="15"/>
      <c r="M49" s="15"/>
      <c r="N49" s="15"/>
      <c r="O49" s="15"/>
      <c r="P49" s="15"/>
      <c r="Q49" s="15"/>
      <c r="R49" s="15"/>
      <c r="S49" s="15"/>
      <c r="T49" s="15"/>
      <c r="U49" s="15"/>
      <c r="V49" s="15"/>
      <c r="W49" s="15"/>
      <c r="X49" s="15"/>
      <c r="Y49" s="15"/>
      <c r="Z49" s="15"/>
    </row>
    <row r="50" spans="1:26" x14ac:dyDescent="0.3">
      <c r="A50" s="24">
        <v>43</v>
      </c>
      <c r="B50" s="26" t="s">
        <v>2147</v>
      </c>
      <c r="C50" s="17" t="s">
        <v>2148</v>
      </c>
      <c r="D50" s="26" t="s">
        <v>2149</v>
      </c>
      <c r="E50" s="24">
        <v>62</v>
      </c>
      <c r="F50" s="17"/>
      <c r="G50" s="49">
        <v>350</v>
      </c>
      <c r="H50" s="18">
        <f t="shared" si="0"/>
        <v>0</v>
      </c>
      <c r="I50" s="28">
        <f t="shared" si="1"/>
        <v>21700</v>
      </c>
      <c r="J50" s="15"/>
      <c r="K50" s="15"/>
      <c r="L50" s="15"/>
      <c r="M50" s="15"/>
      <c r="N50" s="15"/>
      <c r="O50" s="15"/>
      <c r="P50" s="15"/>
      <c r="Q50" s="15"/>
      <c r="R50" s="15"/>
      <c r="S50" s="15"/>
      <c r="T50" s="15"/>
      <c r="U50" s="15"/>
      <c r="V50" s="15"/>
      <c r="W50" s="15"/>
      <c r="X50" s="15"/>
      <c r="Y50" s="15"/>
      <c r="Z50" s="15"/>
    </row>
    <row r="51" spans="1:26" x14ac:dyDescent="0.3">
      <c r="A51" s="24">
        <v>44</v>
      </c>
      <c r="B51" s="26" t="s">
        <v>2150</v>
      </c>
      <c r="C51" s="27" t="s">
        <v>2151</v>
      </c>
      <c r="D51" s="26" t="s">
        <v>2152</v>
      </c>
      <c r="E51" s="24">
        <v>48</v>
      </c>
      <c r="F51" s="17"/>
      <c r="G51" s="49">
        <v>350</v>
      </c>
      <c r="H51" s="18">
        <f t="shared" si="0"/>
        <v>0</v>
      </c>
      <c r="I51" s="28">
        <f t="shared" si="1"/>
        <v>16800</v>
      </c>
      <c r="J51" s="15"/>
      <c r="K51" s="15"/>
      <c r="L51" s="15"/>
      <c r="M51" s="15"/>
      <c r="N51" s="15"/>
      <c r="O51" s="15"/>
      <c r="P51" s="15"/>
      <c r="Q51" s="15"/>
      <c r="R51" s="15"/>
      <c r="S51" s="15"/>
      <c r="T51" s="15"/>
      <c r="U51" s="15"/>
      <c r="V51" s="15"/>
      <c r="W51" s="15"/>
      <c r="X51" s="15"/>
      <c r="Y51" s="15"/>
      <c r="Z51" s="15"/>
    </row>
    <row r="52" spans="1:26" x14ac:dyDescent="0.3">
      <c r="A52" s="24">
        <v>45</v>
      </c>
      <c r="B52" s="26" t="s">
        <v>2153</v>
      </c>
      <c r="C52" s="27" t="s">
        <v>2154</v>
      </c>
      <c r="D52" s="26" t="s">
        <v>2155</v>
      </c>
      <c r="E52" s="24">
        <v>2</v>
      </c>
      <c r="F52" s="17"/>
      <c r="G52" s="49">
        <v>350</v>
      </c>
      <c r="H52" s="18">
        <f t="shared" si="0"/>
        <v>0</v>
      </c>
      <c r="I52" s="28">
        <f t="shared" si="1"/>
        <v>700</v>
      </c>
      <c r="J52" s="15"/>
      <c r="K52" s="15"/>
      <c r="L52" s="15"/>
      <c r="M52" s="15"/>
      <c r="N52" s="15"/>
      <c r="O52" s="15"/>
      <c r="P52" s="15"/>
      <c r="Q52" s="15"/>
      <c r="R52" s="15"/>
      <c r="S52" s="15"/>
      <c r="T52" s="15"/>
      <c r="U52" s="15"/>
      <c r="V52" s="15"/>
      <c r="W52" s="15"/>
      <c r="X52" s="15"/>
      <c r="Y52" s="15"/>
      <c r="Z52" s="15"/>
    </row>
    <row r="53" spans="1:26" x14ac:dyDescent="0.3">
      <c r="A53" s="24">
        <v>46</v>
      </c>
      <c r="B53" s="26" t="s">
        <v>2156</v>
      </c>
      <c r="C53" s="50" t="s">
        <v>2157</v>
      </c>
      <c r="D53" s="26" t="s">
        <v>2158</v>
      </c>
      <c r="E53" s="24">
        <v>14</v>
      </c>
      <c r="F53" s="17"/>
      <c r="G53" s="49">
        <v>350</v>
      </c>
      <c r="H53" s="18">
        <f t="shared" si="0"/>
        <v>0</v>
      </c>
      <c r="I53" s="28">
        <f t="shared" si="1"/>
        <v>4900</v>
      </c>
      <c r="J53" s="15"/>
      <c r="K53" s="15"/>
      <c r="L53" s="15"/>
      <c r="M53" s="15"/>
      <c r="N53" s="15"/>
      <c r="O53" s="15"/>
      <c r="P53" s="15"/>
      <c r="Q53" s="15"/>
      <c r="R53" s="15"/>
      <c r="S53" s="15"/>
      <c r="T53" s="15"/>
      <c r="U53" s="15"/>
      <c r="V53" s="15"/>
      <c r="W53" s="15"/>
      <c r="X53" s="15"/>
      <c r="Y53" s="15"/>
      <c r="Z53" s="15"/>
    </row>
    <row r="54" spans="1:26" x14ac:dyDescent="0.3">
      <c r="A54" s="24">
        <v>47</v>
      </c>
      <c r="B54" s="26" t="s">
        <v>2159</v>
      </c>
      <c r="C54" s="27" t="s">
        <v>2160</v>
      </c>
      <c r="D54" s="26" t="s">
        <v>2161</v>
      </c>
      <c r="E54" s="24">
        <v>1</v>
      </c>
      <c r="F54" s="17"/>
      <c r="G54" s="49">
        <v>350</v>
      </c>
      <c r="H54" s="18">
        <f t="shared" si="0"/>
        <v>0</v>
      </c>
      <c r="I54" s="28">
        <f t="shared" si="1"/>
        <v>350</v>
      </c>
      <c r="J54" s="15"/>
      <c r="K54" s="15"/>
      <c r="L54" s="15"/>
      <c r="M54" s="15"/>
      <c r="N54" s="15"/>
      <c r="O54" s="15"/>
      <c r="P54" s="15"/>
      <c r="Q54" s="15"/>
      <c r="R54" s="15"/>
      <c r="S54" s="15"/>
      <c r="T54" s="15"/>
      <c r="U54" s="15"/>
      <c r="V54" s="15"/>
      <c r="W54" s="15"/>
      <c r="X54" s="15"/>
      <c r="Y54" s="15"/>
      <c r="Z54" s="15"/>
    </row>
    <row r="55" spans="1:26" x14ac:dyDescent="0.3">
      <c r="A55" s="24">
        <v>48</v>
      </c>
      <c r="B55" s="26" t="s">
        <v>2162</v>
      </c>
      <c r="C55" s="17" t="s">
        <v>2163</v>
      </c>
      <c r="D55" s="26" t="s">
        <v>2164</v>
      </c>
      <c r="E55" s="24">
        <v>2</v>
      </c>
      <c r="F55" s="17"/>
      <c r="G55" s="49">
        <v>350</v>
      </c>
      <c r="H55" s="18">
        <f t="shared" si="0"/>
        <v>0</v>
      </c>
      <c r="I55" s="28">
        <f t="shared" si="1"/>
        <v>700</v>
      </c>
      <c r="J55" s="15"/>
      <c r="K55" s="15"/>
      <c r="L55" s="15"/>
      <c r="M55" s="15"/>
      <c r="N55" s="15"/>
      <c r="O55" s="15"/>
      <c r="P55" s="15"/>
      <c r="Q55" s="15"/>
      <c r="R55" s="15"/>
      <c r="S55" s="15"/>
      <c r="T55" s="15"/>
      <c r="U55" s="15"/>
      <c r="V55" s="15"/>
      <c r="W55" s="15"/>
      <c r="X55" s="15"/>
      <c r="Y55" s="15"/>
      <c r="Z55" s="15"/>
    </row>
    <row r="56" spans="1:26" x14ac:dyDescent="0.3">
      <c r="A56" s="24">
        <v>49</v>
      </c>
      <c r="B56" s="26" t="s">
        <v>2165</v>
      </c>
      <c r="C56" s="27" t="s">
        <v>2166</v>
      </c>
      <c r="D56" s="26" t="s">
        <v>2167</v>
      </c>
      <c r="E56" s="24">
        <v>12</v>
      </c>
      <c r="F56" s="17"/>
      <c r="G56" s="49">
        <v>350</v>
      </c>
      <c r="H56" s="18">
        <f t="shared" si="0"/>
        <v>0</v>
      </c>
      <c r="I56" s="28">
        <f t="shared" si="1"/>
        <v>4200</v>
      </c>
      <c r="J56" s="15"/>
      <c r="K56" s="15"/>
      <c r="L56" s="15"/>
      <c r="M56" s="15"/>
      <c r="N56" s="15"/>
      <c r="O56" s="15"/>
      <c r="P56" s="15"/>
      <c r="Q56" s="15"/>
      <c r="R56" s="15"/>
      <c r="S56" s="15"/>
      <c r="T56" s="15"/>
      <c r="U56" s="15"/>
      <c r="V56" s="15"/>
      <c r="W56" s="15"/>
      <c r="X56" s="15"/>
      <c r="Y56" s="15"/>
      <c r="Z56" s="15"/>
    </row>
    <row r="57" spans="1:26" x14ac:dyDescent="0.3">
      <c r="A57" s="24">
        <v>50</v>
      </c>
      <c r="B57" s="26" t="s">
        <v>2168</v>
      </c>
      <c r="C57" s="17" t="s">
        <v>2169</v>
      </c>
      <c r="D57" s="26" t="s">
        <v>2170</v>
      </c>
      <c r="E57" s="24">
        <v>1</v>
      </c>
      <c r="F57" s="17"/>
      <c r="G57" s="49">
        <v>350</v>
      </c>
      <c r="H57" s="18">
        <f t="shared" si="0"/>
        <v>0</v>
      </c>
      <c r="I57" s="28">
        <f t="shared" si="1"/>
        <v>350</v>
      </c>
      <c r="J57" s="15"/>
      <c r="K57" s="15"/>
      <c r="L57" s="15"/>
      <c r="M57" s="15"/>
      <c r="N57" s="15"/>
      <c r="O57" s="15"/>
      <c r="P57" s="15"/>
      <c r="Q57" s="15"/>
      <c r="R57" s="15"/>
      <c r="S57" s="15"/>
      <c r="T57" s="15"/>
      <c r="U57" s="15"/>
      <c r="V57" s="15"/>
      <c r="W57" s="15"/>
      <c r="X57" s="15"/>
      <c r="Y57" s="15"/>
      <c r="Z57" s="15"/>
    </row>
    <row r="58" spans="1:26" x14ac:dyDescent="0.3">
      <c r="A58" s="24">
        <v>51</v>
      </c>
      <c r="B58" s="26" t="s">
        <v>2171</v>
      </c>
      <c r="C58" s="27" t="s">
        <v>2172</v>
      </c>
      <c r="D58" s="26" t="s">
        <v>2173</v>
      </c>
      <c r="E58" s="24">
        <v>1</v>
      </c>
      <c r="F58" s="17"/>
      <c r="G58" s="49">
        <v>350</v>
      </c>
      <c r="H58" s="18">
        <f t="shared" si="0"/>
        <v>0</v>
      </c>
      <c r="I58" s="28">
        <f t="shared" si="1"/>
        <v>350</v>
      </c>
      <c r="J58" s="15"/>
      <c r="K58" s="15"/>
      <c r="L58" s="15"/>
      <c r="M58" s="15"/>
      <c r="N58" s="15"/>
      <c r="O58" s="15"/>
      <c r="P58" s="15"/>
      <c r="Q58" s="15"/>
      <c r="R58" s="15"/>
      <c r="S58" s="15"/>
      <c r="T58" s="15"/>
      <c r="U58" s="15"/>
      <c r="V58" s="15"/>
      <c r="W58" s="15"/>
      <c r="X58" s="15"/>
      <c r="Y58" s="15"/>
      <c r="Z58" s="15"/>
    </row>
    <row r="59" spans="1:26" x14ac:dyDescent="0.3">
      <c r="A59" s="24">
        <v>52</v>
      </c>
      <c r="B59" s="26" t="s">
        <v>2174</v>
      </c>
      <c r="C59" s="27" t="s">
        <v>2175</v>
      </c>
      <c r="D59" s="26" t="s">
        <v>2176</v>
      </c>
      <c r="E59" s="24">
        <v>1</v>
      </c>
      <c r="F59" s="17"/>
      <c r="G59" s="49">
        <v>350</v>
      </c>
      <c r="H59" s="18">
        <f t="shared" si="0"/>
        <v>0</v>
      </c>
      <c r="I59" s="28">
        <f t="shared" si="1"/>
        <v>350</v>
      </c>
      <c r="J59" s="15"/>
      <c r="K59" s="15"/>
      <c r="L59" s="15"/>
      <c r="M59" s="15"/>
      <c r="N59" s="15"/>
      <c r="O59" s="15"/>
      <c r="P59" s="15"/>
      <c r="Q59" s="15"/>
      <c r="R59" s="15"/>
      <c r="S59" s="15"/>
      <c r="T59" s="15"/>
      <c r="U59" s="15"/>
      <c r="V59" s="15"/>
      <c r="W59" s="15"/>
      <c r="X59" s="15"/>
      <c r="Y59" s="15"/>
      <c r="Z59" s="15"/>
    </row>
    <row r="60" spans="1:26" x14ac:dyDescent="0.3">
      <c r="A60" s="24">
        <v>53</v>
      </c>
      <c r="B60" s="26" t="s">
        <v>2177</v>
      </c>
      <c r="C60" s="27" t="s">
        <v>2178</v>
      </c>
      <c r="D60" s="26" t="s">
        <v>2179</v>
      </c>
      <c r="E60" s="24">
        <v>6</v>
      </c>
      <c r="F60" s="17"/>
      <c r="G60" s="49">
        <v>350</v>
      </c>
      <c r="H60" s="18">
        <f t="shared" si="0"/>
        <v>0</v>
      </c>
      <c r="I60" s="28">
        <f t="shared" si="1"/>
        <v>2100</v>
      </c>
      <c r="J60" s="15"/>
      <c r="K60" s="15"/>
      <c r="L60" s="15"/>
      <c r="M60" s="15"/>
      <c r="N60" s="15"/>
      <c r="O60" s="15"/>
      <c r="P60" s="15"/>
      <c r="Q60" s="15"/>
      <c r="R60" s="15"/>
      <c r="S60" s="15"/>
      <c r="T60" s="15"/>
      <c r="U60" s="15"/>
      <c r="V60" s="15"/>
      <c r="W60" s="15"/>
      <c r="X60" s="15"/>
      <c r="Y60" s="15"/>
      <c r="Z60" s="15"/>
    </row>
    <row r="61" spans="1:26" x14ac:dyDescent="0.3">
      <c r="A61" s="24">
        <v>54</v>
      </c>
      <c r="B61" s="26" t="s">
        <v>2180</v>
      </c>
      <c r="C61" s="27" t="s">
        <v>2181</v>
      </c>
      <c r="D61" s="26" t="s">
        <v>2182</v>
      </c>
      <c r="E61" s="24">
        <v>6</v>
      </c>
      <c r="F61" s="17"/>
      <c r="G61" s="49">
        <v>350</v>
      </c>
      <c r="H61" s="18">
        <f t="shared" si="0"/>
        <v>0</v>
      </c>
      <c r="I61" s="28">
        <f t="shared" si="1"/>
        <v>2100</v>
      </c>
      <c r="J61" s="15"/>
      <c r="K61" s="15"/>
      <c r="L61" s="15"/>
      <c r="M61" s="15"/>
      <c r="N61" s="15"/>
      <c r="O61" s="15"/>
      <c r="P61" s="15"/>
      <c r="Q61" s="15"/>
      <c r="R61" s="15"/>
      <c r="S61" s="15"/>
      <c r="T61" s="15"/>
      <c r="U61" s="15"/>
      <c r="V61" s="15"/>
      <c r="W61" s="15"/>
      <c r="X61" s="15"/>
      <c r="Y61" s="15"/>
      <c r="Z61" s="15"/>
    </row>
    <row r="62" spans="1:26" x14ac:dyDescent="0.3">
      <c r="A62" s="24">
        <v>55</v>
      </c>
      <c r="B62" s="26" t="s">
        <v>2183</v>
      </c>
      <c r="C62" s="27" t="s">
        <v>2184</v>
      </c>
      <c r="D62" s="26" t="s">
        <v>2185</v>
      </c>
      <c r="E62" s="24">
        <v>42</v>
      </c>
      <c r="F62" s="17"/>
      <c r="G62" s="49">
        <v>350</v>
      </c>
      <c r="H62" s="18">
        <f t="shared" si="0"/>
        <v>0</v>
      </c>
      <c r="I62" s="28">
        <f t="shared" si="1"/>
        <v>14700</v>
      </c>
      <c r="J62" s="15"/>
      <c r="K62" s="15"/>
      <c r="L62" s="15"/>
      <c r="M62" s="15"/>
      <c r="N62" s="15"/>
      <c r="O62" s="15"/>
      <c r="P62" s="15"/>
      <c r="Q62" s="15"/>
      <c r="R62" s="15"/>
      <c r="S62" s="15"/>
      <c r="T62" s="15"/>
      <c r="U62" s="15"/>
      <c r="V62" s="15"/>
      <c r="W62" s="15"/>
      <c r="X62" s="15"/>
      <c r="Y62" s="15"/>
      <c r="Z62" s="15"/>
    </row>
    <row r="63" spans="1:26" x14ac:dyDescent="0.3">
      <c r="A63" s="17"/>
      <c r="B63" s="17"/>
      <c r="C63" s="35" t="s">
        <v>2186</v>
      </c>
      <c r="D63" s="17"/>
      <c r="E63" s="17"/>
      <c r="F63" s="17"/>
      <c r="G63" s="17"/>
      <c r="H63" s="18">
        <f t="shared" si="0"/>
        <v>0</v>
      </c>
      <c r="I63" s="28">
        <f t="shared" si="1"/>
        <v>0</v>
      </c>
      <c r="J63" s="15"/>
      <c r="K63" s="15"/>
      <c r="L63" s="15"/>
      <c r="M63" s="15"/>
      <c r="N63" s="15"/>
      <c r="O63" s="15"/>
      <c r="P63" s="15"/>
      <c r="Q63" s="15"/>
      <c r="R63" s="15"/>
      <c r="S63" s="15"/>
      <c r="T63" s="15"/>
      <c r="U63" s="15"/>
      <c r="V63" s="15"/>
      <c r="W63" s="15"/>
      <c r="X63" s="15"/>
      <c r="Y63" s="15"/>
      <c r="Z63" s="15"/>
    </row>
    <row r="64" spans="1:26" x14ac:dyDescent="0.3">
      <c r="A64" s="26" t="s">
        <v>2187</v>
      </c>
      <c r="B64" s="26" t="s">
        <v>2188</v>
      </c>
      <c r="C64" s="17" t="s">
        <v>2189</v>
      </c>
      <c r="D64" s="26" t="s">
        <v>2190</v>
      </c>
      <c r="E64" s="24">
        <v>23</v>
      </c>
      <c r="F64" s="17"/>
      <c r="G64" s="49">
        <v>350</v>
      </c>
      <c r="H64" s="18">
        <f t="shared" si="0"/>
        <v>0</v>
      </c>
      <c r="I64" s="28">
        <f t="shared" si="1"/>
        <v>8050</v>
      </c>
      <c r="J64" s="15"/>
      <c r="K64" s="15"/>
      <c r="L64" s="15"/>
      <c r="M64" s="15"/>
      <c r="N64" s="15"/>
      <c r="O64" s="15"/>
      <c r="P64" s="15"/>
      <c r="Q64" s="15"/>
      <c r="R64" s="15"/>
      <c r="S64" s="15"/>
      <c r="T64" s="15"/>
      <c r="U64" s="15"/>
      <c r="V64" s="15"/>
      <c r="W64" s="15"/>
      <c r="X64" s="15"/>
      <c r="Y64" s="15"/>
      <c r="Z64" s="15"/>
    </row>
    <row r="65" spans="1:26" x14ac:dyDescent="0.3">
      <c r="A65" s="26" t="s">
        <v>2191</v>
      </c>
      <c r="B65" s="26" t="s">
        <v>2192</v>
      </c>
      <c r="C65" s="17" t="s">
        <v>2193</v>
      </c>
      <c r="D65" s="26" t="s">
        <v>2194</v>
      </c>
      <c r="E65" s="24">
        <v>24</v>
      </c>
      <c r="F65" s="17"/>
      <c r="G65" s="49">
        <v>350</v>
      </c>
      <c r="H65" s="18">
        <f t="shared" si="0"/>
        <v>0</v>
      </c>
      <c r="I65" s="28">
        <f t="shared" si="1"/>
        <v>8400</v>
      </c>
      <c r="J65" s="15"/>
      <c r="K65" s="15"/>
      <c r="L65" s="15"/>
      <c r="M65" s="15"/>
      <c r="N65" s="15"/>
      <c r="O65" s="15"/>
      <c r="P65" s="15"/>
      <c r="Q65" s="15"/>
      <c r="R65" s="15"/>
      <c r="S65" s="15"/>
      <c r="T65" s="15"/>
      <c r="U65" s="15"/>
      <c r="V65" s="15"/>
      <c r="W65" s="15"/>
      <c r="X65" s="15"/>
      <c r="Y65" s="15"/>
      <c r="Z65" s="15"/>
    </row>
    <row r="66" spans="1:26" x14ac:dyDescent="0.3">
      <c r="A66" s="26" t="s">
        <v>2195</v>
      </c>
      <c r="B66" s="26" t="s">
        <v>2196</v>
      </c>
      <c r="C66" s="17" t="s">
        <v>2197</v>
      </c>
      <c r="D66" s="26" t="s">
        <v>2198</v>
      </c>
      <c r="E66" s="24">
        <v>62</v>
      </c>
      <c r="F66" s="17"/>
      <c r="G66" s="49">
        <v>350</v>
      </c>
      <c r="H66" s="18">
        <f t="shared" si="0"/>
        <v>0</v>
      </c>
      <c r="I66" s="28">
        <f t="shared" si="1"/>
        <v>21700</v>
      </c>
      <c r="J66" s="15"/>
      <c r="K66" s="15"/>
      <c r="L66" s="15"/>
      <c r="M66" s="15"/>
      <c r="N66" s="15"/>
      <c r="O66" s="15"/>
      <c r="P66" s="15"/>
      <c r="Q66" s="15"/>
      <c r="R66" s="15"/>
      <c r="S66" s="15"/>
      <c r="T66" s="15"/>
      <c r="U66" s="15"/>
      <c r="V66" s="15"/>
      <c r="W66" s="15"/>
      <c r="X66" s="15"/>
      <c r="Y66" s="15"/>
      <c r="Z66" s="15"/>
    </row>
    <row r="67" spans="1:26" x14ac:dyDescent="0.3">
      <c r="A67" s="26" t="s">
        <v>2199</v>
      </c>
      <c r="B67" s="26" t="s">
        <v>2200</v>
      </c>
      <c r="C67" s="17" t="s">
        <v>2201</v>
      </c>
      <c r="D67" s="26" t="s">
        <v>2202</v>
      </c>
      <c r="E67" s="24">
        <v>2</v>
      </c>
      <c r="F67" s="17"/>
      <c r="G67" s="49">
        <v>350</v>
      </c>
      <c r="H67" s="18">
        <f t="shared" si="0"/>
        <v>0</v>
      </c>
      <c r="I67" s="28">
        <f t="shared" si="1"/>
        <v>700</v>
      </c>
      <c r="J67" s="15"/>
      <c r="K67" s="15"/>
      <c r="L67" s="15"/>
      <c r="M67" s="15"/>
      <c r="N67" s="15"/>
      <c r="O67" s="15"/>
      <c r="P67" s="15"/>
      <c r="Q67" s="15"/>
      <c r="R67" s="15"/>
      <c r="S67" s="15"/>
      <c r="T67" s="15"/>
      <c r="U67" s="15"/>
      <c r="V67" s="15"/>
      <c r="W67" s="15"/>
      <c r="X67" s="15"/>
      <c r="Y67" s="15"/>
      <c r="Z67" s="15"/>
    </row>
    <row r="68" spans="1:26" x14ac:dyDescent="0.3">
      <c r="A68" s="26" t="s">
        <v>2203</v>
      </c>
      <c r="B68" s="26" t="s">
        <v>2204</v>
      </c>
      <c r="C68" s="17" t="s">
        <v>2205</v>
      </c>
      <c r="D68" s="26" t="s">
        <v>2206</v>
      </c>
      <c r="E68" s="24">
        <v>13</v>
      </c>
      <c r="F68" s="17"/>
      <c r="G68" s="49">
        <v>350</v>
      </c>
      <c r="H68" s="18">
        <f t="shared" si="0"/>
        <v>0</v>
      </c>
      <c r="I68" s="28">
        <f t="shared" si="1"/>
        <v>4550</v>
      </c>
      <c r="J68" s="15"/>
      <c r="K68" s="15"/>
      <c r="L68" s="15"/>
      <c r="M68" s="15"/>
      <c r="N68" s="15"/>
      <c r="O68" s="15"/>
      <c r="P68" s="15"/>
      <c r="Q68" s="15"/>
      <c r="R68" s="15"/>
      <c r="S68" s="15"/>
      <c r="T68" s="15"/>
      <c r="U68" s="15"/>
      <c r="V68" s="15"/>
      <c r="W68" s="15"/>
      <c r="X68" s="15"/>
      <c r="Y68" s="15"/>
      <c r="Z68" s="15"/>
    </row>
    <row r="69" spans="1:26" x14ac:dyDescent="0.3">
      <c r="A69" s="26" t="s">
        <v>2207</v>
      </c>
      <c r="B69" s="26" t="s">
        <v>2208</v>
      </c>
      <c r="C69" s="17" t="s">
        <v>2209</v>
      </c>
      <c r="D69" s="26" t="s">
        <v>2210</v>
      </c>
      <c r="E69" s="24">
        <v>76</v>
      </c>
      <c r="F69" s="17"/>
      <c r="G69" s="49">
        <v>350</v>
      </c>
      <c r="H69" s="18">
        <f t="shared" si="0"/>
        <v>0</v>
      </c>
      <c r="I69" s="28">
        <f t="shared" si="1"/>
        <v>26600</v>
      </c>
      <c r="J69" s="15"/>
      <c r="K69" s="15"/>
      <c r="L69" s="15"/>
      <c r="M69" s="15"/>
      <c r="N69" s="15"/>
      <c r="O69" s="15"/>
      <c r="P69" s="15"/>
      <c r="Q69" s="15"/>
      <c r="R69" s="15"/>
      <c r="S69" s="15"/>
      <c r="T69" s="15"/>
      <c r="U69" s="15"/>
      <c r="V69" s="15"/>
      <c r="W69" s="15"/>
      <c r="X69" s="15"/>
      <c r="Y69" s="15"/>
      <c r="Z69" s="15"/>
    </row>
    <row r="70" spans="1:26" x14ac:dyDescent="0.3">
      <c r="A70" s="26" t="s">
        <v>2211</v>
      </c>
      <c r="B70" s="26" t="s">
        <v>2212</v>
      </c>
      <c r="C70" s="17" t="s">
        <v>2213</v>
      </c>
      <c r="D70" s="26" t="s">
        <v>2214</v>
      </c>
      <c r="E70" s="24">
        <v>36</v>
      </c>
      <c r="F70" s="17"/>
      <c r="G70" s="49">
        <v>350</v>
      </c>
      <c r="H70" s="18">
        <f t="shared" si="0"/>
        <v>0</v>
      </c>
      <c r="I70" s="28">
        <f t="shared" si="1"/>
        <v>12600</v>
      </c>
      <c r="J70" s="15"/>
      <c r="K70" s="15"/>
      <c r="L70" s="15"/>
      <c r="M70" s="15"/>
      <c r="N70" s="15"/>
      <c r="O70" s="15"/>
      <c r="P70" s="15"/>
      <c r="Q70" s="15"/>
      <c r="R70" s="15"/>
      <c r="S70" s="15"/>
      <c r="T70" s="15"/>
      <c r="U70" s="15"/>
      <c r="V70" s="15"/>
      <c r="W70" s="15"/>
      <c r="X70" s="15"/>
      <c r="Y70" s="15"/>
      <c r="Z70" s="15"/>
    </row>
    <row r="71" spans="1:26" x14ac:dyDescent="0.3">
      <c r="A71" s="26" t="s">
        <v>2215</v>
      </c>
      <c r="B71" s="26" t="s">
        <v>2216</v>
      </c>
      <c r="C71" s="17" t="s">
        <v>2217</v>
      </c>
      <c r="D71" s="26" t="s">
        <v>2218</v>
      </c>
      <c r="E71" s="24">
        <v>2650</v>
      </c>
      <c r="F71" s="17"/>
      <c r="G71" s="49">
        <v>350</v>
      </c>
      <c r="H71" s="18">
        <f t="shared" si="0"/>
        <v>0</v>
      </c>
      <c r="I71" s="28">
        <f t="shared" si="1"/>
        <v>927500</v>
      </c>
      <c r="J71" s="15"/>
      <c r="K71" s="15"/>
      <c r="L71" s="15"/>
      <c r="M71" s="15"/>
      <c r="N71" s="15"/>
      <c r="O71" s="15"/>
      <c r="P71" s="15"/>
      <c r="Q71" s="15"/>
      <c r="R71" s="15"/>
      <c r="S71" s="15"/>
      <c r="T71" s="15"/>
      <c r="U71" s="15"/>
      <c r="V71" s="15"/>
      <c r="W71" s="15"/>
      <c r="X71" s="15"/>
      <c r="Y71" s="15"/>
      <c r="Z71" s="15"/>
    </row>
    <row r="72" spans="1:26" x14ac:dyDescent="0.3">
      <c r="A72" s="26" t="s">
        <v>2219</v>
      </c>
      <c r="B72" s="26" t="s">
        <v>2220</v>
      </c>
      <c r="C72" s="17" t="s">
        <v>2221</v>
      </c>
      <c r="D72" s="26" t="s">
        <v>2222</v>
      </c>
      <c r="E72" s="24">
        <v>24</v>
      </c>
      <c r="F72" s="17"/>
      <c r="G72" s="49">
        <v>350</v>
      </c>
      <c r="H72" s="18">
        <f t="shared" si="0"/>
        <v>0</v>
      </c>
      <c r="I72" s="28">
        <f t="shared" si="1"/>
        <v>8400</v>
      </c>
      <c r="J72" s="15"/>
      <c r="K72" s="15"/>
      <c r="L72" s="15"/>
      <c r="M72" s="15"/>
      <c r="N72" s="15"/>
      <c r="O72" s="15"/>
      <c r="P72" s="15"/>
      <c r="Q72" s="15"/>
      <c r="R72" s="15"/>
      <c r="S72" s="15"/>
      <c r="T72" s="15"/>
      <c r="U72" s="15"/>
      <c r="V72" s="15"/>
      <c r="W72" s="15"/>
      <c r="X72" s="15"/>
      <c r="Y72" s="15"/>
      <c r="Z72" s="15"/>
    </row>
    <row r="73" spans="1:26" x14ac:dyDescent="0.3">
      <c r="A73" s="26" t="s">
        <v>2223</v>
      </c>
      <c r="B73" s="26" t="s">
        <v>2224</v>
      </c>
      <c r="C73" s="17" t="s">
        <v>2225</v>
      </c>
      <c r="D73" s="26" t="s">
        <v>2226</v>
      </c>
      <c r="E73" s="24">
        <v>1</v>
      </c>
      <c r="F73" s="17"/>
      <c r="G73" s="49">
        <v>350</v>
      </c>
      <c r="H73" s="18">
        <f t="shared" si="0"/>
        <v>0</v>
      </c>
      <c r="I73" s="28">
        <f t="shared" si="1"/>
        <v>350</v>
      </c>
      <c r="J73" s="15"/>
      <c r="K73" s="15"/>
      <c r="L73" s="15"/>
      <c r="M73" s="15"/>
      <c r="N73" s="15"/>
      <c r="O73" s="15"/>
      <c r="P73" s="15"/>
      <c r="Q73" s="15"/>
      <c r="R73" s="15"/>
      <c r="S73" s="15"/>
      <c r="T73" s="15"/>
      <c r="U73" s="15"/>
      <c r="V73" s="15"/>
      <c r="W73" s="15"/>
      <c r="X73" s="15"/>
      <c r="Y73" s="15"/>
      <c r="Z73" s="15"/>
    </row>
    <row r="74" spans="1:26" x14ac:dyDescent="0.3">
      <c r="A74" s="26" t="s">
        <v>2227</v>
      </c>
      <c r="B74" s="26" t="s">
        <v>2228</v>
      </c>
      <c r="C74" s="17" t="s">
        <v>2229</v>
      </c>
      <c r="D74" s="26" t="s">
        <v>2230</v>
      </c>
      <c r="E74" s="24">
        <v>1</v>
      </c>
      <c r="F74" s="17"/>
      <c r="G74" s="49">
        <v>350</v>
      </c>
      <c r="H74" s="18">
        <f t="shared" si="0"/>
        <v>0</v>
      </c>
      <c r="I74" s="28">
        <f t="shared" si="1"/>
        <v>350</v>
      </c>
      <c r="J74" s="15"/>
      <c r="K74" s="15"/>
      <c r="L74" s="15"/>
      <c r="M74" s="15"/>
      <c r="N74" s="15"/>
      <c r="O74" s="15"/>
      <c r="P74" s="15"/>
      <c r="Q74" s="15"/>
      <c r="R74" s="15"/>
      <c r="S74" s="15"/>
      <c r="T74" s="15"/>
      <c r="U74" s="15"/>
      <c r="V74" s="15"/>
      <c r="W74" s="15"/>
      <c r="X74" s="15"/>
      <c r="Y74" s="15"/>
      <c r="Z74" s="15"/>
    </row>
    <row r="75" spans="1:26" x14ac:dyDescent="0.3">
      <c r="A75" s="26" t="s">
        <v>2231</v>
      </c>
      <c r="B75" s="26" t="s">
        <v>2232</v>
      </c>
      <c r="C75" s="17" t="s">
        <v>2233</v>
      </c>
      <c r="D75" s="26" t="s">
        <v>2234</v>
      </c>
      <c r="E75" s="24">
        <v>1</v>
      </c>
      <c r="F75" s="17"/>
      <c r="G75" s="49">
        <v>350</v>
      </c>
      <c r="H75" s="18">
        <f t="shared" si="0"/>
        <v>0</v>
      </c>
      <c r="I75" s="28">
        <f t="shared" si="1"/>
        <v>350</v>
      </c>
      <c r="J75" s="15"/>
      <c r="K75" s="15"/>
      <c r="L75" s="15"/>
      <c r="M75" s="15"/>
      <c r="N75" s="15"/>
      <c r="O75" s="15"/>
      <c r="P75" s="15"/>
      <c r="Q75" s="15"/>
      <c r="R75" s="15"/>
      <c r="S75" s="15"/>
      <c r="T75" s="15"/>
      <c r="U75" s="15"/>
      <c r="V75" s="15"/>
      <c r="W75" s="15"/>
      <c r="X75" s="15"/>
      <c r="Y75" s="15"/>
      <c r="Z75" s="15"/>
    </row>
    <row r="76" spans="1:26" x14ac:dyDescent="0.3">
      <c r="A76" s="26" t="s">
        <v>2235</v>
      </c>
      <c r="B76" s="26" t="s">
        <v>2236</v>
      </c>
      <c r="C76" s="17" t="s">
        <v>2237</v>
      </c>
      <c r="D76" s="26" t="s">
        <v>2238</v>
      </c>
      <c r="E76" s="24">
        <v>2</v>
      </c>
      <c r="F76" s="17"/>
      <c r="G76" s="49">
        <v>350</v>
      </c>
      <c r="H76" s="18">
        <f t="shared" si="0"/>
        <v>0</v>
      </c>
      <c r="I76" s="28">
        <f t="shared" si="1"/>
        <v>700</v>
      </c>
      <c r="J76" s="15"/>
      <c r="K76" s="15"/>
      <c r="L76" s="15"/>
      <c r="M76" s="15"/>
      <c r="N76" s="15"/>
      <c r="O76" s="15"/>
      <c r="P76" s="15"/>
      <c r="Q76" s="15"/>
      <c r="R76" s="15"/>
      <c r="S76" s="15"/>
      <c r="T76" s="15"/>
      <c r="U76" s="15"/>
      <c r="V76" s="15"/>
      <c r="W76" s="15"/>
      <c r="X76" s="15"/>
      <c r="Y76" s="15"/>
      <c r="Z76" s="15"/>
    </row>
    <row r="77" spans="1:26" x14ac:dyDescent="0.3">
      <c r="A77" s="26" t="s">
        <v>2239</v>
      </c>
      <c r="B77" s="26" t="s">
        <v>2240</v>
      </c>
      <c r="C77" s="17" t="s">
        <v>2241</v>
      </c>
      <c r="D77" s="26" t="s">
        <v>2242</v>
      </c>
      <c r="E77" s="24">
        <v>1</v>
      </c>
      <c r="F77" s="17"/>
      <c r="G77" s="49">
        <v>350</v>
      </c>
      <c r="H77" s="18">
        <f t="shared" si="0"/>
        <v>0</v>
      </c>
      <c r="I77" s="28">
        <f t="shared" si="1"/>
        <v>350</v>
      </c>
      <c r="J77" s="15"/>
      <c r="K77" s="15"/>
      <c r="L77" s="15"/>
      <c r="M77" s="15"/>
      <c r="N77" s="15"/>
      <c r="O77" s="15"/>
      <c r="P77" s="15"/>
      <c r="Q77" s="15"/>
      <c r="R77" s="15"/>
      <c r="S77" s="15"/>
      <c r="T77" s="15"/>
      <c r="U77" s="15"/>
      <c r="V77" s="15"/>
      <c r="W77" s="15"/>
      <c r="X77" s="15"/>
      <c r="Y77" s="15"/>
      <c r="Z77" s="15"/>
    </row>
    <row r="78" spans="1:26" x14ac:dyDescent="0.3">
      <c r="A78" s="26" t="s">
        <v>2243</v>
      </c>
      <c r="B78" s="26" t="s">
        <v>2244</v>
      </c>
      <c r="C78" s="17" t="s">
        <v>2245</v>
      </c>
      <c r="D78" s="26" t="s">
        <v>2246</v>
      </c>
      <c r="E78" s="24">
        <v>1</v>
      </c>
      <c r="F78" s="17"/>
      <c r="G78" s="49">
        <v>350</v>
      </c>
      <c r="H78" s="18">
        <f t="shared" si="0"/>
        <v>0</v>
      </c>
      <c r="I78" s="28">
        <f t="shared" si="1"/>
        <v>350</v>
      </c>
      <c r="J78" s="15"/>
      <c r="K78" s="15"/>
      <c r="L78" s="15"/>
      <c r="M78" s="15"/>
      <c r="N78" s="15"/>
      <c r="O78" s="15"/>
      <c r="P78" s="15"/>
      <c r="Q78" s="15"/>
      <c r="R78" s="15"/>
      <c r="S78" s="15"/>
      <c r="T78" s="15"/>
      <c r="U78" s="15"/>
      <c r="V78" s="15"/>
      <c r="W78" s="15"/>
      <c r="X78" s="15"/>
      <c r="Y78" s="15"/>
      <c r="Z78" s="15"/>
    </row>
    <row r="79" spans="1:26" x14ac:dyDescent="0.3">
      <c r="A79" s="26" t="s">
        <v>2247</v>
      </c>
      <c r="B79" s="26" t="s">
        <v>2248</v>
      </c>
      <c r="C79" s="17" t="s">
        <v>2249</v>
      </c>
      <c r="D79" s="26" t="s">
        <v>2250</v>
      </c>
      <c r="E79" s="24">
        <v>4</v>
      </c>
      <c r="F79" s="17"/>
      <c r="G79" s="49">
        <v>350</v>
      </c>
      <c r="H79" s="18">
        <f t="shared" si="0"/>
        <v>0</v>
      </c>
      <c r="I79" s="28">
        <f t="shared" si="1"/>
        <v>1400</v>
      </c>
      <c r="J79" s="15"/>
      <c r="K79" s="15"/>
      <c r="L79" s="15"/>
      <c r="M79" s="15"/>
      <c r="N79" s="15"/>
      <c r="O79" s="15"/>
      <c r="P79" s="15"/>
      <c r="Q79" s="15"/>
      <c r="R79" s="15"/>
      <c r="S79" s="15"/>
      <c r="T79" s="15"/>
      <c r="U79" s="15"/>
      <c r="V79" s="15"/>
      <c r="W79" s="15"/>
      <c r="X79" s="15"/>
      <c r="Y79" s="15"/>
      <c r="Z79" s="15"/>
    </row>
    <row r="80" spans="1:26" x14ac:dyDescent="0.3">
      <c r="A80" s="26" t="s">
        <v>2251</v>
      </c>
      <c r="B80" s="26" t="s">
        <v>2252</v>
      </c>
      <c r="C80" s="17" t="s">
        <v>2253</v>
      </c>
      <c r="D80" s="17"/>
      <c r="E80" s="24">
        <v>2</v>
      </c>
      <c r="F80" s="17"/>
      <c r="G80" s="49">
        <v>350</v>
      </c>
      <c r="H80" s="18">
        <f t="shared" si="0"/>
        <v>0</v>
      </c>
      <c r="I80" s="28">
        <f t="shared" si="1"/>
        <v>700</v>
      </c>
      <c r="J80" s="15"/>
      <c r="K80" s="15"/>
      <c r="L80" s="15"/>
      <c r="M80" s="15"/>
      <c r="N80" s="15"/>
      <c r="O80" s="15"/>
      <c r="P80" s="15"/>
      <c r="Q80" s="15"/>
      <c r="R80" s="15"/>
      <c r="S80" s="15"/>
      <c r="T80" s="15"/>
      <c r="U80" s="15"/>
      <c r="V80" s="15"/>
      <c r="W80" s="15"/>
      <c r="X80" s="15"/>
      <c r="Y80" s="15"/>
      <c r="Z80" s="15"/>
    </row>
    <row r="81" spans="1:26" x14ac:dyDescent="0.3">
      <c r="A81" s="26" t="s">
        <v>2254</v>
      </c>
      <c r="B81" s="26" t="s">
        <v>2255</v>
      </c>
      <c r="C81" s="17" t="s">
        <v>2256</v>
      </c>
      <c r="D81" s="17"/>
      <c r="E81" s="24">
        <v>16</v>
      </c>
      <c r="F81" s="17"/>
      <c r="G81" s="49">
        <v>350</v>
      </c>
      <c r="H81" s="18">
        <f t="shared" si="0"/>
        <v>0</v>
      </c>
      <c r="I81" s="28">
        <f t="shared" si="1"/>
        <v>5600</v>
      </c>
      <c r="J81" s="15"/>
      <c r="K81" s="15"/>
      <c r="L81" s="15"/>
      <c r="M81" s="15"/>
      <c r="N81" s="15"/>
      <c r="O81" s="15"/>
      <c r="P81" s="15"/>
      <c r="Q81" s="15"/>
      <c r="R81" s="15"/>
      <c r="S81" s="15"/>
      <c r="T81" s="15"/>
      <c r="U81" s="15"/>
      <c r="V81" s="15"/>
      <c r="W81" s="15"/>
      <c r="X81" s="15"/>
      <c r="Y81" s="15"/>
      <c r="Z81" s="15"/>
    </row>
    <row r="82" spans="1:26" x14ac:dyDescent="0.3">
      <c r="A82" s="26" t="s">
        <v>2257</v>
      </c>
      <c r="B82" s="26" t="s">
        <v>2258</v>
      </c>
      <c r="C82" s="17" t="s">
        <v>2259</v>
      </c>
      <c r="D82" s="26" t="s">
        <v>2260</v>
      </c>
      <c r="E82" s="24">
        <v>4</v>
      </c>
      <c r="F82" s="17"/>
      <c r="G82" s="49">
        <v>350</v>
      </c>
      <c r="H82" s="18">
        <f t="shared" si="0"/>
        <v>0</v>
      </c>
      <c r="I82" s="28">
        <f t="shared" si="1"/>
        <v>1400</v>
      </c>
      <c r="J82" s="15"/>
      <c r="K82" s="15"/>
      <c r="L82" s="15"/>
      <c r="M82" s="15"/>
      <c r="N82" s="15"/>
      <c r="O82" s="15"/>
      <c r="P82" s="15"/>
      <c r="Q82" s="15"/>
      <c r="R82" s="15"/>
      <c r="S82" s="15"/>
      <c r="T82" s="15"/>
      <c r="U82" s="15"/>
      <c r="V82" s="15"/>
      <c r="W82" s="15"/>
      <c r="X82" s="15"/>
      <c r="Y82" s="15"/>
      <c r="Z82" s="15"/>
    </row>
    <row r="83" spans="1:26" x14ac:dyDescent="0.3">
      <c r="A83" s="26" t="s">
        <v>2261</v>
      </c>
      <c r="B83" s="26" t="s">
        <v>2262</v>
      </c>
      <c r="C83" s="17" t="s">
        <v>2263</v>
      </c>
      <c r="D83" s="26" t="s">
        <v>2264</v>
      </c>
      <c r="E83" s="24">
        <v>8</v>
      </c>
      <c r="F83" s="17"/>
      <c r="G83" s="49">
        <v>350</v>
      </c>
      <c r="H83" s="18">
        <f t="shared" si="0"/>
        <v>0</v>
      </c>
      <c r="I83" s="28">
        <f t="shared" si="1"/>
        <v>2800</v>
      </c>
      <c r="J83" s="15"/>
      <c r="K83" s="15"/>
      <c r="L83" s="15"/>
      <c r="M83" s="15"/>
      <c r="N83" s="15"/>
      <c r="O83" s="15"/>
      <c r="P83" s="15"/>
      <c r="Q83" s="15"/>
      <c r="R83" s="15"/>
      <c r="S83" s="15"/>
      <c r="T83" s="15"/>
      <c r="U83" s="15"/>
      <c r="V83" s="15"/>
      <c r="W83" s="15"/>
      <c r="X83" s="15"/>
      <c r="Y83" s="15"/>
      <c r="Z83" s="15"/>
    </row>
    <row r="84" spans="1:26" x14ac:dyDescent="0.3">
      <c r="A84" s="26" t="s">
        <v>2265</v>
      </c>
      <c r="B84" s="26" t="s">
        <v>2266</v>
      </c>
      <c r="C84" s="17" t="s">
        <v>2267</v>
      </c>
      <c r="D84" s="26" t="s">
        <v>2268</v>
      </c>
      <c r="E84" s="24">
        <v>30</v>
      </c>
      <c r="F84" s="17"/>
      <c r="G84" s="49">
        <v>350</v>
      </c>
      <c r="H84" s="18">
        <f t="shared" si="0"/>
        <v>0</v>
      </c>
      <c r="I84" s="28">
        <f t="shared" si="1"/>
        <v>10500</v>
      </c>
      <c r="J84" s="15"/>
      <c r="K84" s="15"/>
      <c r="L84" s="15"/>
      <c r="M84" s="15"/>
      <c r="N84" s="15"/>
      <c r="O84" s="15"/>
      <c r="P84" s="15"/>
      <c r="Q84" s="15"/>
      <c r="R84" s="15"/>
      <c r="S84" s="15"/>
      <c r="T84" s="15"/>
      <c r="U84" s="15"/>
      <c r="V84" s="15"/>
      <c r="W84" s="15"/>
      <c r="X84" s="15"/>
      <c r="Y84" s="15"/>
      <c r="Z84" s="15"/>
    </row>
    <row r="85" spans="1:26" x14ac:dyDescent="0.3">
      <c r="A85" s="26" t="s">
        <v>2269</v>
      </c>
      <c r="B85" s="26" t="s">
        <v>2270</v>
      </c>
      <c r="C85" s="17" t="s">
        <v>2271</v>
      </c>
      <c r="D85" s="17"/>
      <c r="E85" s="24">
        <v>16</v>
      </c>
      <c r="F85" s="17"/>
      <c r="G85" s="49">
        <v>350</v>
      </c>
      <c r="H85" s="18">
        <f t="shared" si="0"/>
        <v>0</v>
      </c>
      <c r="I85" s="28">
        <f t="shared" si="1"/>
        <v>5600</v>
      </c>
      <c r="J85" s="15"/>
      <c r="K85" s="15"/>
      <c r="L85" s="15"/>
      <c r="M85" s="15"/>
      <c r="N85" s="15"/>
      <c r="O85" s="15"/>
      <c r="P85" s="15"/>
      <c r="Q85" s="15"/>
      <c r="R85" s="15"/>
      <c r="S85" s="15"/>
      <c r="T85" s="15"/>
      <c r="U85" s="15"/>
      <c r="V85" s="15"/>
      <c r="W85" s="15"/>
      <c r="X85" s="15"/>
      <c r="Y85" s="15"/>
      <c r="Z85" s="15"/>
    </row>
    <row r="86" spans="1:26" x14ac:dyDescent="0.3">
      <c r="A86" s="26" t="s">
        <v>2272</v>
      </c>
      <c r="B86" s="26" t="s">
        <v>2273</v>
      </c>
      <c r="C86" s="17" t="s">
        <v>2274</v>
      </c>
      <c r="D86" s="26" t="s">
        <v>2275</v>
      </c>
      <c r="E86" s="24">
        <v>2</v>
      </c>
      <c r="F86" s="17"/>
      <c r="G86" s="49">
        <v>350</v>
      </c>
      <c r="H86" s="18">
        <f t="shared" si="0"/>
        <v>0</v>
      </c>
      <c r="I86" s="28">
        <f t="shared" si="1"/>
        <v>700</v>
      </c>
      <c r="J86" s="15"/>
      <c r="K86" s="15"/>
      <c r="L86" s="15"/>
      <c r="M86" s="15"/>
      <c r="N86" s="15"/>
      <c r="O86" s="15"/>
      <c r="P86" s="15"/>
      <c r="Q86" s="15"/>
      <c r="R86" s="15"/>
      <c r="S86" s="15"/>
      <c r="T86" s="15"/>
      <c r="U86" s="15"/>
      <c r="V86" s="15"/>
      <c r="W86" s="15"/>
      <c r="X86" s="15"/>
      <c r="Y86" s="15"/>
      <c r="Z86" s="15"/>
    </row>
    <row r="87" spans="1:26" x14ac:dyDescent="0.3">
      <c r="A87" s="26" t="s">
        <v>2276</v>
      </c>
      <c r="B87" s="26" t="s">
        <v>2277</v>
      </c>
      <c r="C87" s="17" t="s">
        <v>2278</v>
      </c>
      <c r="D87" s="26" t="s">
        <v>2279</v>
      </c>
      <c r="E87" s="24">
        <v>60</v>
      </c>
      <c r="F87" s="17"/>
      <c r="G87" s="49">
        <v>350</v>
      </c>
      <c r="H87" s="18">
        <f t="shared" si="0"/>
        <v>0</v>
      </c>
      <c r="I87" s="28">
        <f t="shared" si="1"/>
        <v>21000</v>
      </c>
      <c r="J87" s="15"/>
      <c r="K87" s="15"/>
      <c r="L87" s="15"/>
      <c r="M87" s="15"/>
      <c r="N87" s="15"/>
      <c r="O87" s="15"/>
      <c r="P87" s="15"/>
      <c r="Q87" s="15"/>
      <c r="R87" s="15"/>
      <c r="S87" s="15"/>
      <c r="T87" s="15"/>
      <c r="U87" s="15"/>
      <c r="V87" s="15"/>
      <c r="W87" s="15"/>
      <c r="X87" s="15"/>
      <c r="Y87" s="15"/>
      <c r="Z87" s="15"/>
    </row>
    <row r="88" spans="1:26" x14ac:dyDescent="0.3">
      <c r="A88" s="26" t="s">
        <v>2280</v>
      </c>
      <c r="B88" s="26" t="s">
        <v>2281</v>
      </c>
      <c r="C88" s="17" t="s">
        <v>2282</v>
      </c>
      <c r="D88" s="26" t="s">
        <v>2283</v>
      </c>
      <c r="E88" s="24">
        <v>18</v>
      </c>
      <c r="F88" s="17"/>
      <c r="G88" s="49">
        <v>350</v>
      </c>
      <c r="H88" s="18">
        <f t="shared" si="0"/>
        <v>0</v>
      </c>
      <c r="I88" s="28">
        <f t="shared" si="1"/>
        <v>6300</v>
      </c>
      <c r="J88" s="15"/>
      <c r="K88" s="15"/>
      <c r="L88" s="15"/>
      <c r="M88" s="15"/>
      <c r="N88" s="15"/>
      <c r="O88" s="15"/>
      <c r="P88" s="15"/>
      <c r="Q88" s="15"/>
      <c r="R88" s="15"/>
      <c r="S88" s="15"/>
      <c r="T88" s="15"/>
      <c r="U88" s="15"/>
      <c r="V88" s="15"/>
      <c r="W88" s="15"/>
      <c r="X88" s="15"/>
      <c r="Y88" s="15"/>
      <c r="Z88" s="15"/>
    </row>
    <row r="89" spans="1:26" x14ac:dyDescent="0.3">
      <c r="A89" s="26" t="s">
        <v>2284</v>
      </c>
      <c r="B89" s="26" t="s">
        <v>2285</v>
      </c>
      <c r="C89" s="17" t="s">
        <v>2286</v>
      </c>
      <c r="D89" s="26" t="s">
        <v>2287</v>
      </c>
      <c r="E89" s="24">
        <v>26</v>
      </c>
      <c r="F89" s="17"/>
      <c r="G89" s="49">
        <v>350</v>
      </c>
      <c r="H89" s="18">
        <f t="shared" si="0"/>
        <v>0</v>
      </c>
      <c r="I89" s="28">
        <f t="shared" si="1"/>
        <v>9100</v>
      </c>
      <c r="J89" s="15"/>
      <c r="K89" s="15"/>
      <c r="L89" s="15"/>
      <c r="M89" s="15"/>
      <c r="N89" s="15"/>
      <c r="O89" s="15"/>
      <c r="P89" s="15"/>
      <c r="Q89" s="15"/>
      <c r="R89" s="15"/>
      <c r="S89" s="15"/>
      <c r="T89" s="15"/>
      <c r="U89" s="15"/>
      <c r="V89" s="15"/>
      <c r="W89" s="15"/>
      <c r="X89" s="15"/>
      <c r="Y89" s="15"/>
      <c r="Z89" s="15"/>
    </row>
    <row r="90" spans="1:26" x14ac:dyDescent="0.3">
      <c r="A90" s="26" t="s">
        <v>2288</v>
      </c>
      <c r="B90" s="26" t="s">
        <v>2289</v>
      </c>
      <c r="C90" s="17" t="s">
        <v>2290</v>
      </c>
      <c r="D90" s="26" t="s">
        <v>2291</v>
      </c>
      <c r="E90" s="24">
        <v>1</v>
      </c>
      <c r="F90" s="17"/>
      <c r="G90" s="49">
        <v>350</v>
      </c>
      <c r="H90" s="18">
        <f t="shared" si="0"/>
        <v>0</v>
      </c>
      <c r="I90" s="28">
        <f t="shared" si="1"/>
        <v>350</v>
      </c>
      <c r="J90" s="15"/>
      <c r="K90" s="15"/>
      <c r="L90" s="15"/>
      <c r="M90" s="15"/>
      <c r="N90" s="15"/>
      <c r="O90" s="15"/>
      <c r="P90" s="15"/>
      <c r="Q90" s="15"/>
      <c r="R90" s="15"/>
      <c r="S90" s="15"/>
      <c r="T90" s="15"/>
      <c r="U90" s="15"/>
      <c r="V90" s="15"/>
      <c r="W90" s="15"/>
      <c r="X90" s="15"/>
      <c r="Y90" s="15"/>
      <c r="Z90" s="15"/>
    </row>
    <row r="91" spans="1:26" x14ac:dyDescent="0.3">
      <c r="A91" s="26" t="s">
        <v>2292</v>
      </c>
      <c r="B91" s="26" t="s">
        <v>2293</v>
      </c>
      <c r="C91" s="17" t="s">
        <v>2294</v>
      </c>
      <c r="D91" s="26" t="s">
        <v>2295</v>
      </c>
      <c r="E91" s="24">
        <v>5</v>
      </c>
      <c r="F91" s="17"/>
      <c r="G91" s="49">
        <v>350</v>
      </c>
      <c r="H91" s="18">
        <f t="shared" si="0"/>
        <v>0</v>
      </c>
      <c r="I91" s="28">
        <f t="shared" si="1"/>
        <v>1750</v>
      </c>
      <c r="J91" s="15"/>
      <c r="K91" s="15"/>
      <c r="L91" s="15"/>
      <c r="M91" s="15"/>
      <c r="N91" s="15"/>
      <c r="O91" s="15"/>
      <c r="P91" s="15"/>
      <c r="Q91" s="15"/>
      <c r="R91" s="15"/>
      <c r="S91" s="15"/>
      <c r="T91" s="15"/>
      <c r="U91" s="15"/>
      <c r="V91" s="15"/>
      <c r="W91" s="15"/>
      <c r="X91" s="15"/>
      <c r="Y91" s="15"/>
      <c r="Z91" s="15"/>
    </row>
    <row r="92" spans="1:26" x14ac:dyDescent="0.3">
      <c r="A92" s="26" t="s">
        <v>2296</v>
      </c>
      <c r="B92" s="26" t="s">
        <v>2297</v>
      </c>
      <c r="C92" s="17" t="s">
        <v>2298</v>
      </c>
      <c r="D92" s="26" t="s">
        <v>2299</v>
      </c>
      <c r="E92" s="24">
        <v>1</v>
      </c>
      <c r="F92" s="17"/>
      <c r="G92" s="49">
        <v>350</v>
      </c>
      <c r="H92" s="18">
        <f t="shared" si="0"/>
        <v>0</v>
      </c>
      <c r="I92" s="28">
        <f t="shared" si="1"/>
        <v>350</v>
      </c>
      <c r="J92" s="15"/>
      <c r="K92" s="15"/>
      <c r="L92" s="15"/>
      <c r="M92" s="15"/>
      <c r="N92" s="15"/>
      <c r="O92" s="15"/>
      <c r="P92" s="15"/>
      <c r="Q92" s="15"/>
      <c r="R92" s="15"/>
      <c r="S92" s="15"/>
      <c r="T92" s="15"/>
      <c r="U92" s="15"/>
      <c r="V92" s="15"/>
      <c r="W92" s="15"/>
      <c r="X92" s="15"/>
      <c r="Y92" s="15"/>
      <c r="Z92" s="15"/>
    </row>
    <row r="93" spans="1:26" x14ac:dyDescent="0.3">
      <c r="A93" s="26" t="s">
        <v>2300</v>
      </c>
      <c r="B93" s="26" t="s">
        <v>2301</v>
      </c>
      <c r="C93" s="17" t="s">
        <v>2302</v>
      </c>
      <c r="D93" s="26" t="s">
        <v>2303</v>
      </c>
      <c r="E93" s="24">
        <v>2</v>
      </c>
      <c r="F93" s="17"/>
      <c r="G93" s="49">
        <v>350</v>
      </c>
      <c r="H93" s="18">
        <f t="shared" si="0"/>
        <v>0</v>
      </c>
      <c r="I93" s="28">
        <f t="shared" si="1"/>
        <v>700</v>
      </c>
      <c r="J93" s="15"/>
      <c r="K93" s="15"/>
      <c r="L93" s="15"/>
      <c r="M93" s="15"/>
      <c r="N93" s="15"/>
      <c r="O93" s="15"/>
      <c r="P93" s="15"/>
      <c r="Q93" s="15"/>
      <c r="R93" s="15"/>
      <c r="S93" s="15"/>
      <c r="T93" s="15"/>
      <c r="U93" s="15"/>
      <c r="V93" s="15"/>
      <c r="W93" s="15"/>
      <c r="X93" s="15"/>
      <c r="Y93" s="15"/>
      <c r="Z93" s="15"/>
    </row>
    <row r="94" spans="1:26" x14ac:dyDescent="0.3">
      <c r="A94" s="26" t="s">
        <v>2304</v>
      </c>
      <c r="B94" s="26" t="s">
        <v>2305</v>
      </c>
      <c r="C94" s="17" t="s">
        <v>2306</v>
      </c>
      <c r="D94" s="26" t="s">
        <v>2307</v>
      </c>
      <c r="E94" s="24">
        <v>10</v>
      </c>
      <c r="F94" s="17"/>
      <c r="G94" s="49">
        <v>350</v>
      </c>
      <c r="H94" s="18">
        <f t="shared" si="0"/>
        <v>0</v>
      </c>
      <c r="I94" s="28">
        <f t="shared" si="1"/>
        <v>3500</v>
      </c>
      <c r="J94" s="15"/>
      <c r="K94" s="15"/>
      <c r="L94" s="15"/>
      <c r="M94" s="15"/>
      <c r="N94" s="15"/>
      <c r="O94" s="15"/>
      <c r="P94" s="15"/>
      <c r="Q94" s="15"/>
      <c r="R94" s="15"/>
      <c r="S94" s="15"/>
      <c r="T94" s="15"/>
      <c r="U94" s="15"/>
      <c r="V94" s="15"/>
      <c r="W94" s="15"/>
      <c r="X94" s="15"/>
      <c r="Y94" s="15"/>
      <c r="Z94" s="15"/>
    </row>
    <row r="95" spans="1:26" x14ac:dyDescent="0.3">
      <c r="A95" s="17"/>
      <c r="B95" s="17"/>
      <c r="C95" s="17"/>
      <c r="D95" s="17"/>
      <c r="E95" s="17"/>
      <c r="F95" s="17"/>
      <c r="G95" s="17"/>
      <c r="H95" s="18"/>
      <c r="I95" s="18"/>
      <c r="J95" s="15"/>
      <c r="K95" s="15"/>
      <c r="L95" s="15"/>
      <c r="M95" s="15"/>
      <c r="N95" s="15"/>
      <c r="O95" s="15"/>
      <c r="P95" s="15"/>
      <c r="Q95" s="15"/>
      <c r="R95" s="15"/>
      <c r="S95" s="15"/>
      <c r="T95" s="15"/>
      <c r="U95" s="15"/>
      <c r="V95" s="15"/>
      <c r="W95" s="15"/>
      <c r="X95" s="15"/>
      <c r="Y95" s="15"/>
      <c r="Z95" s="15"/>
    </row>
    <row r="96" spans="1:26" x14ac:dyDescent="0.3">
      <c r="A96" s="17"/>
      <c r="B96" s="17"/>
      <c r="C96" s="17"/>
      <c r="D96" s="17"/>
      <c r="E96" s="17"/>
      <c r="F96" s="17"/>
      <c r="G96" s="17"/>
      <c r="H96" s="18"/>
      <c r="I96" s="18"/>
      <c r="J96" s="15"/>
      <c r="K96" s="15"/>
      <c r="L96" s="15"/>
      <c r="M96" s="15"/>
      <c r="N96" s="15"/>
      <c r="O96" s="15"/>
      <c r="P96" s="15"/>
      <c r="Q96" s="15"/>
      <c r="R96" s="15"/>
      <c r="S96" s="15"/>
      <c r="T96" s="15"/>
      <c r="U96" s="15"/>
      <c r="V96" s="15"/>
      <c r="W96" s="15"/>
      <c r="X96" s="15"/>
      <c r="Y96" s="15"/>
      <c r="Z96" s="15"/>
    </row>
    <row r="97" spans="1:26" x14ac:dyDescent="0.3">
      <c r="A97" s="22"/>
      <c r="B97" s="22"/>
      <c r="C97" s="21" t="s">
        <v>2308</v>
      </c>
      <c r="D97" s="22"/>
      <c r="E97" s="22"/>
      <c r="F97" s="22"/>
      <c r="G97" s="22"/>
      <c r="H97" s="23"/>
      <c r="I97" s="51">
        <f>SUM(I6:I95)</f>
        <v>3542150</v>
      </c>
      <c r="J97" s="15"/>
      <c r="K97" s="15"/>
      <c r="L97" s="15"/>
      <c r="M97" s="15"/>
      <c r="N97" s="15"/>
      <c r="O97" s="15"/>
      <c r="P97" s="15"/>
      <c r="Q97" s="15"/>
      <c r="R97" s="15"/>
      <c r="S97" s="15"/>
      <c r="T97" s="15"/>
      <c r="U97" s="15"/>
      <c r="V97" s="15"/>
      <c r="W97" s="15"/>
      <c r="X97" s="15"/>
      <c r="Y97" s="15"/>
      <c r="Z97" s="15"/>
    </row>
    <row r="98" spans="1:26" x14ac:dyDescent="0.3">
      <c r="A98" s="15"/>
      <c r="B98" s="15"/>
      <c r="C98" s="15"/>
      <c r="D98" s="15"/>
      <c r="E98" s="15"/>
      <c r="F98" s="15"/>
      <c r="G98" s="15"/>
      <c r="H98" s="52"/>
      <c r="I98" s="52"/>
      <c r="J98" s="15"/>
      <c r="K98" s="15"/>
      <c r="L98" s="15"/>
      <c r="M98" s="15"/>
      <c r="N98" s="15"/>
      <c r="O98" s="15"/>
      <c r="P98" s="15"/>
      <c r="Q98" s="15"/>
      <c r="R98" s="15"/>
      <c r="S98" s="15"/>
      <c r="T98" s="15"/>
      <c r="U98" s="15"/>
      <c r="V98" s="15"/>
      <c r="W98" s="15"/>
      <c r="X98" s="15"/>
      <c r="Y98" s="15"/>
      <c r="Z98" s="15"/>
    </row>
    <row r="99" spans="1:26" x14ac:dyDescent="0.3">
      <c r="A99" s="15"/>
      <c r="B99" s="15"/>
      <c r="C99" s="15"/>
      <c r="D99" s="15"/>
      <c r="E99" s="15"/>
      <c r="F99" s="15"/>
      <c r="G99" s="15"/>
      <c r="H99" s="52"/>
      <c r="I99" s="52"/>
      <c r="J99" s="15"/>
      <c r="K99" s="15"/>
      <c r="L99" s="15"/>
      <c r="M99" s="15"/>
      <c r="N99" s="15"/>
      <c r="O99" s="15"/>
      <c r="P99" s="15"/>
      <c r="Q99" s="15"/>
      <c r="R99" s="15"/>
      <c r="S99" s="15"/>
      <c r="T99" s="15"/>
      <c r="U99" s="15"/>
      <c r="V99" s="15"/>
      <c r="W99" s="15"/>
      <c r="X99" s="15"/>
      <c r="Y99" s="15"/>
      <c r="Z99" s="15"/>
    </row>
    <row r="100" spans="1:26" x14ac:dyDescent="0.3">
      <c r="A100" s="15"/>
      <c r="B100" s="15"/>
      <c r="C100" s="15"/>
      <c r="D100" s="15"/>
      <c r="E100" s="15"/>
      <c r="F100" s="15"/>
      <c r="G100" s="15"/>
      <c r="H100" s="52"/>
      <c r="I100" s="52"/>
      <c r="J100" s="15"/>
      <c r="K100" s="15"/>
      <c r="L100" s="15"/>
      <c r="M100" s="15"/>
      <c r="N100" s="15"/>
      <c r="O100" s="15"/>
      <c r="P100" s="15"/>
      <c r="Q100" s="15"/>
      <c r="R100" s="15"/>
      <c r="S100" s="15"/>
      <c r="T100" s="15"/>
      <c r="U100" s="15"/>
      <c r="V100" s="15"/>
      <c r="W100" s="15"/>
      <c r="X100" s="15"/>
      <c r="Y100" s="15"/>
      <c r="Z100" s="15"/>
    </row>
    <row r="101" spans="1:26" x14ac:dyDescent="0.3">
      <c r="A101" s="15"/>
      <c r="B101" s="15"/>
      <c r="C101" s="15"/>
      <c r="D101" s="15"/>
      <c r="E101" s="15"/>
      <c r="F101" s="15"/>
      <c r="G101" s="15"/>
      <c r="H101" s="52"/>
      <c r="I101" s="52"/>
      <c r="J101" s="15"/>
      <c r="K101" s="15"/>
      <c r="L101" s="15"/>
      <c r="M101" s="15"/>
      <c r="N101" s="15"/>
      <c r="O101" s="15"/>
      <c r="P101" s="15"/>
      <c r="Q101" s="15"/>
      <c r="R101" s="15"/>
      <c r="S101" s="15"/>
      <c r="T101" s="15"/>
      <c r="U101" s="15"/>
      <c r="V101" s="15"/>
      <c r="W101" s="15"/>
      <c r="X101" s="15"/>
      <c r="Y101" s="15"/>
      <c r="Z101" s="15"/>
    </row>
    <row r="102" spans="1:26" x14ac:dyDescent="0.3">
      <c r="A102" s="15"/>
      <c r="B102" s="15"/>
      <c r="C102" s="15"/>
      <c r="D102" s="15"/>
      <c r="E102" s="15"/>
      <c r="F102" s="15"/>
      <c r="G102" s="15"/>
      <c r="H102" s="52"/>
      <c r="I102" s="52"/>
      <c r="J102" s="15"/>
      <c r="K102" s="15"/>
      <c r="L102" s="15"/>
      <c r="M102" s="15"/>
      <c r="N102" s="15"/>
      <c r="O102" s="15"/>
      <c r="P102" s="15"/>
      <c r="Q102" s="15"/>
      <c r="R102" s="15"/>
      <c r="S102" s="15"/>
      <c r="T102" s="15"/>
      <c r="U102" s="15"/>
      <c r="V102" s="15"/>
      <c r="W102" s="15"/>
      <c r="X102" s="15"/>
      <c r="Y102" s="15"/>
      <c r="Z102" s="15"/>
    </row>
    <row r="103" spans="1:26" x14ac:dyDescent="0.3">
      <c r="A103" s="15"/>
      <c r="B103" s="15"/>
      <c r="C103" s="15"/>
      <c r="D103" s="15"/>
      <c r="E103" s="15"/>
      <c r="F103" s="15"/>
      <c r="G103" s="15"/>
      <c r="H103" s="52"/>
      <c r="I103" s="52"/>
      <c r="J103" s="15"/>
      <c r="K103" s="15"/>
      <c r="L103" s="15"/>
      <c r="M103" s="15"/>
      <c r="N103" s="15"/>
      <c r="O103" s="15"/>
      <c r="P103" s="15"/>
      <c r="Q103" s="15"/>
      <c r="R103" s="15"/>
      <c r="S103" s="15"/>
      <c r="T103" s="15"/>
      <c r="U103" s="15"/>
      <c r="V103" s="15"/>
      <c r="W103" s="15"/>
      <c r="X103" s="15"/>
      <c r="Y103" s="15"/>
      <c r="Z103" s="15"/>
    </row>
    <row r="104" spans="1:26" x14ac:dyDescent="0.3">
      <c r="A104" s="15"/>
      <c r="B104" s="15"/>
      <c r="C104" s="15"/>
      <c r="D104" s="15"/>
      <c r="E104" s="15"/>
      <c r="F104" s="15"/>
      <c r="G104" s="15"/>
      <c r="H104" s="52"/>
      <c r="I104" s="52"/>
      <c r="J104" s="15"/>
      <c r="K104" s="15"/>
      <c r="L104" s="15"/>
      <c r="M104" s="15"/>
      <c r="N104" s="15"/>
      <c r="O104" s="15"/>
      <c r="P104" s="15"/>
      <c r="Q104" s="15"/>
      <c r="R104" s="15"/>
      <c r="S104" s="15"/>
      <c r="T104" s="15"/>
      <c r="U104" s="15"/>
      <c r="V104" s="15"/>
      <c r="W104" s="15"/>
      <c r="X104" s="15"/>
      <c r="Y104" s="15"/>
      <c r="Z104" s="15"/>
    </row>
    <row r="105" spans="1:26" x14ac:dyDescent="0.3">
      <c r="A105" s="15"/>
      <c r="B105" s="15"/>
      <c r="C105" s="15"/>
      <c r="D105" s="15"/>
      <c r="E105" s="15"/>
      <c r="F105" s="15"/>
      <c r="G105" s="15"/>
      <c r="H105" s="52"/>
      <c r="I105" s="52"/>
      <c r="J105" s="15"/>
      <c r="K105" s="15"/>
      <c r="L105" s="15"/>
      <c r="M105" s="15"/>
      <c r="N105" s="15"/>
      <c r="O105" s="15"/>
      <c r="P105" s="15"/>
      <c r="Q105" s="15"/>
      <c r="R105" s="15"/>
      <c r="S105" s="15"/>
      <c r="T105" s="15"/>
      <c r="U105" s="15"/>
      <c r="V105" s="15"/>
      <c r="W105" s="15"/>
      <c r="X105" s="15"/>
      <c r="Y105" s="15"/>
      <c r="Z105" s="15"/>
    </row>
    <row r="106" spans="1:26" x14ac:dyDescent="0.3">
      <c r="A106" s="15"/>
      <c r="B106" s="15"/>
      <c r="C106" s="15"/>
      <c r="D106" s="15"/>
      <c r="E106" s="15"/>
      <c r="F106" s="15"/>
      <c r="G106" s="15"/>
      <c r="H106" s="52"/>
      <c r="I106" s="52"/>
      <c r="J106" s="15"/>
      <c r="K106" s="15"/>
      <c r="L106" s="15"/>
      <c r="M106" s="15"/>
      <c r="N106" s="15"/>
      <c r="O106" s="15"/>
      <c r="P106" s="15"/>
      <c r="Q106" s="15"/>
      <c r="R106" s="15"/>
      <c r="S106" s="15"/>
      <c r="T106" s="15"/>
      <c r="U106" s="15"/>
      <c r="V106" s="15"/>
      <c r="W106" s="15"/>
      <c r="X106" s="15"/>
      <c r="Y106" s="15"/>
      <c r="Z106" s="15"/>
    </row>
    <row r="107" spans="1:26" x14ac:dyDescent="0.3">
      <c r="A107" s="15"/>
      <c r="B107" s="15"/>
      <c r="C107" s="15"/>
      <c r="D107" s="15"/>
      <c r="E107" s="15"/>
      <c r="F107" s="15"/>
      <c r="G107" s="15"/>
      <c r="H107" s="52"/>
      <c r="I107" s="52"/>
      <c r="J107" s="15"/>
      <c r="K107" s="15"/>
      <c r="L107" s="15"/>
      <c r="M107" s="15"/>
      <c r="N107" s="15"/>
      <c r="O107" s="15"/>
      <c r="P107" s="15"/>
      <c r="Q107" s="15"/>
      <c r="R107" s="15"/>
      <c r="S107" s="15"/>
      <c r="T107" s="15"/>
      <c r="U107" s="15"/>
      <c r="V107" s="15"/>
      <c r="W107" s="15"/>
      <c r="X107" s="15"/>
      <c r="Y107" s="15"/>
      <c r="Z107" s="15"/>
    </row>
    <row r="108" spans="1:26" x14ac:dyDescent="0.3">
      <c r="A108" s="15"/>
      <c r="B108" s="15"/>
      <c r="C108" s="15"/>
      <c r="D108" s="15"/>
      <c r="E108" s="15"/>
      <c r="F108" s="15"/>
      <c r="G108" s="15"/>
      <c r="H108" s="52"/>
      <c r="I108" s="52"/>
      <c r="J108" s="15"/>
      <c r="K108" s="15"/>
      <c r="L108" s="15"/>
      <c r="M108" s="15"/>
      <c r="N108" s="15"/>
      <c r="O108" s="15"/>
      <c r="P108" s="15"/>
      <c r="Q108" s="15"/>
      <c r="R108" s="15"/>
      <c r="S108" s="15"/>
      <c r="T108" s="15"/>
      <c r="U108" s="15"/>
      <c r="V108" s="15"/>
      <c r="W108" s="15"/>
      <c r="X108" s="15"/>
      <c r="Y108" s="15"/>
      <c r="Z108" s="15"/>
    </row>
    <row r="109" spans="1:26" x14ac:dyDescent="0.3">
      <c r="A109" s="15"/>
      <c r="B109" s="15"/>
      <c r="C109" s="15"/>
      <c r="D109" s="15"/>
      <c r="E109" s="15"/>
      <c r="F109" s="15"/>
      <c r="G109" s="15"/>
      <c r="H109" s="52"/>
      <c r="I109" s="52"/>
      <c r="J109" s="15"/>
      <c r="K109" s="15"/>
      <c r="L109" s="15"/>
      <c r="M109" s="15"/>
      <c r="N109" s="15"/>
      <c r="O109" s="15"/>
      <c r="P109" s="15"/>
      <c r="Q109" s="15"/>
      <c r="R109" s="15"/>
      <c r="S109" s="15"/>
      <c r="T109" s="15"/>
      <c r="U109" s="15"/>
      <c r="V109" s="15"/>
      <c r="W109" s="15"/>
      <c r="X109" s="15"/>
      <c r="Y109" s="15"/>
      <c r="Z109" s="15"/>
    </row>
    <row r="110" spans="1:26" x14ac:dyDescent="0.3">
      <c r="A110" s="15"/>
      <c r="B110" s="15"/>
      <c r="C110" s="15"/>
      <c r="D110" s="15"/>
      <c r="E110" s="15"/>
      <c r="F110" s="15"/>
      <c r="G110" s="15"/>
      <c r="H110" s="52"/>
      <c r="I110" s="52"/>
      <c r="J110" s="15"/>
      <c r="K110" s="15"/>
      <c r="L110" s="15"/>
      <c r="M110" s="15"/>
      <c r="N110" s="15"/>
      <c r="O110" s="15"/>
      <c r="P110" s="15"/>
      <c r="Q110" s="15"/>
      <c r="R110" s="15"/>
      <c r="S110" s="15"/>
      <c r="T110" s="15"/>
      <c r="U110" s="15"/>
      <c r="V110" s="15"/>
      <c r="W110" s="15"/>
      <c r="X110" s="15"/>
      <c r="Y110" s="15"/>
      <c r="Z110" s="15"/>
    </row>
    <row r="111" spans="1:26" x14ac:dyDescent="0.3">
      <c r="A111" s="15"/>
      <c r="B111" s="15"/>
      <c r="C111" s="15"/>
      <c r="D111" s="15"/>
      <c r="E111" s="15"/>
      <c r="F111" s="15"/>
      <c r="G111" s="15"/>
      <c r="H111" s="52"/>
      <c r="I111" s="52"/>
      <c r="J111" s="15"/>
      <c r="K111" s="15"/>
      <c r="L111" s="15"/>
      <c r="M111" s="15"/>
      <c r="N111" s="15"/>
      <c r="O111" s="15"/>
      <c r="P111" s="15"/>
      <c r="Q111" s="15"/>
      <c r="R111" s="15"/>
      <c r="S111" s="15"/>
      <c r="T111" s="15"/>
      <c r="U111" s="15"/>
      <c r="V111" s="15"/>
      <c r="W111" s="15"/>
      <c r="X111" s="15"/>
      <c r="Y111" s="15"/>
      <c r="Z111" s="15"/>
    </row>
    <row r="112" spans="1:26" x14ac:dyDescent="0.3">
      <c r="A112" s="15"/>
      <c r="B112" s="15"/>
      <c r="C112" s="15"/>
      <c r="D112" s="15"/>
      <c r="E112" s="15"/>
      <c r="F112" s="15"/>
      <c r="G112" s="15"/>
      <c r="H112" s="52"/>
      <c r="I112" s="52"/>
      <c r="J112" s="15"/>
      <c r="K112" s="15"/>
      <c r="L112" s="15"/>
      <c r="M112" s="15"/>
      <c r="N112" s="15"/>
      <c r="O112" s="15"/>
      <c r="P112" s="15"/>
      <c r="Q112" s="15"/>
      <c r="R112" s="15"/>
      <c r="S112" s="15"/>
      <c r="T112" s="15"/>
      <c r="U112" s="15"/>
      <c r="V112" s="15"/>
      <c r="W112" s="15"/>
      <c r="X112" s="15"/>
      <c r="Y112" s="15"/>
      <c r="Z112" s="15"/>
    </row>
    <row r="113" spans="1:26" x14ac:dyDescent="0.3">
      <c r="A113" s="15"/>
      <c r="B113" s="15"/>
      <c r="C113" s="15"/>
      <c r="D113" s="15"/>
      <c r="E113" s="15"/>
      <c r="F113" s="15"/>
      <c r="G113" s="15"/>
      <c r="H113" s="52"/>
      <c r="I113" s="52"/>
      <c r="J113" s="15"/>
      <c r="K113" s="15"/>
      <c r="L113" s="15"/>
      <c r="M113" s="15"/>
      <c r="N113" s="15"/>
      <c r="O113" s="15"/>
      <c r="P113" s="15"/>
      <c r="Q113" s="15"/>
      <c r="R113" s="15"/>
      <c r="S113" s="15"/>
      <c r="T113" s="15"/>
      <c r="U113" s="15"/>
      <c r="V113" s="15"/>
      <c r="W113" s="15"/>
      <c r="X113" s="15"/>
      <c r="Y113" s="15"/>
      <c r="Z113" s="15"/>
    </row>
    <row r="114" spans="1:26" x14ac:dyDescent="0.3">
      <c r="A114" s="15"/>
      <c r="B114" s="15"/>
      <c r="C114" s="15"/>
      <c r="D114" s="15"/>
      <c r="E114" s="15"/>
      <c r="F114" s="15"/>
      <c r="G114" s="15"/>
      <c r="H114" s="52"/>
      <c r="I114" s="52"/>
      <c r="J114" s="15"/>
      <c r="K114" s="15"/>
      <c r="L114" s="15"/>
      <c r="M114" s="15"/>
      <c r="N114" s="15"/>
      <c r="O114" s="15"/>
      <c r="P114" s="15"/>
      <c r="Q114" s="15"/>
      <c r="R114" s="15"/>
      <c r="S114" s="15"/>
      <c r="T114" s="15"/>
      <c r="U114" s="15"/>
      <c r="V114" s="15"/>
      <c r="W114" s="15"/>
      <c r="X114" s="15"/>
      <c r="Y114" s="15"/>
      <c r="Z114" s="15"/>
    </row>
    <row r="115" spans="1:26" x14ac:dyDescent="0.3">
      <c r="A115" s="15"/>
      <c r="B115" s="15"/>
      <c r="C115" s="15"/>
      <c r="D115" s="15"/>
      <c r="E115" s="15"/>
      <c r="F115" s="15"/>
      <c r="G115" s="15"/>
      <c r="H115" s="52"/>
      <c r="I115" s="52"/>
      <c r="J115" s="15"/>
      <c r="K115" s="15"/>
      <c r="L115" s="15"/>
      <c r="M115" s="15"/>
      <c r="N115" s="15"/>
      <c r="O115" s="15"/>
      <c r="P115" s="15"/>
      <c r="Q115" s="15"/>
      <c r="R115" s="15"/>
      <c r="S115" s="15"/>
      <c r="T115" s="15"/>
      <c r="U115" s="15"/>
      <c r="V115" s="15"/>
      <c r="W115" s="15"/>
      <c r="X115" s="15"/>
      <c r="Y115" s="15"/>
      <c r="Z115" s="15"/>
    </row>
    <row r="116" spans="1:26" x14ac:dyDescent="0.3">
      <c r="A116" s="15"/>
      <c r="B116" s="15"/>
      <c r="C116" s="15"/>
      <c r="D116" s="15"/>
      <c r="E116" s="15"/>
      <c r="F116" s="15"/>
      <c r="G116" s="15"/>
      <c r="H116" s="52"/>
      <c r="I116" s="52"/>
      <c r="J116" s="15"/>
      <c r="K116" s="15"/>
      <c r="L116" s="15"/>
      <c r="M116" s="15"/>
      <c r="N116" s="15"/>
      <c r="O116" s="15"/>
      <c r="P116" s="15"/>
      <c r="Q116" s="15"/>
      <c r="R116" s="15"/>
      <c r="S116" s="15"/>
      <c r="T116" s="15"/>
      <c r="U116" s="15"/>
      <c r="V116" s="15"/>
      <c r="W116" s="15"/>
      <c r="X116" s="15"/>
      <c r="Y116" s="15"/>
      <c r="Z116" s="15"/>
    </row>
    <row r="117" spans="1:26" x14ac:dyDescent="0.3">
      <c r="A117" s="15"/>
      <c r="B117" s="15"/>
      <c r="C117" s="15"/>
      <c r="D117" s="15"/>
      <c r="E117" s="15"/>
      <c r="F117" s="15"/>
      <c r="G117" s="15"/>
      <c r="H117" s="52"/>
      <c r="I117" s="52"/>
      <c r="J117" s="15"/>
      <c r="K117" s="15"/>
      <c r="L117" s="15"/>
      <c r="M117" s="15"/>
      <c r="N117" s="15"/>
      <c r="O117" s="15"/>
      <c r="P117" s="15"/>
      <c r="Q117" s="15"/>
      <c r="R117" s="15"/>
      <c r="S117" s="15"/>
      <c r="T117" s="15"/>
      <c r="U117" s="15"/>
      <c r="V117" s="15"/>
      <c r="W117" s="15"/>
      <c r="X117" s="15"/>
      <c r="Y117" s="15"/>
      <c r="Z117" s="15"/>
    </row>
    <row r="118" spans="1:26" x14ac:dyDescent="0.3">
      <c r="A118" s="15"/>
      <c r="B118" s="15"/>
      <c r="C118" s="15"/>
      <c r="D118" s="15"/>
      <c r="E118" s="15"/>
      <c r="F118" s="15"/>
      <c r="G118" s="15"/>
      <c r="H118" s="52"/>
      <c r="I118" s="52"/>
      <c r="J118" s="15"/>
      <c r="K118" s="15"/>
      <c r="L118" s="15"/>
      <c r="M118" s="15"/>
      <c r="N118" s="15"/>
      <c r="O118" s="15"/>
      <c r="P118" s="15"/>
      <c r="Q118" s="15"/>
      <c r="R118" s="15"/>
      <c r="S118" s="15"/>
      <c r="T118" s="15"/>
      <c r="U118" s="15"/>
      <c r="V118" s="15"/>
      <c r="W118" s="15"/>
      <c r="X118" s="15"/>
      <c r="Y118" s="15"/>
      <c r="Z118" s="15"/>
    </row>
    <row r="119" spans="1:26" x14ac:dyDescent="0.3">
      <c r="A119" s="15"/>
      <c r="B119" s="15"/>
      <c r="C119" s="15"/>
      <c r="D119" s="15"/>
      <c r="E119" s="15"/>
      <c r="F119" s="15"/>
      <c r="G119" s="15"/>
      <c r="H119" s="52"/>
      <c r="I119" s="52"/>
      <c r="J119" s="15"/>
      <c r="K119" s="15"/>
      <c r="L119" s="15"/>
      <c r="M119" s="15"/>
      <c r="N119" s="15"/>
      <c r="O119" s="15"/>
      <c r="P119" s="15"/>
      <c r="Q119" s="15"/>
      <c r="R119" s="15"/>
      <c r="S119" s="15"/>
      <c r="T119" s="15"/>
      <c r="U119" s="15"/>
      <c r="V119" s="15"/>
      <c r="W119" s="15"/>
      <c r="X119" s="15"/>
      <c r="Y119" s="15"/>
      <c r="Z119" s="15"/>
    </row>
    <row r="120" spans="1:26" x14ac:dyDescent="0.3">
      <c r="A120" s="15"/>
      <c r="B120" s="15"/>
      <c r="C120" s="15"/>
      <c r="D120" s="15"/>
      <c r="E120" s="15"/>
      <c r="F120" s="15"/>
      <c r="G120" s="15"/>
      <c r="H120" s="52"/>
      <c r="I120" s="52"/>
      <c r="J120" s="15"/>
      <c r="K120" s="15"/>
      <c r="L120" s="15"/>
      <c r="M120" s="15"/>
      <c r="N120" s="15"/>
      <c r="O120" s="15"/>
      <c r="P120" s="15"/>
      <c r="Q120" s="15"/>
      <c r="R120" s="15"/>
      <c r="S120" s="15"/>
      <c r="T120" s="15"/>
      <c r="U120" s="15"/>
      <c r="V120" s="15"/>
      <c r="W120" s="15"/>
      <c r="X120" s="15"/>
      <c r="Y120" s="15"/>
      <c r="Z120" s="15"/>
    </row>
    <row r="121" spans="1:26" x14ac:dyDescent="0.3">
      <c r="A121" s="15"/>
      <c r="B121" s="15"/>
      <c r="C121" s="15"/>
      <c r="D121" s="15"/>
      <c r="E121" s="15"/>
      <c r="F121" s="15"/>
      <c r="G121" s="15"/>
      <c r="H121" s="52"/>
      <c r="I121" s="52"/>
      <c r="J121" s="15"/>
      <c r="K121" s="15"/>
      <c r="L121" s="15"/>
      <c r="M121" s="15"/>
      <c r="N121" s="15"/>
      <c r="O121" s="15"/>
      <c r="P121" s="15"/>
      <c r="Q121" s="15"/>
      <c r="R121" s="15"/>
      <c r="S121" s="15"/>
      <c r="T121" s="15"/>
      <c r="U121" s="15"/>
      <c r="V121" s="15"/>
      <c r="W121" s="15"/>
      <c r="X121" s="15"/>
      <c r="Y121" s="15"/>
      <c r="Z121" s="15"/>
    </row>
    <row r="122" spans="1:26" x14ac:dyDescent="0.3">
      <c r="A122" s="15"/>
      <c r="B122" s="15"/>
      <c r="C122" s="15"/>
      <c r="D122" s="15"/>
      <c r="E122" s="15"/>
      <c r="F122" s="15"/>
      <c r="G122" s="15"/>
      <c r="H122" s="52"/>
      <c r="I122" s="52"/>
      <c r="J122" s="15"/>
      <c r="K122" s="15"/>
      <c r="L122" s="15"/>
      <c r="M122" s="15"/>
      <c r="N122" s="15"/>
      <c r="O122" s="15"/>
      <c r="P122" s="15"/>
      <c r="Q122" s="15"/>
      <c r="R122" s="15"/>
      <c r="S122" s="15"/>
      <c r="T122" s="15"/>
      <c r="U122" s="15"/>
      <c r="V122" s="15"/>
      <c r="W122" s="15"/>
      <c r="X122" s="15"/>
      <c r="Y122" s="15"/>
      <c r="Z122" s="15"/>
    </row>
    <row r="123" spans="1:26" x14ac:dyDescent="0.3">
      <c r="A123" s="15"/>
      <c r="B123" s="15"/>
      <c r="C123" s="15"/>
      <c r="D123" s="15"/>
      <c r="E123" s="15"/>
      <c r="F123" s="15"/>
      <c r="G123" s="15"/>
      <c r="H123" s="52"/>
      <c r="I123" s="52"/>
      <c r="J123" s="15"/>
      <c r="K123" s="15"/>
      <c r="L123" s="15"/>
      <c r="M123" s="15"/>
      <c r="N123" s="15"/>
      <c r="O123" s="15"/>
      <c r="P123" s="15"/>
      <c r="Q123" s="15"/>
      <c r="R123" s="15"/>
      <c r="S123" s="15"/>
      <c r="T123" s="15"/>
      <c r="U123" s="15"/>
      <c r="V123" s="15"/>
      <c r="W123" s="15"/>
      <c r="X123" s="15"/>
      <c r="Y123" s="15"/>
      <c r="Z123" s="15"/>
    </row>
    <row r="124" spans="1:26" x14ac:dyDescent="0.3">
      <c r="A124" s="15"/>
      <c r="B124" s="15"/>
      <c r="C124" s="15"/>
      <c r="D124" s="15"/>
      <c r="E124" s="15"/>
      <c r="F124" s="15"/>
      <c r="G124" s="15"/>
      <c r="H124" s="52"/>
      <c r="I124" s="52"/>
      <c r="J124" s="15"/>
      <c r="K124" s="15"/>
      <c r="L124" s="15"/>
      <c r="M124" s="15"/>
      <c r="N124" s="15"/>
      <c r="O124" s="15"/>
      <c r="P124" s="15"/>
      <c r="Q124" s="15"/>
      <c r="R124" s="15"/>
      <c r="S124" s="15"/>
      <c r="T124" s="15"/>
      <c r="U124" s="15"/>
      <c r="V124" s="15"/>
      <c r="W124" s="15"/>
      <c r="X124" s="15"/>
      <c r="Y124" s="15"/>
      <c r="Z124" s="15"/>
    </row>
    <row r="125" spans="1:26" x14ac:dyDescent="0.3">
      <c r="A125" s="15"/>
      <c r="B125" s="15"/>
      <c r="C125" s="15"/>
      <c r="D125" s="15"/>
      <c r="E125" s="15"/>
      <c r="F125" s="15"/>
      <c r="G125" s="15"/>
      <c r="H125" s="52"/>
      <c r="I125" s="52"/>
      <c r="J125" s="15"/>
      <c r="K125" s="15"/>
      <c r="L125" s="15"/>
      <c r="M125" s="15"/>
      <c r="N125" s="15"/>
      <c r="O125" s="15"/>
      <c r="P125" s="15"/>
      <c r="Q125" s="15"/>
      <c r="R125" s="15"/>
      <c r="S125" s="15"/>
      <c r="T125" s="15"/>
      <c r="U125" s="15"/>
      <c r="V125" s="15"/>
      <c r="W125" s="15"/>
      <c r="X125" s="15"/>
      <c r="Y125" s="15"/>
      <c r="Z125" s="15"/>
    </row>
    <row r="126" spans="1:26" x14ac:dyDescent="0.3">
      <c r="A126" s="15"/>
      <c r="B126" s="15"/>
      <c r="C126" s="15"/>
      <c r="D126" s="15"/>
      <c r="E126" s="15"/>
      <c r="F126" s="15"/>
      <c r="G126" s="15"/>
      <c r="H126" s="52"/>
      <c r="I126" s="52"/>
      <c r="J126" s="15"/>
      <c r="K126" s="15"/>
      <c r="L126" s="15"/>
      <c r="M126" s="15"/>
      <c r="N126" s="15"/>
      <c r="O126" s="15"/>
      <c r="P126" s="15"/>
      <c r="Q126" s="15"/>
      <c r="R126" s="15"/>
      <c r="S126" s="15"/>
      <c r="T126" s="15"/>
      <c r="U126" s="15"/>
      <c r="V126" s="15"/>
      <c r="W126" s="15"/>
      <c r="X126" s="15"/>
      <c r="Y126" s="15"/>
      <c r="Z126" s="15"/>
    </row>
    <row r="127" spans="1:26" x14ac:dyDescent="0.3">
      <c r="A127" s="15"/>
      <c r="B127" s="15"/>
      <c r="C127" s="15"/>
      <c r="D127" s="15"/>
      <c r="E127" s="15"/>
      <c r="F127" s="15"/>
      <c r="G127" s="15"/>
      <c r="H127" s="52"/>
      <c r="I127" s="52"/>
      <c r="J127" s="15"/>
      <c r="K127" s="15"/>
      <c r="L127" s="15"/>
      <c r="M127" s="15"/>
      <c r="N127" s="15"/>
      <c r="O127" s="15"/>
      <c r="P127" s="15"/>
      <c r="Q127" s="15"/>
      <c r="R127" s="15"/>
      <c r="S127" s="15"/>
      <c r="T127" s="15"/>
      <c r="U127" s="15"/>
      <c r="V127" s="15"/>
      <c r="W127" s="15"/>
      <c r="X127" s="15"/>
      <c r="Y127" s="15"/>
      <c r="Z127" s="15"/>
    </row>
    <row r="128" spans="1:26" x14ac:dyDescent="0.3">
      <c r="A128" s="15"/>
      <c r="B128" s="15"/>
      <c r="C128" s="15"/>
      <c r="D128" s="15"/>
      <c r="E128" s="15"/>
      <c r="F128" s="15"/>
      <c r="G128" s="15"/>
      <c r="H128" s="52"/>
      <c r="I128" s="52"/>
      <c r="J128" s="15"/>
      <c r="K128" s="15"/>
      <c r="L128" s="15"/>
      <c r="M128" s="15"/>
      <c r="N128" s="15"/>
      <c r="O128" s="15"/>
      <c r="P128" s="15"/>
      <c r="Q128" s="15"/>
      <c r="R128" s="15"/>
      <c r="S128" s="15"/>
      <c r="T128" s="15"/>
      <c r="U128" s="15"/>
      <c r="V128" s="15"/>
      <c r="W128" s="15"/>
      <c r="X128" s="15"/>
      <c r="Y128" s="15"/>
      <c r="Z128" s="15"/>
    </row>
    <row r="129" spans="1:26" x14ac:dyDescent="0.3">
      <c r="A129" s="15"/>
      <c r="B129" s="15"/>
      <c r="C129" s="15"/>
      <c r="D129" s="15"/>
      <c r="E129" s="15"/>
      <c r="F129" s="15"/>
      <c r="G129" s="15"/>
      <c r="H129" s="52"/>
      <c r="I129" s="52"/>
      <c r="J129" s="15"/>
      <c r="K129" s="15"/>
      <c r="L129" s="15"/>
      <c r="M129" s="15"/>
      <c r="N129" s="15"/>
      <c r="O129" s="15"/>
      <c r="P129" s="15"/>
      <c r="Q129" s="15"/>
      <c r="R129" s="15"/>
      <c r="S129" s="15"/>
      <c r="T129" s="15"/>
      <c r="U129" s="15"/>
      <c r="V129" s="15"/>
      <c r="W129" s="15"/>
      <c r="X129" s="15"/>
      <c r="Y129" s="15"/>
      <c r="Z129" s="15"/>
    </row>
    <row r="130" spans="1:26" x14ac:dyDescent="0.3">
      <c r="A130" s="15"/>
      <c r="B130" s="15"/>
      <c r="C130" s="15"/>
      <c r="D130" s="15"/>
      <c r="E130" s="15"/>
      <c r="F130" s="15"/>
      <c r="G130" s="15"/>
      <c r="H130" s="52"/>
      <c r="I130" s="52"/>
      <c r="J130" s="15"/>
      <c r="K130" s="15"/>
      <c r="L130" s="15"/>
      <c r="M130" s="15"/>
      <c r="N130" s="15"/>
      <c r="O130" s="15"/>
      <c r="P130" s="15"/>
      <c r="Q130" s="15"/>
      <c r="R130" s="15"/>
      <c r="S130" s="15"/>
      <c r="T130" s="15"/>
      <c r="U130" s="15"/>
      <c r="V130" s="15"/>
      <c r="W130" s="15"/>
      <c r="X130" s="15"/>
      <c r="Y130" s="15"/>
      <c r="Z130" s="15"/>
    </row>
    <row r="131" spans="1:26" x14ac:dyDescent="0.3">
      <c r="A131" s="15"/>
      <c r="B131" s="15"/>
      <c r="C131" s="15"/>
      <c r="D131" s="15"/>
      <c r="E131" s="15"/>
      <c r="F131" s="15"/>
      <c r="G131" s="15"/>
      <c r="H131" s="52"/>
      <c r="I131" s="52"/>
      <c r="J131" s="15"/>
      <c r="K131" s="15"/>
      <c r="L131" s="15"/>
      <c r="M131" s="15"/>
      <c r="N131" s="15"/>
      <c r="O131" s="15"/>
      <c r="P131" s="15"/>
      <c r="Q131" s="15"/>
      <c r="R131" s="15"/>
      <c r="S131" s="15"/>
      <c r="T131" s="15"/>
      <c r="U131" s="15"/>
      <c r="V131" s="15"/>
      <c r="W131" s="15"/>
      <c r="X131" s="15"/>
      <c r="Y131" s="15"/>
      <c r="Z131" s="15"/>
    </row>
    <row r="132" spans="1:26" x14ac:dyDescent="0.3">
      <c r="A132" s="15"/>
      <c r="B132" s="15"/>
      <c r="C132" s="15"/>
      <c r="D132" s="15"/>
      <c r="E132" s="15"/>
      <c r="F132" s="15"/>
      <c r="G132" s="15"/>
      <c r="H132" s="52"/>
      <c r="I132" s="52"/>
      <c r="J132" s="15"/>
      <c r="K132" s="15"/>
      <c r="L132" s="15"/>
      <c r="M132" s="15"/>
      <c r="N132" s="15"/>
      <c r="O132" s="15"/>
      <c r="P132" s="15"/>
      <c r="Q132" s="15"/>
      <c r="R132" s="15"/>
      <c r="S132" s="15"/>
      <c r="T132" s="15"/>
      <c r="U132" s="15"/>
      <c r="V132" s="15"/>
      <c r="W132" s="15"/>
      <c r="X132" s="15"/>
      <c r="Y132" s="15"/>
      <c r="Z132" s="15"/>
    </row>
    <row r="133" spans="1:26" x14ac:dyDescent="0.3">
      <c r="A133" s="15"/>
      <c r="B133" s="15"/>
      <c r="C133" s="15"/>
      <c r="D133" s="15"/>
      <c r="E133" s="15"/>
      <c r="F133" s="15"/>
      <c r="G133" s="15"/>
      <c r="H133" s="52"/>
      <c r="I133" s="52"/>
      <c r="J133" s="15"/>
      <c r="K133" s="15"/>
      <c r="L133" s="15"/>
      <c r="M133" s="15"/>
      <c r="N133" s="15"/>
      <c r="O133" s="15"/>
      <c r="P133" s="15"/>
      <c r="Q133" s="15"/>
      <c r="R133" s="15"/>
      <c r="S133" s="15"/>
      <c r="T133" s="15"/>
      <c r="U133" s="15"/>
      <c r="V133" s="15"/>
      <c r="W133" s="15"/>
      <c r="X133" s="15"/>
      <c r="Y133" s="15"/>
      <c r="Z133" s="15"/>
    </row>
    <row r="134" spans="1:26" x14ac:dyDescent="0.3">
      <c r="A134" s="15"/>
      <c r="B134" s="15"/>
      <c r="C134" s="15"/>
      <c r="D134" s="15"/>
      <c r="E134" s="15"/>
      <c r="F134" s="15"/>
      <c r="G134" s="15"/>
      <c r="H134" s="52"/>
      <c r="I134" s="52"/>
      <c r="J134" s="15"/>
      <c r="K134" s="15"/>
      <c r="L134" s="15"/>
      <c r="M134" s="15"/>
      <c r="N134" s="15"/>
      <c r="O134" s="15"/>
      <c r="P134" s="15"/>
      <c r="Q134" s="15"/>
      <c r="R134" s="15"/>
      <c r="S134" s="15"/>
      <c r="T134" s="15"/>
      <c r="U134" s="15"/>
      <c r="V134" s="15"/>
      <c r="W134" s="15"/>
      <c r="X134" s="15"/>
      <c r="Y134" s="15"/>
      <c r="Z134" s="15"/>
    </row>
    <row r="135" spans="1:26" x14ac:dyDescent="0.3">
      <c r="A135" s="15"/>
      <c r="B135" s="15"/>
      <c r="C135" s="15"/>
      <c r="D135" s="15"/>
      <c r="E135" s="15"/>
      <c r="F135" s="15"/>
      <c r="G135" s="15"/>
      <c r="H135" s="52"/>
      <c r="I135" s="52"/>
      <c r="J135" s="15"/>
      <c r="K135" s="15"/>
      <c r="L135" s="15"/>
      <c r="M135" s="15"/>
      <c r="N135" s="15"/>
      <c r="O135" s="15"/>
      <c r="P135" s="15"/>
      <c r="Q135" s="15"/>
      <c r="R135" s="15"/>
      <c r="S135" s="15"/>
      <c r="T135" s="15"/>
      <c r="U135" s="15"/>
      <c r="V135" s="15"/>
      <c r="W135" s="15"/>
      <c r="X135" s="15"/>
      <c r="Y135" s="15"/>
      <c r="Z135" s="15"/>
    </row>
    <row r="136" spans="1:26" x14ac:dyDescent="0.3">
      <c r="A136" s="15"/>
      <c r="B136" s="15"/>
      <c r="C136" s="15"/>
      <c r="D136" s="15"/>
      <c r="E136" s="15"/>
      <c r="F136" s="15"/>
      <c r="G136" s="15"/>
      <c r="H136" s="52"/>
      <c r="I136" s="52"/>
      <c r="J136" s="15"/>
      <c r="K136" s="15"/>
      <c r="L136" s="15"/>
      <c r="M136" s="15"/>
      <c r="N136" s="15"/>
      <c r="O136" s="15"/>
      <c r="P136" s="15"/>
      <c r="Q136" s="15"/>
      <c r="R136" s="15"/>
      <c r="S136" s="15"/>
      <c r="T136" s="15"/>
      <c r="U136" s="15"/>
      <c r="V136" s="15"/>
      <c r="W136" s="15"/>
      <c r="X136" s="15"/>
      <c r="Y136" s="15"/>
      <c r="Z136" s="15"/>
    </row>
    <row r="137" spans="1:26" x14ac:dyDescent="0.3">
      <c r="A137" s="15"/>
      <c r="B137" s="15"/>
      <c r="C137" s="15"/>
      <c r="D137" s="15"/>
      <c r="E137" s="15"/>
      <c r="F137" s="15"/>
      <c r="G137" s="15"/>
      <c r="H137" s="52"/>
      <c r="I137" s="52"/>
      <c r="J137" s="15"/>
      <c r="K137" s="15"/>
      <c r="L137" s="15"/>
      <c r="M137" s="15"/>
      <c r="N137" s="15"/>
      <c r="O137" s="15"/>
      <c r="P137" s="15"/>
      <c r="Q137" s="15"/>
      <c r="R137" s="15"/>
      <c r="S137" s="15"/>
      <c r="T137" s="15"/>
      <c r="U137" s="15"/>
      <c r="V137" s="15"/>
      <c r="W137" s="15"/>
      <c r="X137" s="15"/>
      <c r="Y137" s="15"/>
      <c r="Z137" s="15"/>
    </row>
    <row r="138" spans="1:26" x14ac:dyDescent="0.3">
      <c r="A138" s="15"/>
      <c r="B138" s="15"/>
      <c r="C138" s="15"/>
      <c r="D138" s="15"/>
      <c r="E138" s="15"/>
      <c r="F138" s="15"/>
      <c r="G138" s="15"/>
      <c r="H138" s="52"/>
      <c r="I138" s="52"/>
      <c r="J138" s="15"/>
      <c r="K138" s="15"/>
      <c r="L138" s="15"/>
      <c r="M138" s="15"/>
      <c r="N138" s="15"/>
      <c r="O138" s="15"/>
      <c r="P138" s="15"/>
      <c r="Q138" s="15"/>
      <c r="R138" s="15"/>
      <c r="S138" s="15"/>
      <c r="T138" s="15"/>
      <c r="U138" s="15"/>
      <c r="V138" s="15"/>
      <c r="W138" s="15"/>
      <c r="X138" s="15"/>
      <c r="Y138" s="15"/>
      <c r="Z138" s="15"/>
    </row>
    <row r="139" spans="1:26" x14ac:dyDescent="0.3">
      <c r="A139" s="15"/>
      <c r="B139" s="15"/>
      <c r="C139" s="15"/>
      <c r="D139" s="15"/>
      <c r="E139" s="15"/>
      <c r="F139" s="15"/>
      <c r="G139" s="15"/>
      <c r="H139" s="52"/>
      <c r="I139" s="52"/>
      <c r="J139" s="15"/>
      <c r="K139" s="15"/>
      <c r="L139" s="15"/>
      <c r="M139" s="15"/>
      <c r="N139" s="15"/>
      <c r="O139" s="15"/>
      <c r="P139" s="15"/>
      <c r="Q139" s="15"/>
      <c r="R139" s="15"/>
      <c r="S139" s="15"/>
      <c r="T139" s="15"/>
      <c r="U139" s="15"/>
      <c r="V139" s="15"/>
      <c r="W139" s="15"/>
      <c r="X139" s="15"/>
      <c r="Y139" s="15"/>
      <c r="Z139" s="15"/>
    </row>
    <row r="140" spans="1:26" x14ac:dyDescent="0.3">
      <c r="A140" s="15"/>
      <c r="B140" s="15"/>
      <c r="C140" s="15"/>
      <c r="D140" s="15"/>
      <c r="E140" s="15"/>
      <c r="F140" s="15"/>
      <c r="G140" s="15"/>
      <c r="H140" s="52"/>
      <c r="I140" s="52"/>
      <c r="J140" s="15"/>
      <c r="K140" s="15"/>
      <c r="L140" s="15"/>
      <c r="M140" s="15"/>
      <c r="N140" s="15"/>
      <c r="O140" s="15"/>
      <c r="P140" s="15"/>
      <c r="Q140" s="15"/>
      <c r="R140" s="15"/>
      <c r="S140" s="15"/>
      <c r="T140" s="15"/>
      <c r="U140" s="15"/>
      <c r="V140" s="15"/>
      <c r="W140" s="15"/>
      <c r="X140" s="15"/>
      <c r="Y140" s="15"/>
      <c r="Z140" s="15"/>
    </row>
    <row r="141" spans="1:26" x14ac:dyDescent="0.3">
      <c r="A141" s="15"/>
      <c r="B141" s="15"/>
      <c r="C141" s="15"/>
      <c r="D141" s="15"/>
      <c r="E141" s="15"/>
      <c r="F141" s="15"/>
      <c r="G141" s="15"/>
      <c r="H141" s="52"/>
      <c r="I141" s="52"/>
      <c r="J141" s="15"/>
      <c r="K141" s="15"/>
      <c r="L141" s="15"/>
      <c r="M141" s="15"/>
      <c r="N141" s="15"/>
      <c r="O141" s="15"/>
      <c r="P141" s="15"/>
      <c r="Q141" s="15"/>
      <c r="R141" s="15"/>
      <c r="S141" s="15"/>
      <c r="T141" s="15"/>
      <c r="U141" s="15"/>
      <c r="V141" s="15"/>
      <c r="W141" s="15"/>
      <c r="X141" s="15"/>
      <c r="Y141" s="15"/>
      <c r="Z141" s="15"/>
    </row>
    <row r="142" spans="1:26" x14ac:dyDescent="0.3">
      <c r="A142" s="15"/>
      <c r="B142" s="15"/>
      <c r="C142" s="15"/>
      <c r="D142" s="15"/>
      <c r="E142" s="15"/>
      <c r="F142" s="15"/>
      <c r="G142" s="15"/>
      <c r="H142" s="52"/>
      <c r="I142" s="52"/>
      <c r="J142" s="15"/>
      <c r="K142" s="15"/>
      <c r="L142" s="15"/>
      <c r="M142" s="15"/>
      <c r="N142" s="15"/>
      <c r="O142" s="15"/>
      <c r="P142" s="15"/>
      <c r="Q142" s="15"/>
      <c r="R142" s="15"/>
      <c r="S142" s="15"/>
      <c r="T142" s="15"/>
      <c r="U142" s="15"/>
      <c r="V142" s="15"/>
      <c r="W142" s="15"/>
      <c r="X142" s="15"/>
      <c r="Y142" s="15"/>
      <c r="Z142" s="15"/>
    </row>
    <row r="143" spans="1:26" x14ac:dyDescent="0.3">
      <c r="A143" s="15"/>
      <c r="B143" s="15"/>
      <c r="C143" s="15"/>
      <c r="D143" s="15"/>
      <c r="E143" s="15"/>
      <c r="F143" s="15"/>
      <c r="G143" s="15"/>
      <c r="H143" s="52"/>
      <c r="I143" s="52"/>
      <c r="J143" s="15"/>
      <c r="K143" s="15"/>
      <c r="L143" s="15"/>
      <c r="M143" s="15"/>
      <c r="N143" s="15"/>
      <c r="O143" s="15"/>
      <c r="P143" s="15"/>
      <c r="Q143" s="15"/>
      <c r="R143" s="15"/>
      <c r="S143" s="15"/>
      <c r="T143" s="15"/>
      <c r="U143" s="15"/>
      <c r="V143" s="15"/>
      <c r="W143" s="15"/>
      <c r="X143" s="15"/>
      <c r="Y143" s="15"/>
      <c r="Z143" s="15"/>
    </row>
    <row r="144" spans="1:26" x14ac:dyDescent="0.3">
      <c r="A144" s="15"/>
      <c r="B144" s="15"/>
      <c r="C144" s="15"/>
      <c r="D144" s="15"/>
      <c r="E144" s="15"/>
      <c r="F144" s="15"/>
      <c r="G144" s="15"/>
      <c r="H144" s="52"/>
      <c r="I144" s="52"/>
      <c r="J144" s="15"/>
      <c r="K144" s="15"/>
      <c r="L144" s="15"/>
      <c r="M144" s="15"/>
      <c r="N144" s="15"/>
      <c r="O144" s="15"/>
      <c r="P144" s="15"/>
      <c r="Q144" s="15"/>
      <c r="R144" s="15"/>
      <c r="S144" s="15"/>
      <c r="T144" s="15"/>
      <c r="U144" s="15"/>
      <c r="V144" s="15"/>
      <c r="W144" s="15"/>
      <c r="X144" s="15"/>
      <c r="Y144" s="15"/>
      <c r="Z144" s="15"/>
    </row>
    <row r="145" spans="1:26" x14ac:dyDescent="0.3">
      <c r="A145" s="15"/>
      <c r="B145" s="15"/>
      <c r="C145" s="15"/>
      <c r="D145" s="15"/>
      <c r="E145" s="15"/>
      <c r="F145" s="15"/>
      <c r="G145" s="15"/>
      <c r="H145" s="52"/>
      <c r="I145" s="52"/>
      <c r="J145" s="15"/>
      <c r="K145" s="15"/>
      <c r="L145" s="15"/>
      <c r="M145" s="15"/>
      <c r="N145" s="15"/>
      <c r="O145" s="15"/>
      <c r="P145" s="15"/>
      <c r="Q145" s="15"/>
      <c r="R145" s="15"/>
      <c r="S145" s="15"/>
      <c r="T145" s="15"/>
      <c r="U145" s="15"/>
      <c r="V145" s="15"/>
      <c r="W145" s="15"/>
      <c r="X145" s="15"/>
      <c r="Y145" s="15"/>
      <c r="Z145" s="15"/>
    </row>
    <row r="146" spans="1:26" x14ac:dyDescent="0.3">
      <c r="A146" s="15"/>
      <c r="B146" s="15"/>
      <c r="C146" s="15"/>
      <c r="D146" s="15"/>
      <c r="E146" s="15"/>
      <c r="F146" s="15"/>
      <c r="G146" s="15"/>
      <c r="H146" s="52"/>
      <c r="I146" s="52"/>
      <c r="J146" s="15"/>
      <c r="K146" s="15"/>
      <c r="L146" s="15"/>
      <c r="M146" s="15"/>
      <c r="N146" s="15"/>
      <c r="O146" s="15"/>
      <c r="P146" s="15"/>
      <c r="Q146" s="15"/>
      <c r="R146" s="15"/>
      <c r="S146" s="15"/>
      <c r="T146" s="15"/>
      <c r="U146" s="15"/>
      <c r="V146" s="15"/>
      <c r="W146" s="15"/>
      <c r="X146" s="15"/>
      <c r="Y146" s="15"/>
      <c r="Z146" s="15"/>
    </row>
    <row r="147" spans="1:26" x14ac:dyDescent="0.3">
      <c r="A147" s="15"/>
      <c r="B147" s="15"/>
      <c r="C147" s="15"/>
      <c r="D147" s="15"/>
      <c r="E147" s="15"/>
      <c r="F147" s="15"/>
      <c r="G147" s="15"/>
      <c r="H147" s="52"/>
      <c r="I147" s="52"/>
      <c r="J147" s="15"/>
      <c r="K147" s="15"/>
      <c r="L147" s="15"/>
      <c r="M147" s="15"/>
      <c r="N147" s="15"/>
      <c r="O147" s="15"/>
      <c r="P147" s="15"/>
      <c r="Q147" s="15"/>
      <c r="R147" s="15"/>
      <c r="S147" s="15"/>
      <c r="T147" s="15"/>
      <c r="U147" s="15"/>
      <c r="V147" s="15"/>
      <c r="W147" s="15"/>
      <c r="X147" s="15"/>
      <c r="Y147" s="15"/>
      <c r="Z147" s="15"/>
    </row>
    <row r="148" spans="1:26" x14ac:dyDescent="0.3">
      <c r="A148" s="15"/>
      <c r="B148" s="15"/>
      <c r="C148" s="15"/>
      <c r="D148" s="15"/>
      <c r="E148" s="15"/>
      <c r="F148" s="15"/>
      <c r="G148" s="15"/>
      <c r="H148" s="52"/>
      <c r="I148" s="52"/>
      <c r="J148" s="15"/>
      <c r="K148" s="15"/>
      <c r="L148" s="15"/>
      <c r="M148" s="15"/>
      <c r="N148" s="15"/>
      <c r="O148" s="15"/>
      <c r="P148" s="15"/>
      <c r="Q148" s="15"/>
      <c r="R148" s="15"/>
      <c r="S148" s="15"/>
      <c r="T148" s="15"/>
      <c r="U148" s="15"/>
      <c r="V148" s="15"/>
      <c r="W148" s="15"/>
      <c r="X148" s="15"/>
      <c r="Y148" s="15"/>
      <c r="Z148" s="15"/>
    </row>
    <row r="149" spans="1:26" x14ac:dyDescent="0.3">
      <c r="A149" s="15"/>
      <c r="B149" s="15"/>
      <c r="C149" s="15"/>
      <c r="D149" s="15"/>
      <c r="E149" s="15"/>
      <c r="F149" s="15"/>
      <c r="G149" s="15"/>
      <c r="H149" s="52"/>
      <c r="I149" s="52"/>
      <c r="J149" s="15"/>
      <c r="K149" s="15"/>
      <c r="L149" s="15"/>
      <c r="M149" s="15"/>
      <c r="N149" s="15"/>
      <c r="O149" s="15"/>
      <c r="P149" s="15"/>
      <c r="Q149" s="15"/>
      <c r="R149" s="15"/>
      <c r="S149" s="15"/>
      <c r="T149" s="15"/>
      <c r="U149" s="15"/>
      <c r="V149" s="15"/>
      <c r="W149" s="15"/>
      <c r="X149" s="15"/>
      <c r="Y149" s="15"/>
      <c r="Z149" s="15"/>
    </row>
    <row r="150" spans="1:26" x14ac:dyDescent="0.3">
      <c r="A150" s="15"/>
      <c r="B150" s="15"/>
      <c r="C150" s="15"/>
      <c r="D150" s="15"/>
      <c r="E150" s="15"/>
      <c r="F150" s="15"/>
      <c r="G150" s="15"/>
      <c r="H150" s="52"/>
      <c r="I150" s="52"/>
      <c r="J150" s="15"/>
      <c r="K150" s="15"/>
      <c r="L150" s="15"/>
      <c r="M150" s="15"/>
      <c r="N150" s="15"/>
      <c r="O150" s="15"/>
      <c r="P150" s="15"/>
      <c r="Q150" s="15"/>
      <c r="R150" s="15"/>
      <c r="S150" s="15"/>
      <c r="T150" s="15"/>
      <c r="U150" s="15"/>
      <c r="V150" s="15"/>
      <c r="W150" s="15"/>
      <c r="X150" s="15"/>
      <c r="Y150" s="15"/>
      <c r="Z150" s="15"/>
    </row>
    <row r="151" spans="1:26" x14ac:dyDescent="0.3">
      <c r="A151" s="15"/>
      <c r="B151" s="15"/>
      <c r="C151" s="15"/>
      <c r="D151" s="15"/>
      <c r="E151" s="15"/>
      <c r="F151" s="15"/>
      <c r="G151" s="15"/>
      <c r="H151" s="52"/>
      <c r="I151" s="52"/>
      <c r="J151" s="15"/>
      <c r="K151" s="15"/>
      <c r="L151" s="15"/>
      <c r="M151" s="15"/>
      <c r="N151" s="15"/>
      <c r="O151" s="15"/>
      <c r="P151" s="15"/>
      <c r="Q151" s="15"/>
      <c r="R151" s="15"/>
      <c r="S151" s="15"/>
      <c r="T151" s="15"/>
      <c r="U151" s="15"/>
      <c r="V151" s="15"/>
      <c r="W151" s="15"/>
      <c r="X151" s="15"/>
      <c r="Y151" s="15"/>
      <c r="Z151" s="15"/>
    </row>
    <row r="152" spans="1:26" x14ac:dyDescent="0.3">
      <c r="A152" s="15"/>
      <c r="B152" s="15"/>
      <c r="C152" s="15"/>
      <c r="D152" s="15"/>
      <c r="E152" s="15"/>
      <c r="F152" s="15"/>
      <c r="G152" s="15"/>
      <c r="H152" s="52"/>
      <c r="I152" s="52"/>
      <c r="J152" s="15"/>
      <c r="K152" s="15"/>
      <c r="L152" s="15"/>
      <c r="M152" s="15"/>
      <c r="N152" s="15"/>
      <c r="O152" s="15"/>
      <c r="P152" s="15"/>
      <c r="Q152" s="15"/>
      <c r="R152" s="15"/>
      <c r="S152" s="15"/>
      <c r="T152" s="15"/>
      <c r="U152" s="15"/>
      <c r="V152" s="15"/>
      <c r="W152" s="15"/>
      <c r="X152" s="15"/>
      <c r="Y152" s="15"/>
      <c r="Z152" s="15"/>
    </row>
    <row r="153" spans="1:26" x14ac:dyDescent="0.3">
      <c r="A153" s="15"/>
      <c r="B153" s="15"/>
      <c r="C153" s="15"/>
      <c r="D153" s="15"/>
      <c r="E153" s="15"/>
      <c r="F153" s="15"/>
      <c r="G153" s="15"/>
      <c r="H153" s="52"/>
      <c r="I153" s="52"/>
      <c r="J153" s="15"/>
      <c r="K153" s="15"/>
      <c r="L153" s="15"/>
      <c r="M153" s="15"/>
      <c r="N153" s="15"/>
      <c r="O153" s="15"/>
      <c r="P153" s="15"/>
      <c r="Q153" s="15"/>
      <c r="R153" s="15"/>
      <c r="S153" s="15"/>
      <c r="T153" s="15"/>
      <c r="U153" s="15"/>
      <c r="V153" s="15"/>
      <c r="W153" s="15"/>
      <c r="X153" s="15"/>
      <c r="Y153" s="15"/>
      <c r="Z153" s="15"/>
    </row>
    <row r="154" spans="1:26" x14ac:dyDescent="0.3">
      <c r="A154" s="15"/>
      <c r="B154" s="15"/>
      <c r="C154" s="15"/>
      <c r="D154" s="15"/>
      <c r="E154" s="15"/>
      <c r="F154" s="15"/>
      <c r="G154" s="15"/>
      <c r="H154" s="52"/>
      <c r="I154" s="52"/>
      <c r="J154" s="15"/>
      <c r="K154" s="15"/>
      <c r="L154" s="15"/>
      <c r="M154" s="15"/>
      <c r="N154" s="15"/>
      <c r="O154" s="15"/>
      <c r="P154" s="15"/>
      <c r="Q154" s="15"/>
      <c r="R154" s="15"/>
      <c r="S154" s="15"/>
      <c r="T154" s="15"/>
      <c r="U154" s="15"/>
      <c r="V154" s="15"/>
      <c r="W154" s="15"/>
      <c r="X154" s="15"/>
      <c r="Y154" s="15"/>
      <c r="Z154" s="15"/>
    </row>
    <row r="155" spans="1:26" x14ac:dyDescent="0.3">
      <c r="A155" s="15"/>
      <c r="B155" s="15"/>
      <c r="C155" s="15"/>
      <c r="D155" s="15"/>
      <c r="E155" s="15"/>
      <c r="F155" s="15"/>
      <c r="G155" s="15"/>
      <c r="H155" s="52"/>
      <c r="I155" s="52"/>
      <c r="J155" s="15"/>
      <c r="K155" s="15"/>
      <c r="L155" s="15"/>
      <c r="M155" s="15"/>
      <c r="N155" s="15"/>
      <c r="O155" s="15"/>
      <c r="P155" s="15"/>
      <c r="Q155" s="15"/>
      <c r="R155" s="15"/>
      <c r="S155" s="15"/>
      <c r="T155" s="15"/>
      <c r="U155" s="15"/>
      <c r="V155" s="15"/>
      <c r="W155" s="15"/>
      <c r="X155" s="15"/>
      <c r="Y155" s="15"/>
      <c r="Z155" s="15"/>
    </row>
    <row r="156" spans="1:26" x14ac:dyDescent="0.3">
      <c r="A156" s="15"/>
      <c r="B156" s="15"/>
      <c r="C156" s="15"/>
      <c r="D156" s="15"/>
      <c r="E156" s="15"/>
      <c r="F156" s="15"/>
      <c r="G156" s="15"/>
      <c r="H156" s="52"/>
      <c r="I156" s="52"/>
      <c r="J156" s="15"/>
      <c r="K156" s="15"/>
      <c r="L156" s="15"/>
      <c r="M156" s="15"/>
      <c r="N156" s="15"/>
      <c r="O156" s="15"/>
      <c r="P156" s="15"/>
      <c r="Q156" s="15"/>
      <c r="R156" s="15"/>
      <c r="S156" s="15"/>
      <c r="T156" s="15"/>
      <c r="U156" s="15"/>
      <c r="V156" s="15"/>
      <c r="W156" s="15"/>
      <c r="X156" s="15"/>
      <c r="Y156" s="15"/>
      <c r="Z156" s="15"/>
    </row>
    <row r="157" spans="1:26" x14ac:dyDescent="0.3">
      <c r="A157" s="15"/>
      <c r="B157" s="15"/>
      <c r="C157" s="15"/>
      <c r="D157" s="15"/>
      <c r="E157" s="15"/>
      <c r="F157" s="15"/>
      <c r="G157" s="15"/>
      <c r="H157" s="52"/>
      <c r="I157" s="52"/>
      <c r="J157" s="15"/>
      <c r="K157" s="15"/>
      <c r="L157" s="15"/>
      <c r="M157" s="15"/>
      <c r="N157" s="15"/>
      <c r="O157" s="15"/>
      <c r="P157" s="15"/>
      <c r="Q157" s="15"/>
      <c r="R157" s="15"/>
      <c r="S157" s="15"/>
      <c r="T157" s="15"/>
      <c r="U157" s="15"/>
      <c r="V157" s="15"/>
      <c r="W157" s="15"/>
      <c r="X157" s="15"/>
      <c r="Y157" s="15"/>
      <c r="Z157" s="15"/>
    </row>
    <row r="158" spans="1:26" x14ac:dyDescent="0.3">
      <c r="A158" s="15"/>
      <c r="B158" s="15"/>
      <c r="C158" s="15"/>
      <c r="D158" s="15"/>
      <c r="E158" s="15"/>
      <c r="F158" s="15"/>
      <c r="G158" s="15"/>
      <c r="H158" s="52"/>
      <c r="I158" s="52"/>
      <c r="J158" s="15"/>
      <c r="K158" s="15"/>
      <c r="L158" s="15"/>
      <c r="M158" s="15"/>
      <c r="N158" s="15"/>
      <c r="O158" s="15"/>
      <c r="P158" s="15"/>
      <c r="Q158" s="15"/>
      <c r="R158" s="15"/>
      <c r="S158" s="15"/>
      <c r="T158" s="15"/>
      <c r="U158" s="15"/>
      <c r="V158" s="15"/>
      <c r="W158" s="15"/>
      <c r="X158" s="15"/>
      <c r="Y158" s="15"/>
      <c r="Z158" s="15"/>
    </row>
    <row r="159" spans="1:26" x14ac:dyDescent="0.3">
      <c r="A159" s="15"/>
      <c r="B159" s="15"/>
      <c r="C159" s="15"/>
      <c r="D159" s="15"/>
      <c r="E159" s="15"/>
      <c r="F159" s="15"/>
      <c r="G159" s="15"/>
      <c r="H159" s="52"/>
      <c r="I159" s="52"/>
      <c r="J159" s="15"/>
      <c r="K159" s="15"/>
      <c r="L159" s="15"/>
      <c r="M159" s="15"/>
      <c r="N159" s="15"/>
      <c r="O159" s="15"/>
      <c r="P159" s="15"/>
      <c r="Q159" s="15"/>
      <c r="R159" s="15"/>
      <c r="S159" s="15"/>
      <c r="T159" s="15"/>
      <c r="U159" s="15"/>
      <c r="V159" s="15"/>
      <c r="W159" s="15"/>
      <c r="X159" s="15"/>
      <c r="Y159" s="15"/>
      <c r="Z159" s="15"/>
    </row>
    <row r="160" spans="1:26" x14ac:dyDescent="0.3">
      <c r="A160" s="15"/>
      <c r="B160" s="15"/>
      <c r="C160" s="15"/>
      <c r="D160" s="15"/>
      <c r="E160" s="15"/>
      <c r="F160" s="15"/>
      <c r="G160" s="15"/>
      <c r="H160" s="52"/>
      <c r="I160" s="52"/>
      <c r="J160" s="15"/>
      <c r="K160" s="15"/>
      <c r="L160" s="15"/>
      <c r="M160" s="15"/>
      <c r="N160" s="15"/>
      <c r="O160" s="15"/>
      <c r="P160" s="15"/>
      <c r="Q160" s="15"/>
      <c r="R160" s="15"/>
      <c r="S160" s="15"/>
      <c r="T160" s="15"/>
      <c r="U160" s="15"/>
      <c r="V160" s="15"/>
      <c r="W160" s="15"/>
      <c r="X160" s="15"/>
      <c r="Y160" s="15"/>
      <c r="Z160" s="15"/>
    </row>
    <row r="161" spans="1:26" x14ac:dyDescent="0.3">
      <c r="A161" s="15"/>
      <c r="B161" s="15"/>
      <c r="C161" s="15"/>
      <c r="D161" s="15"/>
      <c r="E161" s="15"/>
      <c r="F161" s="15"/>
      <c r="G161" s="15"/>
      <c r="H161" s="52"/>
      <c r="I161" s="52"/>
      <c r="J161" s="15"/>
      <c r="K161" s="15"/>
      <c r="L161" s="15"/>
      <c r="M161" s="15"/>
      <c r="N161" s="15"/>
      <c r="O161" s="15"/>
      <c r="P161" s="15"/>
      <c r="Q161" s="15"/>
      <c r="R161" s="15"/>
      <c r="S161" s="15"/>
      <c r="T161" s="15"/>
      <c r="U161" s="15"/>
      <c r="V161" s="15"/>
      <c r="W161" s="15"/>
      <c r="X161" s="15"/>
      <c r="Y161" s="15"/>
      <c r="Z161" s="15"/>
    </row>
    <row r="162" spans="1:26" x14ac:dyDescent="0.3">
      <c r="A162" s="15"/>
      <c r="B162" s="15"/>
      <c r="C162" s="15"/>
      <c r="D162" s="15"/>
      <c r="E162" s="15"/>
      <c r="F162" s="15"/>
      <c r="G162" s="15"/>
      <c r="H162" s="52"/>
      <c r="I162" s="52"/>
      <c r="J162" s="15"/>
      <c r="K162" s="15"/>
      <c r="L162" s="15"/>
      <c r="M162" s="15"/>
      <c r="N162" s="15"/>
      <c r="O162" s="15"/>
      <c r="P162" s="15"/>
      <c r="Q162" s="15"/>
      <c r="R162" s="15"/>
      <c r="S162" s="15"/>
      <c r="T162" s="15"/>
      <c r="U162" s="15"/>
      <c r="V162" s="15"/>
      <c r="W162" s="15"/>
      <c r="X162" s="15"/>
      <c r="Y162" s="15"/>
      <c r="Z162" s="15"/>
    </row>
    <row r="163" spans="1:26" x14ac:dyDescent="0.3">
      <c r="A163" s="15"/>
      <c r="B163" s="15"/>
      <c r="C163" s="15"/>
      <c r="D163" s="15"/>
      <c r="E163" s="15"/>
      <c r="F163" s="15"/>
      <c r="G163" s="15"/>
      <c r="H163" s="52"/>
      <c r="I163" s="52"/>
      <c r="J163" s="15"/>
      <c r="K163" s="15"/>
      <c r="L163" s="15"/>
      <c r="M163" s="15"/>
      <c r="N163" s="15"/>
      <c r="O163" s="15"/>
      <c r="P163" s="15"/>
      <c r="Q163" s="15"/>
      <c r="R163" s="15"/>
      <c r="S163" s="15"/>
      <c r="T163" s="15"/>
      <c r="U163" s="15"/>
      <c r="V163" s="15"/>
      <c r="W163" s="15"/>
      <c r="X163" s="15"/>
      <c r="Y163" s="15"/>
      <c r="Z163" s="15"/>
    </row>
    <row r="164" spans="1:26" x14ac:dyDescent="0.3">
      <c r="A164" s="15"/>
      <c r="B164" s="15"/>
      <c r="C164" s="15"/>
      <c r="D164" s="15"/>
      <c r="E164" s="15"/>
      <c r="F164" s="15"/>
      <c r="G164" s="15"/>
      <c r="H164" s="52"/>
      <c r="I164" s="52"/>
      <c r="J164" s="15"/>
      <c r="K164" s="15"/>
      <c r="L164" s="15"/>
      <c r="M164" s="15"/>
      <c r="N164" s="15"/>
      <c r="O164" s="15"/>
      <c r="P164" s="15"/>
      <c r="Q164" s="15"/>
      <c r="R164" s="15"/>
      <c r="S164" s="15"/>
      <c r="T164" s="15"/>
      <c r="U164" s="15"/>
      <c r="V164" s="15"/>
      <c r="W164" s="15"/>
      <c r="X164" s="15"/>
      <c r="Y164" s="15"/>
      <c r="Z164" s="15"/>
    </row>
    <row r="165" spans="1:26" x14ac:dyDescent="0.3">
      <c r="A165" s="15"/>
      <c r="B165" s="15"/>
      <c r="C165" s="15"/>
      <c r="D165" s="15"/>
      <c r="E165" s="15"/>
      <c r="F165" s="15"/>
      <c r="G165" s="15"/>
      <c r="H165" s="52"/>
      <c r="I165" s="52"/>
      <c r="J165" s="15"/>
      <c r="K165" s="15"/>
      <c r="L165" s="15"/>
      <c r="M165" s="15"/>
      <c r="N165" s="15"/>
      <c r="O165" s="15"/>
      <c r="P165" s="15"/>
      <c r="Q165" s="15"/>
      <c r="R165" s="15"/>
      <c r="S165" s="15"/>
      <c r="T165" s="15"/>
      <c r="U165" s="15"/>
      <c r="V165" s="15"/>
      <c r="W165" s="15"/>
      <c r="X165" s="15"/>
      <c r="Y165" s="15"/>
      <c r="Z165" s="15"/>
    </row>
    <row r="166" spans="1:26" x14ac:dyDescent="0.3">
      <c r="A166" s="15"/>
      <c r="B166" s="15"/>
      <c r="C166" s="15"/>
      <c r="D166" s="15"/>
      <c r="E166" s="15"/>
      <c r="F166" s="15"/>
      <c r="G166" s="15"/>
      <c r="H166" s="52"/>
      <c r="I166" s="52"/>
      <c r="J166" s="15"/>
      <c r="K166" s="15"/>
      <c r="L166" s="15"/>
      <c r="M166" s="15"/>
      <c r="N166" s="15"/>
      <c r="O166" s="15"/>
      <c r="P166" s="15"/>
      <c r="Q166" s="15"/>
      <c r="R166" s="15"/>
      <c r="S166" s="15"/>
      <c r="T166" s="15"/>
      <c r="U166" s="15"/>
      <c r="V166" s="15"/>
      <c r="W166" s="15"/>
      <c r="X166" s="15"/>
      <c r="Y166" s="15"/>
      <c r="Z166" s="15"/>
    </row>
    <row r="167" spans="1:26" x14ac:dyDescent="0.3">
      <c r="A167" s="15"/>
      <c r="B167" s="15"/>
      <c r="C167" s="15"/>
      <c r="D167" s="15"/>
      <c r="E167" s="15"/>
      <c r="F167" s="15"/>
      <c r="G167" s="15"/>
      <c r="H167" s="52"/>
      <c r="I167" s="52"/>
      <c r="J167" s="15"/>
      <c r="K167" s="15"/>
      <c r="L167" s="15"/>
      <c r="M167" s="15"/>
      <c r="N167" s="15"/>
      <c r="O167" s="15"/>
      <c r="P167" s="15"/>
      <c r="Q167" s="15"/>
      <c r="R167" s="15"/>
      <c r="S167" s="15"/>
      <c r="T167" s="15"/>
      <c r="U167" s="15"/>
      <c r="V167" s="15"/>
      <c r="W167" s="15"/>
      <c r="X167" s="15"/>
      <c r="Y167" s="15"/>
      <c r="Z167" s="15"/>
    </row>
    <row r="168" spans="1:26" x14ac:dyDescent="0.3">
      <c r="A168" s="15"/>
      <c r="B168" s="15"/>
      <c r="C168" s="15"/>
      <c r="D168" s="15"/>
      <c r="E168" s="15"/>
      <c r="F168" s="15"/>
      <c r="G168" s="15"/>
      <c r="H168" s="52"/>
      <c r="I168" s="52"/>
      <c r="J168" s="15"/>
      <c r="K168" s="15"/>
      <c r="L168" s="15"/>
      <c r="M168" s="15"/>
      <c r="N168" s="15"/>
      <c r="O168" s="15"/>
      <c r="P168" s="15"/>
      <c r="Q168" s="15"/>
      <c r="R168" s="15"/>
      <c r="S168" s="15"/>
      <c r="T168" s="15"/>
      <c r="U168" s="15"/>
      <c r="V168" s="15"/>
      <c r="W168" s="15"/>
      <c r="X168" s="15"/>
      <c r="Y168" s="15"/>
      <c r="Z168" s="15"/>
    </row>
    <row r="169" spans="1:26" x14ac:dyDescent="0.3">
      <c r="A169" s="15"/>
      <c r="B169" s="15"/>
      <c r="C169" s="15"/>
      <c r="D169" s="15"/>
      <c r="E169" s="15"/>
      <c r="F169" s="15"/>
      <c r="G169" s="15"/>
      <c r="H169" s="52"/>
      <c r="I169" s="52"/>
      <c r="J169" s="15"/>
      <c r="K169" s="15"/>
      <c r="L169" s="15"/>
      <c r="M169" s="15"/>
      <c r="N169" s="15"/>
      <c r="O169" s="15"/>
      <c r="P169" s="15"/>
      <c r="Q169" s="15"/>
      <c r="R169" s="15"/>
      <c r="S169" s="15"/>
      <c r="T169" s="15"/>
      <c r="U169" s="15"/>
      <c r="V169" s="15"/>
      <c r="W169" s="15"/>
      <c r="X169" s="15"/>
      <c r="Y169" s="15"/>
      <c r="Z169" s="15"/>
    </row>
    <row r="170" spans="1:26" x14ac:dyDescent="0.3">
      <c r="A170" s="15"/>
      <c r="B170" s="15"/>
      <c r="C170" s="15"/>
      <c r="D170" s="15"/>
      <c r="E170" s="15"/>
      <c r="F170" s="15"/>
      <c r="G170" s="15"/>
      <c r="H170" s="52"/>
      <c r="I170" s="52"/>
      <c r="J170" s="15"/>
      <c r="K170" s="15"/>
      <c r="L170" s="15"/>
      <c r="M170" s="15"/>
      <c r="N170" s="15"/>
      <c r="O170" s="15"/>
      <c r="P170" s="15"/>
      <c r="Q170" s="15"/>
      <c r="R170" s="15"/>
      <c r="S170" s="15"/>
      <c r="T170" s="15"/>
      <c r="U170" s="15"/>
      <c r="V170" s="15"/>
      <c r="W170" s="15"/>
      <c r="X170" s="15"/>
      <c r="Y170" s="15"/>
      <c r="Z170" s="15"/>
    </row>
    <row r="171" spans="1:26" x14ac:dyDescent="0.3">
      <c r="A171" s="15"/>
      <c r="B171" s="15"/>
      <c r="C171" s="15"/>
      <c r="D171" s="15"/>
      <c r="E171" s="15"/>
      <c r="F171" s="15"/>
      <c r="G171" s="15"/>
      <c r="H171" s="52"/>
      <c r="I171" s="52"/>
      <c r="J171" s="15"/>
      <c r="K171" s="15"/>
      <c r="L171" s="15"/>
      <c r="M171" s="15"/>
      <c r="N171" s="15"/>
      <c r="O171" s="15"/>
      <c r="P171" s="15"/>
      <c r="Q171" s="15"/>
      <c r="R171" s="15"/>
      <c r="S171" s="15"/>
      <c r="T171" s="15"/>
      <c r="U171" s="15"/>
      <c r="V171" s="15"/>
      <c r="W171" s="15"/>
      <c r="X171" s="15"/>
      <c r="Y171" s="15"/>
      <c r="Z171" s="15"/>
    </row>
    <row r="172" spans="1:26" x14ac:dyDescent="0.3">
      <c r="A172" s="15"/>
      <c r="B172" s="15"/>
      <c r="C172" s="15"/>
      <c r="D172" s="15"/>
      <c r="E172" s="15"/>
      <c r="F172" s="15"/>
      <c r="G172" s="15"/>
      <c r="H172" s="52"/>
      <c r="I172" s="52"/>
      <c r="J172" s="15"/>
      <c r="K172" s="15"/>
      <c r="L172" s="15"/>
      <c r="M172" s="15"/>
      <c r="N172" s="15"/>
      <c r="O172" s="15"/>
      <c r="P172" s="15"/>
      <c r="Q172" s="15"/>
      <c r="R172" s="15"/>
      <c r="S172" s="15"/>
      <c r="T172" s="15"/>
      <c r="U172" s="15"/>
      <c r="V172" s="15"/>
      <c r="W172" s="15"/>
      <c r="X172" s="15"/>
      <c r="Y172" s="15"/>
      <c r="Z172" s="15"/>
    </row>
    <row r="173" spans="1:26" x14ac:dyDescent="0.3">
      <c r="A173" s="15"/>
      <c r="B173" s="15"/>
      <c r="C173" s="15"/>
      <c r="D173" s="15"/>
      <c r="E173" s="15"/>
      <c r="F173" s="15"/>
      <c r="G173" s="15"/>
      <c r="H173" s="52"/>
      <c r="I173" s="52"/>
      <c r="J173" s="15"/>
      <c r="K173" s="15"/>
      <c r="L173" s="15"/>
      <c r="M173" s="15"/>
      <c r="N173" s="15"/>
      <c r="O173" s="15"/>
      <c r="P173" s="15"/>
      <c r="Q173" s="15"/>
      <c r="R173" s="15"/>
      <c r="S173" s="15"/>
      <c r="T173" s="15"/>
      <c r="U173" s="15"/>
      <c r="V173" s="15"/>
      <c r="W173" s="15"/>
      <c r="X173" s="15"/>
      <c r="Y173" s="15"/>
      <c r="Z173" s="15"/>
    </row>
    <row r="174" spans="1:26" x14ac:dyDescent="0.3">
      <c r="A174" s="15"/>
      <c r="B174" s="15"/>
      <c r="C174" s="15"/>
      <c r="D174" s="15"/>
      <c r="E174" s="15"/>
      <c r="F174" s="15"/>
      <c r="G174" s="15"/>
      <c r="H174" s="52"/>
      <c r="I174" s="52"/>
      <c r="J174" s="15"/>
      <c r="K174" s="15"/>
      <c r="L174" s="15"/>
      <c r="M174" s="15"/>
      <c r="N174" s="15"/>
      <c r="O174" s="15"/>
      <c r="P174" s="15"/>
      <c r="Q174" s="15"/>
      <c r="R174" s="15"/>
      <c r="S174" s="15"/>
      <c r="T174" s="15"/>
      <c r="U174" s="15"/>
      <c r="V174" s="15"/>
      <c r="W174" s="15"/>
      <c r="X174" s="15"/>
      <c r="Y174" s="15"/>
      <c r="Z174" s="15"/>
    </row>
    <row r="175" spans="1:26" x14ac:dyDescent="0.3">
      <c r="A175" s="15"/>
      <c r="B175" s="15"/>
      <c r="C175" s="15"/>
      <c r="D175" s="15"/>
      <c r="E175" s="15"/>
      <c r="F175" s="15"/>
      <c r="G175" s="15"/>
      <c r="H175" s="52"/>
      <c r="I175" s="52"/>
      <c r="J175" s="15"/>
      <c r="K175" s="15"/>
      <c r="L175" s="15"/>
      <c r="M175" s="15"/>
      <c r="N175" s="15"/>
      <c r="O175" s="15"/>
      <c r="P175" s="15"/>
      <c r="Q175" s="15"/>
      <c r="R175" s="15"/>
      <c r="S175" s="15"/>
      <c r="T175" s="15"/>
      <c r="U175" s="15"/>
      <c r="V175" s="15"/>
      <c r="W175" s="15"/>
      <c r="X175" s="15"/>
      <c r="Y175" s="15"/>
      <c r="Z175" s="15"/>
    </row>
    <row r="176" spans="1:26" x14ac:dyDescent="0.3">
      <c r="A176" s="15"/>
      <c r="B176" s="15"/>
      <c r="C176" s="15"/>
      <c r="D176" s="15"/>
      <c r="E176" s="15"/>
      <c r="F176" s="15"/>
      <c r="G176" s="15"/>
      <c r="H176" s="52"/>
      <c r="I176" s="52"/>
      <c r="J176" s="15"/>
      <c r="K176" s="15"/>
      <c r="L176" s="15"/>
      <c r="M176" s="15"/>
      <c r="N176" s="15"/>
      <c r="O176" s="15"/>
      <c r="P176" s="15"/>
      <c r="Q176" s="15"/>
      <c r="R176" s="15"/>
      <c r="S176" s="15"/>
      <c r="T176" s="15"/>
      <c r="U176" s="15"/>
      <c r="V176" s="15"/>
      <c r="W176" s="15"/>
      <c r="X176" s="15"/>
      <c r="Y176" s="15"/>
      <c r="Z176" s="15"/>
    </row>
    <row r="177" spans="1:26" x14ac:dyDescent="0.3">
      <c r="A177" s="15"/>
      <c r="B177" s="15"/>
      <c r="C177" s="15"/>
      <c r="D177" s="15"/>
      <c r="E177" s="15"/>
      <c r="F177" s="15"/>
      <c r="G177" s="15"/>
      <c r="H177" s="52"/>
      <c r="I177" s="52"/>
      <c r="J177" s="15"/>
      <c r="K177" s="15"/>
      <c r="L177" s="15"/>
      <c r="M177" s="15"/>
      <c r="N177" s="15"/>
      <c r="O177" s="15"/>
      <c r="P177" s="15"/>
      <c r="Q177" s="15"/>
      <c r="R177" s="15"/>
      <c r="S177" s="15"/>
      <c r="T177" s="15"/>
      <c r="U177" s="15"/>
      <c r="V177" s="15"/>
      <c r="W177" s="15"/>
      <c r="X177" s="15"/>
      <c r="Y177" s="15"/>
      <c r="Z177" s="15"/>
    </row>
    <row r="178" spans="1:26" x14ac:dyDescent="0.3">
      <c r="A178" s="15"/>
      <c r="B178" s="15"/>
      <c r="C178" s="15"/>
      <c r="D178" s="15"/>
      <c r="E178" s="15"/>
      <c r="F178" s="15"/>
      <c r="G178" s="15"/>
      <c r="H178" s="52"/>
      <c r="I178" s="52"/>
      <c r="J178" s="15"/>
      <c r="K178" s="15"/>
      <c r="L178" s="15"/>
      <c r="M178" s="15"/>
      <c r="N178" s="15"/>
      <c r="O178" s="15"/>
      <c r="P178" s="15"/>
      <c r="Q178" s="15"/>
      <c r="R178" s="15"/>
      <c r="S178" s="15"/>
      <c r="T178" s="15"/>
      <c r="U178" s="15"/>
      <c r="V178" s="15"/>
      <c r="W178" s="15"/>
      <c r="X178" s="15"/>
      <c r="Y178" s="15"/>
      <c r="Z178" s="15"/>
    </row>
    <row r="179" spans="1:26" x14ac:dyDescent="0.3">
      <c r="A179" s="15"/>
      <c r="B179" s="15"/>
      <c r="C179" s="15"/>
      <c r="D179" s="15"/>
      <c r="E179" s="15"/>
      <c r="F179" s="15"/>
      <c r="G179" s="15"/>
      <c r="H179" s="52"/>
      <c r="I179" s="52"/>
      <c r="J179" s="15"/>
      <c r="K179" s="15"/>
      <c r="L179" s="15"/>
      <c r="M179" s="15"/>
      <c r="N179" s="15"/>
      <c r="O179" s="15"/>
      <c r="P179" s="15"/>
      <c r="Q179" s="15"/>
      <c r="R179" s="15"/>
      <c r="S179" s="15"/>
      <c r="T179" s="15"/>
      <c r="U179" s="15"/>
      <c r="V179" s="15"/>
      <c r="W179" s="15"/>
      <c r="X179" s="15"/>
      <c r="Y179" s="15"/>
      <c r="Z179" s="15"/>
    </row>
    <row r="180" spans="1:26" x14ac:dyDescent="0.3">
      <c r="A180" s="15"/>
      <c r="B180" s="15"/>
      <c r="C180" s="15"/>
      <c r="D180" s="15"/>
      <c r="E180" s="15"/>
      <c r="F180" s="15"/>
      <c r="G180" s="15"/>
      <c r="H180" s="52"/>
      <c r="I180" s="52"/>
      <c r="J180" s="15"/>
      <c r="K180" s="15"/>
      <c r="L180" s="15"/>
      <c r="M180" s="15"/>
      <c r="N180" s="15"/>
      <c r="O180" s="15"/>
      <c r="P180" s="15"/>
      <c r="Q180" s="15"/>
      <c r="R180" s="15"/>
      <c r="S180" s="15"/>
      <c r="T180" s="15"/>
      <c r="U180" s="15"/>
      <c r="V180" s="15"/>
      <c r="W180" s="15"/>
      <c r="X180" s="15"/>
      <c r="Y180" s="15"/>
      <c r="Z180" s="15"/>
    </row>
    <row r="181" spans="1:26" x14ac:dyDescent="0.3">
      <c r="A181" s="15"/>
      <c r="B181" s="15"/>
      <c r="C181" s="15"/>
      <c r="D181" s="15"/>
      <c r="E181" s="15"/>
      <c r="F181" s="15"/>
      <c r="G181" s="15"/>
      <c r="H181" s="52"/>
      <c r="I181" s="52"/>
      <c r="J181" s="15"/>
      <c r="K181" s="15"/>
      <c r="L181" s="15"/>
      <c r="M181" s="15"/>
      <c r="N181" s="15"/>
      <c r="O181" s="15"/>
      <c r="P181" s="15"/>
      <c r="Q181" s="15"/>
      <c r="R181" s="15"/>
      <c r="S181" s="15"/>
      <c r="T181" s="15"/>
      <c r="U181" s="15"/>
      <c r="V181" s="15"/>
      <c r="W181" s="15"/>
      <c r="X181" s="15"/>
      <c r="Y181" s="15"/>
      <c r="Z181" s="15"/>
    </row>
    <row r="182" spans="1:26" x14ac:dyDescent="0.3">
      <c r="A182" s="15"/>
      <c r="B182" s="15"/>
      <c r="C182" s="15"/>
      <c r="D182" s="15"/>
      <c r="E182" s="15"/>
      <c r="F182" s="15"/>
      <c r="G182" s="15"/>
      <c r="H182" s="52"/>
      <c r="I182" s="52"/>
      <c r="J182" s="15"/>
      <c r="K182" s="15"/>
      <c r="L182" s="15"/>
      <c r="M182" s="15"/>
      <c r="N182" s="15"/>
      <c r="O182" s="15"/>
      <c r="P182" s="15"/>
      <c r="Q182" s="15"/>
      <c r="R182" s="15"/>
      <c r="S182" s="15"/>
      <c r="T182" s="15"/>
      <c r="U182" s="15"/>
      <c r="V182" s="15"/>
      <c r="W182" s="15"/>
      <c r="X182" s="15"/>
      <c r="Y182" s="15"/>
      <c r="Z182" s="15"/>
    </row>
    <row r="183" spans="1:26" x14ac:dyDescent="0.3">
      <c r="A183" s="15"/>
      <c r="B183" s="15"/>
      <c r="C183" s="15"/>
      <c r="D183" s="15"/>
      <c r="E183" s="15"/>
      <c r="F183" s="15"/>
      <c r="G183" s="15"/>
      <c r="H183" s="52"/>
      <c r="I183" s="52"/>
      <c r="J183" s="15"/>
      <c r="K183" s="15"/>
      <c r="L183" s="15"/>
      <c r="M183" s="15"/>
      <c r="N183" s="15"/>
      <c r="O183" s="15"/>
      <c r="P183" s="15"/>
      <c r="Q183" s="15"/>
      <c r="R183" s="15"/>
      <c r="S183" s="15"/>
      <c r="T183" s="15"/>
      <c r="U183" s="15"/>
      <c r="V183" s="15"/>
      <c r="W183" s="15"/>
      <c r="X183" s="15"/>
      <c r="Y183" s="15"/>
      <c r="Z183" s="15"/>
    </row>
    <row r="184" spans="1:26" x14ac:dyDescent="0.3">
      <c r="A184" s="15"/>
      <c r="B184" s="15"/>
      <c r="C184" s="15"/>
      <c r="D184" s="15"/>
      <c r="E184" s="15"/>
      <c r="F184" s="15"/>
      <c r="G184" s="15"/>
      <c r="H184" s="52"/>
      <c r="I184" s="52"/>
      <c r="J184" s="15"/>
      <c r="K184" s="15"/>
      <c r="L184" s="15"/>
      <c r="M184" s="15"/>
      <c r="N184" s="15"/>
      <c r="O184" s="15"/>
      <c r="P184" s="15"/>
      <c r="Q184" s="15"/>
      <c r="R184" s="15"/>
      <c r="S184" s="15"/>
      <c r="T184" s="15"/>
      <c r="U184" s="15"/>
      <c r="V184" s="15"/>
      <c r="W184" s="15"/>
      <c r="X184" s="15"/>
      <c r="Y184" s="15"/>
      <c r="Z184" s="15"/>
    </row>
    <row r="185" spans="1:26" x14ac:dyDescent="0.3">
      <c r="A185" s="15"/>
      <c r="B185" s="15"/>
      <c r="C185" s="15"/>
      <c r="D185" s="15"/>
      <c r="E185" s="15"/>
      <c r="F185" s="15"/>
      <c r="G185" s="15"/>
      <c r="H185" s="52"/>
      <c r="I185" s="52"/>
      <c r="J185" s="15"/>
      <c r="K185" s="15"/>
      <c r="L185" s="15"/>
      <c r="M185" s="15"/>
      <c r="N185" s="15"/>
      <c r="O185" s="15"/>
      <c r="P185" s="15"/>
      <c r="Q185" s="15"/>
      <c r="R185" s="15"/>
      <c r="S185" s="15"/>
      <c r="T185" s="15"/>
      <c r="U185" s="15"/>
      <c r="V185" s="15"/>
      <c r="W185" s="15"/>
      <c r="X185" s="15"/>
      <c r="Y185" s="15"/>
      <c r="Z185" s="15"/>
    </row>
    <row r="186" spans="1:26" x14ac:dyDescent="0.3">
      <c r="A186" s="15"/>
      <c r="B186" s="15"/>
      <c r="C186" s="15"/>
      <c r="D186" s="15"/>
      <c r="E186" s="15"/>
      <c r="F186" s="15"/>
      <c r="G186" s="15"/>
      <c r="H186" s="52"/>
      <c r="I186" s="52"/>
      <c r="J186" s="15"/>
      <c r="K186" s="15"/>
      <c r="L186" s="15"/>
      <c r="M186" s="15"/>
      <c r="N186" s="15"/>
      <c r="O186" s="15"/>
      <c r="P186" s="15"/>
      <c r="Q186" s="15"/>
      <c r="R186" s="15"/>
      <c r="S186" s="15"/>
      <c r="T186" s="15"/>
      <c r="U186" s="15"/>
      <c r="V186" s="15"/>
      <c r="W186" s="15"/>
      <c r="X186" s="15"/>
      <c r="Y186" s="15"/>
      <c r="Z186" s="15"/>
    </row>
    <row r="187" spans="1:26" x14ac:dyDescent="0.3">
      <c r="A187" s="15"/>
      <c r="B187" s="15"/>
      <c r="C187" s="15"/>
      <c r="D187" s="15"/>
      <c r="E187" s="15"/>
      <c r="F187" s="15"/>
      <c r="G187" s="15"/>
      <c r="H187" s="52"/>
      <c r="I187" s="52"/>
      <c r="J187" s="15"/>
      <c r="K187" s="15"/>
      <c r="L187" s="15"/>
      <c r="M187" s="15"/>
      <c r="N187" s="15"/>
      <c r="O187" s="15"/>
      <c r="P187" s="15"/>
      <c r="Q187" s="15"/>
      <c r="R187" s="15"/>
      <c r="S187" s="15"/>
      <c r="T187" s="15"/>
      <c r="U187" s="15"/>
      <c r="V187" s="15"/>
      <c r="W187" s="15"/>
      <c r="X187" s="15"/>
      <c r="Y187" s="15"/>
      <c r="Z187" s="15"/>
    </row>
    <row r="188" spans="1:26" x14ac:dyDescent="0.3">
      <c r="A188" s="15"/>
      <c r="B188" s="15"/>
      <c r="C188" s="15"/>
      <c r="D188" s="15"/>
      <c r="E188" s="15"/>
      <c r="F188" s="15"/>
      <c r="G188" s="15"/>
      <c r="H188" s="52"/>
      <c r="I188" s="52"/>
      <c r="J188" s="15"/>
      <c r="K188" s="15"/>
      <c r="L188" s="15"/>
      <c r="M188" s="15"/>
      <c r="N188" s="15"/>
      <c r="O188" s="15"/>
      <c r="P188" s="15"/>
      <c r="Q188" s="15"/>
      <c r="R188" s="15"/>
      <c r="S188" s="15"/>
      <c r="T188" s="15"/>
      <c r="U188" s="15"/>
      <c r="V188" s="15"/>
      <c r="W188" s="15"/>
      <c r="X188" s="15"/>
      <c r="Y188" s="15"/>
      <c r="Z188" s="15"/>
    </row>
    <row r="189" spans="1:26" x14ac:dyDescent="0.3">
      <c r="A189" s="15"/>
      <c r="B189" s="15"/>
      <c r="C189" s="15"/>
      <c r="D189" s="15"/>
      <c r="E189" s="15"/>
      <c r="F189" s="15"/>
      <c r="G189" s="15"/>
      <c r="H189" s="52"/>
      <c r="I189" s="52"/>
      <c r="J189" s="15"/>
      <c r="K189" s="15"/>
      <c r="L189" s="15"/>
      <c r="M189" s="15"/>
      <c r="N189" s="15"/>
      <c r="O189" s="15"/>
      <c r="P189" s="15"/>
      <c r="Q189" s="15"/>
      <c r="R189" s="15"/>
      <c r="S189" s="15"/>
      <c r="T189" s="15"/>
      <c r="U189" s="15"/>
      <c r="V189" s="15"/>
      <c r="W189" s="15"/>
      <c r="X189" s="15"/>
      <c r="Y189" s="15"/>
      <c r="Z189" s="15"/>
    </row>
    <row r="190" spans="1:26" x14ac:dyDescent="0.3">
      <c r="A190" s="15"/>
      <c r="B190" s="15"/>
      <c r="C190" s="15"/>
      <c r="D190" s="15"/>
      <c r="E190" s="15"/>
      <c r="F190" s="15"/>
      <c r="G190" s="15"/>
      <c r="H190" s="52"/>
      <c r="I190" s="52"/>
      <c r="J190" s="15"/>
      <c r="K190" s="15"/>
      <c r="L190" s="15"/>
      <c r="M190" s="15"/>
      <c r="N190" s="15"/>
      <c r="O190" s="15"/>
      <c r="P190" s="15"/>
      <c r="Q190" s="15"/>
      <c r="R190" s="15"/>
      <c r="S190" s="15"/>
      <c r="T190" s="15"/>
      <c r="U190" s="15"/>
      <c r="V190" s="15"/>
      <c r="W190" s="15"/>
      <c r="X190" s="15"/>
      <c r="Y190" s="15"/>
      <c r="Z190" s="15"/>
    </row>
    <row r="191" spans="1:26" x14ac:dyDescent="0.3">
      <c r="A191" s="15"/>
      <c r="B191" s="15"/>
      <c r="C191" s="15"/>
      <c r="D191" s="15"/>
      <c r="E191" s="15"/>
      <c r="F191" s="15"/>
      <c r="G191" s="15"/>
      <c r="H191" s="52"/>
      <c r="I191" s="52"/>
      <c r="J191" s="15"/>
      <c r="K191" s="15"/>
      <c r="L191" s="15"/>
      <c r="M191" s="15"/>
      <c r="N191" s="15"/>
      <c r="O191" s="15"/>
      <c r="P191" s="15"/>
      <c r="Q191" s="15"/>
      <c r="R191" s="15"/>
      <c r="S191" s="15"/>
      <c r="T191" s="15"/>
      <c r="U191" s="15"/>
      <c r="V191" s="15"/>
      <c r="W191" s="15"/>
      <c r="X191" s="15"/>
      <c r="Y191" s="15"/>
      <c r="Z191" s="15"/>
    </row>
    <row r="192" spans="1:26" x14ac:dyDescent="0.3">
      <c r="A192" s="15"/>
      <c r="B192" s="15"/>
      <c r="C192" s="15"/>
      <c r="D192" s="15"/>
      <c r="E192" s="15"/>
      <c r="F192" s="15"/>
      <c r="G192" s="15"/>
      <c r="H192" s="52"/>
      <c r="I192" s="52"/>
      <c r="J192" s="15"/>
      <c r="K192" s="15"/>
      <c r="L192" s="15"/>
      <c r="M192" s="15"/>
      <c r="N192" s="15"/>
      <c r="O192" s="15"/>
      <c r="P192" s="15"/>
      <c r="Q192" s="15"/>
      <c r="R192" s="15"/>
      <c r="S192" s="15"/>
      <c r="T192" s="15"/>
      <c r="U192" s="15"/>
      <c r="V192" s="15"/>
      <c r="W192" s="15"/>
      <c r="X192" s="15"/>
      <c r="Y192" s="15"/>
      <c r="Z192" s="15"/>
    </row>
    <row r="193" spans="1:26" x14ac:dyDescent="0.3">
      <c r="A193" s="15"/>
      <c r="B193" s="15"/>
      <c r="C193" s="15"/>
      <c r="D193" s="15"/>
      <c r="E193" s="15"/>
      <c r="F193" s="15"/>
      <c r="G193" s="15"/>
      <c r="H193" s="52"/>
      <c r="I193" s="52"/>
      <c r="J193" s="15"/>
      <c r="K193" s="15"/>
      <c r="L193" s="15"/>
      <c r="M193" s="15"/>
      <c r="N193" s="15"/>
      <c r="O193" s="15"/>
      <c r="P193" s="15"/>
      <c r="Q193" s="15"/>
      <c r="R193" s="15"/>
      <c r="S193" s="15"/>
      <c r="T193" s="15"/>
      <c r="U193" s="15"/>
      <c r="V193" s="15"/>
      <c r="W193" s="15"/>
      <c r="X193" s="15"/>
      <c r="Y193" s="15"/>
      <c r="Z193" s="15"/>
    </row>
    <row r="194" spans="1:26" x14ac:dyDescent="0.3">
      <c r="A194" s="15"/>
      <c r="B194" s="15"/>
      <c r="C194" s="15"/>
      <c r="D194" s="15"/>
      <c r="E194" s="15"/>
      <c r="F194" s="15"/>
      <c r="G194" s="15"/>
      <c r="H194" s="52"/>
      <c r="I194" s="52"/>
      <c r="J194" s="15"/>
      <c r="K194" s="15"/>
      <c r="L194" s="15"/>
      <c r="M194" s="15"/>
      <c r="N194" s="15"/>
      <c r="O194" s="15"/>
      <c r="P194" s="15"/>
      <c r="Q194" s="15"/>
      <c r="R194" s="15"/>
      <c r="S194" s="15"/>
      <c r="T194" s="15"/>
      <c r="U194" s="15"/>
      <c r="V194" s="15"/>
      <c r="W194" s="15"/>
      <c r="X194" s="15"/>
      <c r="Y194" s="15"/>
      <c r="Z194" s="15"/>
    </row>
    <row r="195" spans="1:26" x14ac:dyDescent="0.3">
      <c r="A195" s="15"/>
      <c r="B195" s="15"/>
      <c r="C195" s="15"/>
      <c r="D195" s="15"/>
      <c r="E195" s="15"/>
      <c r="F195" s="15"/>
      <c r="G195" s="15"/>
      <c r="H195" s="52"/>
      <c r="I195" s="52"/>
      <c r="J195" s="15"/>
      <c r="K195" s="15"/>
      <c r="L195" s="15"/>
      <c r="M195" s="15"/>
      <c r="N195" s="15"/>
      <c r="O195" s="15"/>
      <c r="P195" s="15"/>
      <c r="Q195" s="15"/>
      <c r="R195" s="15"/>
      <c r="S195" s="15"/>
      <c r="T195" s="15"/>
      <c r="U195" s="15"/>
      <c r="V195" s="15"/>
      <c r="W195" s="15"/>
      <c r="X195" s="15"/>
      <c r="Y195" s="15"/>
      <c r="Z195" s="15"/>
    </row>
    <row r="196" spans="1:26" x14ac:dyDescent="0.3">
      <c r="A196" s="15"/>
      <c r="B196" s="15"/>
      <c r="C196" s="15"/>
      <c r="D196" s="15"/>
      <c r="E196" s="15"/>
      <c r="F196" s="15"/>
      <c r="G196" s="15"/>
      <c r="H196" s="52"/>
      <c r="I196" s="52"/>
      <c r="J196" s="15"/>
      <c r="K196" s="15"/>
      <c r="L196" s="15"/>
      <c r="M196" s="15"/>
      <c r="N196" s="15"/>
      <c r="O196" s="15"/>
      <c r="P196" s="15"/>
      <c r="Q196" s="15"/>
      <c r="R196" s="15"/>
      <c r="S196" s="15"/>
      <c r="T196" s="15"/>
      <c r="U196" s="15"/>
      <c r="V196" s="15"/>
      <c r="W196" s="15"/>
      <c r="X196" s="15"/>
      <c r="Y196" s="15"/>
      <c r="Z196" s="15"/>
    </row>
    <row r="197" spans="1:26" x14ac:dyDescent="0.3">
      <c r="A197" s="15"/>
      <c r="B197" s="15"/>
      <c r="C197" s="15"/>
      <c r="D197" s="15"/>
      <c r="E197" s="15"/>
      <c r="F197" s="15"/>
      <c r="G197" s="15"/>
      <c r="H197" s="52"/>
      <c r="I197" s="52"/>
      <c r="J197" s="15"/>
      <c r="K197" s="15"/>
      <c r="L197" s="15"/>
      <c r="M197" s="15"/>
      <c r="N197" s="15"/>
      <c r="O197" s="15"/>
      <c r="P197" s="15"/>
      <c r="Q197" s="15"/>
      <c r="R197" s="15"/>
      <c r="S197" s="15"/>
      <c r="T197" s="15"/>
      <c r="U197" s="15"/>
      <c r="V197" s="15"/>
      <c r="W197" s="15"/>
      <c r="X197" s="15"/>
      <c r="Y197" s="15"/>
      <c r="Z197" s="15"/>
    </row>
    <row r="198" spans="1:26" x14ac:dyDescent="0.3">
      <c r="A198" s="15"/>
      <c r="B198" s="15"/>
      <c r="C198" s="15"/>
      <c r="D198" s="15"/>
      <c r="E198" s="15"/>
      <c r="F198" s="15"/>
      <c r="G198" s="15"/>
      <c r="H198" s="52"/>
      <c r="I198" s="52"/>
      <c r="J198" s="15"/>
      <c r="K198" s="15"/>
      <c r="L198" s="15"/>
      <c r="M198" s="15"/>
      <c r="N198" s="15"/>
      <c r="O198" s="15"/>
      <c r="P198" s="15"/>
      <c r="Q198" s="15"/>
      <c r="R198" s="15"/>
      <c r="S198" s="15"/>
      <c r="T198" s="15"/>
      <c r="U198" s="15"/>
      <c r="V198" s="15"/>
      <c r="W198" s="15"/>
      <c r="X198" s="15"/>
      <c r="Y198" s="15"/>
      <c r="Z198" s="15"/>
    </row>
    <row r="199" spans="1:26" x14ac:dyDescent="0.3">
      <c r="A199" s="15"/>
      <c r="B199" s="15"/>
      <c r="C199" s="15"/>
      <c r="D199" s="15"/>
      <c r="E199" s="15"/>
      <c r="F199" s="15"/>
      <c r="G199" s="15"/>
      <c r="H199" s="52"/>
      <c r="I199" s="52"/>
      <c r="J199" s="15"/>
      <c r="K199" s="15"/>
      <c r="L199" s="15"/>
      <c r="M199" s="15"/>
      <c r="N199" s="15"/>
      <c r="O199" s="15"/>
      <c r="P199" s="15"/>
      <c r="Q199" s="15"/>
      <c r="R199" s="15"/>
      <c r="S199" s="15"/>
      <c r="T199" s="15"/>
      <c r="U199" s="15"/>
      <c r="V199" s="15"/>
      <c r="W199" s="15"/>
      <c r="X199" s="15"/>
      <c r="Y199" s="15"/>
      <c r="Z199" s="15"/>
    </row>
    <row r="200" spans="1:26" x14ac:dyDescent="0.3">
      <c r="A200" s="15"/>
      <c r="B200" s="15"/>
      <c r="C200" s="15"/>
      <c r="D200" s="15"/>
      <c r="E200" s="15"/>
      <c r="F200" s="15"/>
      <c r="G200" s="15"/>
      <c r="H200" s="52"/>
      <c r="I200" s="52"/>
      <c r="J200" s="15"/>
      <c r="K200" s="15"/>
      <c r="L200" s="15"/>
      <c r="M200" s="15"/>
      <c r="N200" s="15"/>
      <c r="O200" s="15"/>
      <c r="P200" s="15"/>
      <c r="Q200" s="15"/>
      <c r="R200" s="15"/>
      <c r="S200" s="15"/>
      <c r="T200" s="15"/>
      <c r="U200" s="15"/>
      <c r="V200" s="15"/>
      <c r="W200" s="15"/>
      <c r="X200" s="15"/>
      <c r="Y200" s="15"/>
      <c r="Z200" s="15"/>
    </row>
    <row r="201" spans="1:26" x14ac:dyDescent="0.3">
      <c r="A201" s="15"/>
      <c r="B201" s="15"/>
      <c r="C201" s="15"/>
      <c r="D201" s="15"/>
      <c r="E201" s="15"/>
      <c r="F201" s="15"/>
      <c r="G201" s="15"/>
      <c r="H201" s="52"/>
      <c r="I201" s="52"/>
      <c r="J201" s="15"/>
      <c r="K201" s="15"/>
      <c r="L201" s="15"/>
      <c r="M201" s="15"/>
      <c r="N201" s="15"/>
      <c r="O201" s="15"/>
      <c r="P201" s="15"/>
      <c r="Q201" s="15"/>
      <c r="R201" s="15"/>
      <c r="S201" s="15"/>
      <c r="T201" s="15"/>
      <c r="U201" s="15"/>
      <c r="V201" s="15"/>
      <c r="W201" s="15"/>
      <c r="X201" s="15"/>
      <c r="Y201" s="15"/>
      <c r="Z201" s="15"/>
    </row>
    <row r="202" spans="1:26" x14ac:dyDescent="0.3">
      <c r="A202" s="15"/>
      <c r="B202" s="15"/>
      <c r="C202" s="15"/>
      <c r="D202" s="15"/>
      <c r="E202" s="15"/>
      <c r="F202" s="15"/>
      <c r="G202" s="15"/>
      <c r="H202" s="52"/>
      <c r="I202" s="52"/>
      <c r="J202" s="15"/>
      <c r="K202" s="15"/>
      <c r="L202" s="15"/>
      <c r="M202" s="15"/>
      <c r="N202" s="15"/>
      <c r="O202" s="15"/>
      <c r="P202" s="15"/>
      <c r="Q202" s="15"/>
      <c r="R202" s="15"/>
      <c r="S202" s="15"/>
      <c r="T202" s="15"/>
      <c r="U202" s="15"/>
      <c r="V202" s="15"/>
      <c r="W202" s="15"/>
      <c r="X202" s="15"/>
      <c r="Y202" s="15"/>
      <c r="Z202" s="15"/>
    </row>
    <row r="203" spans="1:26" x14ac:dyDescent="0.3">
      <c r="A203" s="15"/>
      <c r="B203" s="15"/>
      <c r="C203" s="15"/>
      <c r="D203" s="15"/>
      <c r="E203" s="15"/>
      <c r="F203" s="15"/>
      <c r="G203" s="15"/>
      <c r="H203" s="52"/>
      <c r="I203" s="52"/>
      <c r="J203" s="15"/>
      <c r="K203" s="15"/>
      <c r="L203" s="15"/>
      <c r="M203" s="15"/>
      <c r="N203" s="15"/>
      <c r="O203" s="15"/>
      <c r="P203" s="15"/>
      <c r="Q203" s="15"/>
      <c r="R203" s="15"/>
      <c r="S203" s="15"/>
      <c r="T203" s="15"/>
      <c r="U203" s="15"/>
      <c r="V203" s="15"/>
      <c r="W203" s="15"/>
      <c r="X203" s="15"/>
      <c r="Y203" s="15"/>
      <c r="Z203" s="15"/>
    </row>
    <row r="204" spans="1:26" x14ac:dyDescent="0.3">
      <c r="A204" s="15"/>
      <c r="B204" s="15"/>
      <c r="C204" s="15"/>
      <c r="D204" s="15"/>
      <c r="E204" s="15"/>
      <c r="F204" s="15"/>
      <c r="G204" s="15"/>
      <c r="H204" s="52"/>
      <c r="I204" s="52"/>
      <c r="J204" s="15"/>
      <c r="K204" s="15"/>
      <c r="L204" s="15"/>
      <c r="M204" s="15"/>
      <c r="N204" s="15"/>
      <c r="O204" s="15"/>
      <c r="P204" s="15"/>
      <c r="Q204" s="15"/>
      <c r="R204" s="15"/>
      <c r="S204" s="15"/>
      <c r="T204" s="15"/>
      <c r="U204" s="15"/>
      <c r="V204" s="15"/>
      <c r="W204" s="15"/>
      <c r="X204" s="15"/>
      <c r="Y204" s="15"/>
      <c r="Z204" s="15"/>
    </row>
    <row r="205" spans="1:26" x14ac:dyDescent="0.3">
      <c r="A205" s="15"/>
      <c r="B205" s="15"/>
      <c r="C205" s="15"/>
      <c r="D205" s="15"/>
      <c r="E205" s="15"/>
      <c r="F205" s="15"/>
      <c r="G205" s="15"/>
      <c r="H205" s="52"/>
      <c r="I205" s="52"/>
      <c r="J205" s="15"/>
      <c r="K205" s="15"/>
      <c r="L205" s="15"/>
      <c r="M205" s="15"/>
      <c r="N205" s="15"/>
      <c r="O205" s="15"/>
      <c r="P205" s="15"/>
      <c r="Q205" s="15"/>
      <c r="R205" s="15"/>
      <c r="S205" s="15"/>
      <c r="T205" s="15"/>
      <c r="U205" s="15"/>
      <c r="V205" s="15"/>
      <c r="W205" s="15"/>
      <c r="X205" s="15"/>
      <c r="Y205" s="15"/>
      <c r="Z205" s="15"/>
    </row>
    <row r="206" spans="1:26" x14ac:dyDescent="0.3">
      <c r="A206" s="15"/>
      <c r="B206" s="15"/>
      <c r="C206" s="15"/>
      <c r="D206" s="15"/>
      <c r="E206" s="15"/>
      <c r="F206" s="15"/>
      <c r="G206" s="15"/>
      <c r="H206" s="52"/>
      <c r="I206" s="52"/>
      <c r="J206" s="15"/>
      <c r="K206" s="15"/>
      <c r="L206" s="15"/>
      <c r="M206" s="15"/>
      <c r="N206" s="15"/>
      <c r="O206" s="15"/>
      <c r="P206" s="15"/>
      <c r="Q206" s="15"/>
      <c r="R206" s="15"/>
      <c r="S206" s="15"/>
      <c r="T206" s="15"/>
      <c r="U206" s="15"/>
      <c r="V206" s="15"/>
      <c r="W206" s="15"/>
      <c r="X206" s="15"/>
      <c r="Y206" s="15"/>
      <c r="Z206" s="15"/>
    </row>
    <row r="207" spans="1:26" x14ac:dyDescent="0.3">
      <c r="A207" s="15"/>
      <c r="B207" s="15"/>
      <c r="C207" s="15"/>
      <c r="D207" s="15"/>
      <c r="E207" s="15"/>
      <c r="F207" s="15"/>
      <c r="G207" s="15"/>
      <c r="H207" s="52"/>
      <c r="I207" s="52"/>
      <c r="J207" s="15"/>
      <c r="K207" s="15"/>
      <c r="L207" s="15"/>
      <c r="M207" s="15"/>
      <c r="N207" s="15"/>
      <c r="O207" s="15"/>
      <c r="P207" s="15"/>
      <c r="Q207" s="15"/>
      <c r="R207" s="15"/>
      <c r="S207" s="15"/>
      <c r="T207" s="15"/>
      <c r="U207" s="15"/>
      <c r="V207" s="15"/>
      <c r="W207" s="15"/>
      <c r="X207" s="15"/>
      <c r="Y207" s="15"/>
      <c r="Z207" s="15"/>
    </row>
    <row r="208" spans="1:26" x14ac:dyDescent="0.3">
      <c r="A208" s="15"/>
      <c r="B208" s="15"/>
      <c r="C208" s="15"/>
      <c r="D208" s="15"/>
      <c r="E208" s="15"/>
      <c r="F208" s="15"/>
      <c r="G208" s="15"/>
      <c r="H208" s="52"/>
      <c r="I208" s="52"/>
      <c r="J208" s="15"/>
      <c r="K208" s="15"/>
      <c r="L208" s="15"/>
      <c r="M208" s="15"/>
      <c r="N208" s="15"/>
      <c r="O208" s="15"/>
      <c r="P208" s="15"/>
      <c r="Q208" s="15"/>
      <c r="R208" s="15"/>
      <c r="S208" s="15"/>
      <c r="T208" s="15"/>
      <c r="U208" s="15"/>
      <c r="V208" s="15"/>
      <c r="W208" s="15"/>
      <c r="X208" s="15"/>
      <c r="Y208" s="15"/>
      <c r="Z208" s="15"/>
    </row>
    <row r="209" spans="1:26" x14ac:dyDescent="0.3">
      <c r="A209" s="15"/>
      <c r="B209" s="15"/>
      <c r="C209" s="15"/>
      <c r="D209" s="15"/>
      <c r="E209" s="15"/>
      <c r="F209" s="15"/>
      <c r="G209" s="15"/>
      <c r="H209" s="52"/>
      <c r="I209" s="52"/>
      <c r="J209" s="15"/>
      <c r="K209" s="15"/>
      <c r="L209" s="15"/>
      <c r="M209" s="15"/>
      <c r="N209" s="15"/>
      <c r="O209" s="15"/>
      <c r="P209" s="15"/>
      <c r="Q209" s="15"/>
      <c r="R209" s="15"/>
      <c r="S209" s="15"/>
      <c r="T209" s="15"/>
      <c r="U209" s="15"/>
      <c r="V209" s="15"/>
      <c r="W209" s="15"/>
      <c r="X209" s="15"/>
      <c r="Y209" s="15"/>
      <c r="Z209" s="15"/>
    </row>
    <row r="210" spans="1:26" x14ac:dyDescent="0.3">
      <c r="A210" s="15"/>
      <c r="B210" s="15"/>
      <c r="C210" s="15"/>
      <c r="D210" s="15"/>
      <c r="E210" s="15"/>
      <c r="F210" s="15"/>
      <c r="G210" s="15"/>
      <c r="H210" s="52"/>
      <c r="I210" s="52"/>
      <c r="J210" s="15"/>
      <c r="K210" s="15"/>
      <c r="L210" s="15"/>
      <c r="M210" s="15"/>
      <c r="N210" s="15"/>
      <c r="O210" s="15"/>
      <c r="P210" s="15"/>
      <c r="Q210" s="15"/>
      <c r="R210" s="15"/>
      <c r="S210" s="15"/>
      <c r="T210" s="15"/>
      <c r="U210" s="15"/>
      <c r="V210" s="15"/>
      <c r="W210" s="15"/>
      <c r="X210" s="15"/>
      <c r="Y210" s="15"/>
      <c r="Z210" s="15"/>
    </row>
    <row r="211" spans="1:26" x14ac:dyDescent="0.3">
      <c r="A211" s="15"/>
      <c r="B211" s="15"/>
      <c r="C211" s="15"/>
      <c r="D211" s="15"/>
      <c r="E211" s="15"/>
      <c r="F211" s="15"/>
      <c r="G211" s="15"/>
      <c r="H211" s="52"/>
      <c r="I211" s="52"/>
      <c r="J211" s="15"/>
      <c r="K211" s="15"/>
      <c r="L211" s="15"/>
      <c r="M211" s="15"/>
      <c r="N211" s="15"/>
      <c r="O211" s="15"/>
      <c r="P211" s="15"/>
      <c r="Q211" s="15"/>
      <c r="R211" s="15"/>
      <c r="S211" s="15"/>
      <c r="T211" s="15"/>
      <c r="U211" s="15"/>
      <c r="V211" s="15"/>
      <c r="W211" s="15"/>
      <c r="X211" s="15"/>
      <c r="Y211" s="15"/>
      <c r="Z211" s="15"/>
    </row>
    <row r="212" spans="1:26" x14ac:dyDescent="0.3">
      <c r="A212" s="15"/>
      <c r="B212" s="15"/>
      <c r="C212" s="15"/>
      <c r="D212" s="15"/>
      <c r="E212" s="15"/>
      <c r="F212" s="15"/>
      <c r="G212" s="15"/>
      <c r="H212" s="52"/>
      <c r="I212" s="52"/>
      <c r="J212" s="15"/>
      <c r="K212" s="15"/>
      <c r="L212" s="15"/>
      <c r="M212" s="15"/>
      <c r="N212" s="15"/>
      <c r="O212" s="15"/>
      <c r="P212" s="15"/>
      <c r="Q212" s="15"/>
      <c r="R212" s="15"/>
      <c r="S212" s="15"/>
      <c r="T212" s="15"/>
      <c r="U212" s="15"/>
      <c r="V212" s="15"/>
      <c r="W212" s="15"/>
      <c r="X212" s="15"/>
      <c r="Y212" s="15"/>
      <c r="Z212" s="15"/>
    </row>
    <row r="213" spans="1:26" x14ac:dyDescent="0.3">
      <c r="A213" s="15"/>
      <c r="B213" s="15"/>
      <c r="C213" s="15"/>
      <c r="D213" s="15"/>
      <c r="E213" s="15"/>
      <c r="F213" s="15"/>
      <c r="G213" s="15"/>
      <c r="H213" s="52"/>
      <c r="I213" s="52"/>
      <c r="J213" s="15"/>
      <c r="K213" s="15"/>
      <c r="L213" s="15"/>
      <c r="M213" s="15"/>
      <c r="N213" s="15"/>
      <c r="O213" s="15"/>
      <c r="P213" s="15"/>
      <c r="Q213" s="15"/>
      <c r="R213" s="15"/>
      <c r="S213" s="15"/>
      <c r="T213" s="15"/>
      <c r="U213" s="15"/>
      <c r="V213" s="15"/>
      <c r="W213" s="15"/>
      <c r="X213" s="15"/>
      <c r="Y213" s="15"/>
      <c r="Z213" s="15"/>
    </row>
    <row r="214" spans="1:26" x14ac:dyDescent="0.3">
      <c r="A214" s="15"/>
      <c r="B214" s="15"/>
      <c r="C214" s="15"/>
      <c r="D214" s="15"/>
      <c r="E214" s="15"/>
      <c r="F214" s="15"/>
      <c r="G214" s="15"/>
      <c r="H214" s="52"/>
      <c r="I214" s="52"/>
      <c r="J214" s="15"/>
      <c r="K214" s="15"/>
      <c r="L214" s="15"/>
      <c r="M214" s="15"/>
      <c r="N214" s="15"/>
      <c r="O214" s="15"/>
      <c r="P214" s="15"/>
      <c r="Q214" s="15"/>
      <c r="R214" s="15"/>
      <c r="S214" s="15"/>
      <c r="T214" s="15"/>
      <c r="U214" s="15"/>
      <c r="V214" s="15"/>
      <c r="W214" s="15"/>
      <c r="X214" s="15"/>
      <c r="Y214" s="15"/>
      <c r="Z214" s="15"/>
    </row>
    <row r="215" spans="1:26" x14ac:dyDescent="0.3">
      <c r="A215" s="15"/>
      <c r="B215" s="15"/>
      <c r="C215" s="15"/>
      <c r="D215" s="15"/>
      <c r="E215" s="15"/>
      <c r="F215" s="15"/>
      <c r="G215" s="15"/>
      <c r="H215" s="52"/>
      <c r="I215" s="52"/>
      <c r="J215" s="15"/>
      <c r="K215" s="15"/>
      <c r="L215" s="15"/>
      <c r="M215" s="15"/>
      <c r="N215" s="15"/>
      <c r="O215" s="15"/>
      <c r="P215" s="15"/>
      <c r="Q215" s="15"/>
      <c r="R215" s="15"/>
      <c r="S215" s="15"/>
      <c r="T215" s="15"/>
      <c r="U215" s="15"/>
      <c r="V215" s="15"/>
      <c r="W215" s="15"/>
      <c r="X215" s="15"/>
      <c r="Y215" s="15"/>
      <c r="Z215" s="15"/>
    </row>
    <row r="216" spans="1:26" x14ac:dyDescent="0.3">
      <c r="A216" s="15"/>
      <c r="B216" s="15"/>
      <c r="C216" s="15"/>
      <c r="D216" s="15"/>
      <c r="E216" s="15"/>
      <c r="F216" s="15"/>
      <c r="G216" s="15"/>
      <c r="H216" s="52"/>
      <c r="I216" s="52"/>
      <c r="J216" s="15"/>
      <c r="K216" s="15"/>
      <c r="L216" s="15"/>
      <c r="M216" s="15"/>
      <c r="N216" s="15"/>
      <c r="O216" s="15"/>
      <c r="P216" s="15"/>
      <c r="Q216" s="15"/>
      <c r="R216" s="15"/>
      <c r="S216" s="15"/>
      <c r="T216" s="15"/>
      <c r="U216" s="15"/>
      <c r="V216" s="15"/>
      <c r="W216" s="15"/>
      <c r="X216" s="15"/>
      <c r="Y216" s="15"/>
      <c r="Z216" s="15"/>
    </row>
    <row r="217" spans="1:26" x14ac:dyDescent="0.3">
      <c r="A217" s="15"/>
      <c r="B217" s="15"/>
      <c r="C217" s="15"/>
      <c r="D217" s="15"/>
      <c r="E217" s="15"/>
      <c r="F217" s="15"/>
      <c r="G217" s="15"/>
      <c r="H217" s="52"/>
      <c r="I217" s="52"/>
      <c r="J217" s="15"/>
      <c r="K217" s="15"/>
      <c r="L217" s="15"/>
      <c r="M217" s="15"/>
      <c r="N217" s="15"/>
      <c r="O217" s="15"/>
      <c r="P217" s="15"/>
      <c r="Q217" s="15"/>
      <c r="R217" s="15"/>
      <c r="S217" s="15"/>
      <c r="T217" s="15"/>
      <c r="U217" s="15"/>
      <c r="V217" s="15"/>
      <c r="W217" s="15"/>
      <c r="X217" s="15"/>
      <c r="Y217" s="15"/>
      <c r="Z217" s="15"/>
    </row>
    <row r="218" spans="1:26" x14ac:dyDescent="0.3">
      <c r="A218" s="15"/>
      <c r="B218" s="15"/>
      <c r="C218" s="15"/>
      <c r="D218" s="15"/>
      <c r="E218" s="15"/>
      <c r="F218" s="15"/>
      <c r="G218" s="15"/>
      <c r="H218" s="52"/>
      <c r="I218" s="52"/>
      <c r="J218" s="15"/>
      <c r="K218" s="15"/>
      <c r="L218" s="15"/>
      <c r="M218" s="15"/>
      <c r="N218" s="15"/>
      <c r="O218" s="15"/>
      <c r="P218" s="15"/>
      <c r="Q218" s="15"/>
      <c r="R218" s="15"/>
      <c r="S218" s="15"/>
      <c r="T218" s="15"/>
      <c r="U218" s="15"/>
      <c r="V218" s="15"/>
      <c r="W218" s="15"/>
      <c r="X218" s="15"/>
      <c r="Y218" s="15"/>
      <c r="Z218" s="15"/>
    </row>
    <row r="219" spans="1:26" x14ac:dyDescent="0.3">
      <c r="A219" s="15"/>
      <c r="B219" s="15"/>
      <c r="C219" s="15"/>
      <c r="D219" s="15"/>
      <c r="E219" s="15"/>
      <c r="F219" s="15"/>
      <c r="G219" s="15"/>
      <c r="H219" s="52"/>
      <c r="I219" s="52"/>
      <c r="J219" s="15"/>
      <c r="K219" s="15"/>
      <c r="L219" s="15"/>
      <c r="M219" s="15"/>
      <c r="N219" s="15"/>
      <c r="O219" s="15"/>
      <c r="P219" s="15"/>
      <c r="Q219" s="15"/>
      <c r="R219" s="15"/>
      <c r="S219" s="15"/>
      <c r="T219" s="15"/>
      <c r="U219" s="15"/>
      <c r="V219" s="15"/>
      <c r="W219" s="15"/>
      <c r="X219" s="15"/>
      <c r="Y219" s="15"/>
      <c r="Z219" s="15"/>
    </row>
    <row r="220" spans="1:26" x14ac:dyDescent="0.3">
      <c r="A220" s="15"/>
      <c r="B220" s="15"/>
      <c r="C220" s="15"/>
      <c r="D220" s="15"/>
      <c r="E220" s="15"/>
      <c r="F220" s="15"/>
      <c r="G220" s="15"/>
      <c r="H220" s="52"/>
      <c r="I220" s="52"/>
      <c r="J220" s="15"/>
      <c r="K220" s="15"/>
      <c r="L220" s="15"/>
      <c r="M220" s="15"/>
      <c r="N220" s="15"/>
      <c r="O220" s="15"/>
      <c r="P220" s="15"/>
      <c r="Q220" s="15"/>
      <c r="R220" s="15"/>
      <c r="S220" s="15"/>
      <c r="T220" s="15"/>
      <c r="U220" s="15"/>
      <c r="V220" s="15"/>
      <c r="W220" s="15"/>
      <c r="X220" s="15"/>
      <c r="Y220" s="15"/>
      <c r="Z220" s="15"/>
    </row>
    <row r="221" spans="1:26" x14ac:dyDescent="0.3">
      <c r="A221" s="15"/>
      <c r="B221" s="15"/>
      <c r="C221" s="15"/>
      <c r="D221" s="15"/>
      <c r="E221" s="15"/>
      <c r="F221" s="15"/>
      <c r="G221" s="15"/>
      <c r="H221" s="52"/>
      <c r="I221" s="52"/>
      <c r="J221" s="15"/>
      <c r="K221" s="15"/>
      <c r="L221" s="15"/>
      <c r="M221" s="15"/>
      <c r="N221" s="15"/>
      <c r="O221" s="15"/>
      <c r="P221" s="15"/>
      <c r="Q221" s="15"/>
      <c r="R221" s="15"/>
      <c r="S221" s="15"/>
      <c r="T221" s="15"/>
      <c r="U221" s="15"/>
      <c r="V221" s="15"/>
      <c r="W221" s="15"/>
      <c r="X221" s="15"/>
      <c r="Y221" s="15"/>
      <c r="Z221" s="15"/>
    </row>
    <row r="222" spans="1:26" x14ac:dyDescent="0.3">
      <c r="A222" s="15"/>
      <c r="B222" s="15"/>
      <c r="C222" s="15"/>
      <c r="D222" s="15"/>
      <c r="E222" s="15"/>
      <c r="F222" s="15"/>
      <c r="G222" s="15"/>
      <c r="H222" s="52"/>
      <c r="I222" s="52"/>
      <c r="J222" s="15"/>
      <c r="K222" s="15"/>
      <c r="L222" s="15"/>
      <c r="M222" s="15"/>
      <c r="N222" s="15"/>
      <c r="O222" s="15"/>
      <c r="P222" s="15"/>
      <c r="Q222" s="15"/>
      <c r="R222" s="15"/>
      <c r="S222" s="15"/>
      <c r="T222" s="15"/>
      <c r="U222" s="15"/>
      <c r="V222" s="15"/>
      <c r="W222" s="15"/>
      <c r="X222" s="15"/>
      <c r="Y222" s="15"/>
      <c r="Z222" s="15"/>
    </row>
    <row r="223" spans="1:26" x14ac:dyDescent="0.3">
      <c r="A223" s="15"/>
      <c r="B223" s="15"/>
      <c r="C223" s="15"/>
      <c r="D223" s="15"/>
      <c r="E223" s="15"/>
      <c r="F223" s="15"/>
      <c r="G223" s="15"/>
      <c r="H223" s="52"/>
      <c r="I223" s="52"/>
      <c r="J223" s="15"/>
      <c r="K223" s="15"/>
      <c r="L223" s="15"/>
      <c r="M223" s="15"/>
      <c r="N223" s="15"/>
      <c r="O223" s="15"/>
      <c r="P223" s="15"/>
      <c r="Q223" s="15"/>
      <c r="R223" s="15"/>
      <c r="S223" s="15"/>
      <c r="T223" s="15"/>
      <c r="U223" s="15"/>
      <c r="V223" s="15"/>
      <c r="W223" s="15"/>
      <c r="X223" s="15"/>
      <c r="Y223" s="15"/>
      <c r="Z223" s="15"/>
    </row>
    <row r="224" spans="1:26" x14ac:dyDescent="0.3">
      <c r="A224" s="15"/>
      <c r="B224" s="15"/>
      <c r="C224" s="15"/>
      <c r="D224" s="15"/>
      <c r="E224" s="15"/>
      <c r="F224" s="15"/>
      <c r="G224" s="15"/>
      <c r="H224" s="52"/>
      <c r="I224" s="52"/>
      <c r="J224" s="15"/>
      <c r="K224" s="15"/>
      <c r="L224" s="15"/>
      <c r="M224" s="15"/>
      <c r="N224" s="15"/>
      <c r="O224" s="15"/>
      <c r="P224" s="15"/>
      <c r="Q224" s="15"/>
      <c r="R224" s="15"/>
      <c r="S224" s="15"/>
      <c r="T224" s="15"/>
      <c r="U224" s="15"/>
      <c r="V224" s="15"/>
      <c r="W224" s="15"/>
      <c r="X224" s="15"/>
      <c r="Y224" s="15"/>
      <c r="Z224" s="15"/>
    </row>
    <row r="225" spans="1:26" x14ac:dyDescent="0.3">
      <c r="A225" s="15"/>
      <c r="B225" s="15"/>
      <c r="C225" s="15"/>
      <c r="D225" s="15"/>
      <c r="E225" s="15"/>
      <c r="F225" s="15"/>
      <c r="G225" s="15"/>
      <c r="H225" s="52"/>
      <c r="I225" s="52"/>
      <c r="J225" s="15"/>
      <c r="K225" s="15"/>
      <c r="L225" s="15"/>
      <c r="M225" s="15"/>
      <c r="N225" s="15"/>
      <c r="O225" s="15"/>
      <c r="P225" s="15"/>
      <c r="Q225" s="15"/>
      <c r="R225" s="15"/>
      <c r="S225" s="15"/>
      <c r="T225" s="15"/>
      <c r="U225" s="15"/>
      <c r="V225" s="15"/>
      <c r="W225" s="15"/>
      <c r="X225" s="15"/>
      <c r="Y225" s="15"/>
      <c r="Z225" s="15"/>
    </row>
    <row r="226" spans="1:26" x14ac:dyDescent="0.3">
      <c r="A226" s="15"/>
      <c r="B226" s="15"/>
      <c r="C226" s="15"/>
      <c r="D226" s="15"/>
      <c r="E226" s="15"/>
      <c r="F226" s="15"/>
      <c r="G226" s="15"/>
      <c r="H226" s="52"/>
      <c r="I226" s="52"/>
      <c r="J226" s="15"/>
      <c r="K226" s="15"/>
      <c r="L226" s="15"/>
      <c r="M226" s="15"/>
      <c r="N226" s="15"/>
      <c r="O226" s="15"/>
      <c r="P226" s="15"/>
      <c r="Q226" s="15"/>
      <c r="R226" s="15"/>
      <c r="S226" s="15"/>
      <c r="T226" s="15"/>
      <c r="U226" s="15"/>
      <c r="V226" s="15"/>
      <c r="W226" s="15"/>
      <c r="X226" s="15"/>
      <c r="Y226" s="15"/>
      <c r="Z226" s="15"/>
    </row>
    <row r="227" spans="1:26" x14ac:dyDescent="0.3">
      <c r="A227" s="15"/>
      <c r="B227" s="15"/>
      <c r="C227" s="15"/>
      <c r="D227" s="15"/>
      <c r="E227" s="15"/>
      <c r="F227" s="15"/>
      <c r="G227" s="15"/>
      <c r="H227" s="52"/>
      <c r="I227" s="52"/>
      <c r="J227" s="15"/>
      <c r="K227" s="15"/>
      <c r="L227" s="15"/>
      <c r="M227" s="15"/>
      <c r="N227" s="15"/>
      <c r="O227" s="15"/>
      <c r="P227" s="15"/>
      <c r="Q227" s="15"/>
      <c r="R227" s="15"/>
      <c r="S227" s="15"/>
      <c r="T227" s="15"/>
      <c r="U227" s="15"/>
      <c r="V227" s="15"/>
      <c r="W227" s="15"/>
      <c r="X227" s="15"/>
      <c r="Y227" s="15"/>
      <c r="Z227" s="15"/>
    </row>
    <row r="228" spans="1:26" x14ac:dyDescent="0.3">
      <c r="A228" s="15"/>
      <c r="B228" s="15"/>
      <c r="C228" s="15"/>
      <c r="D228" s="15"/>
      <c r="E228" s="15"/>
      <c r="F228" s="15"/>
      <c r="G228" s="15"/>
      <c r="H228" s="52"/>
      <c r="I228" s="52"/>
      <c r="J228" s="15"/>
      <c r="K228" s="15"/>
      <c r="L228" s="15"/>
      <c r="M228" s="15"/>
      <c r="N228" s="15"/>
      <c r="O228" s="15"/>
      <c r="P228" s="15"/>
      <c r="Q228" s="15"/>
      <c r="R228" s="15"/>
      <c r="S228" s="15"/>
      <c r="T228" s="15"/>
      <c r="U228" s="15"/>
      <c r="V228" s="15"/>
      <c r="W228" s="15"/>
      <c r="X228" s="15"/>
      <c r="Y228" s="15"/>
      <c r="Z228" s="15"/>
    </row>
    <row r="229" spans="1:26" x14ac:dyDescent="0.3">
      <c r="A229" s="15"/>
      <c r="B229" s="15"/>
      <c r="C229" s="15"/>
      <c r="D229" s="15"/>
      <c r="E229" s="15"/>
      <c r="F229" s="15"/>
      <c r="G229" s="15"/>
      <c r="H229" s="52"/>
      <c r="I229" s="52"/>
      <c r="J229" s="15"/>
      <c r="K229" s="15"/>
      <c r="L229" s="15"/>
      <c r="M229" s="15"/>
      <c r="N229" s="15"/>
      <c r="O229" s="15"/>
      <c r="P229" s="15"/>
      <c r="Q229" s="15"/>
      <c r="R229" s="15"/>
      <c r="S229" s="15"/>
      <c r="T229" s="15"/>
      <c r="U229" s="15"/>
      <c r="V229" s="15"/>
      <c r="W229" s="15"/>
      <c r="X229" s="15"/>
      <c r="Y229" s="15"/>
      <c r="Z229" s="15"/>
    </row>
    <row r="230" spans="1:26" x14ac:dyDescent="0.3">
      <c r="A230" s="15"/>
      <c r="B230" s="15"/>
      <c r="C230" s="15"/>
      <c r="D230" s="15"/>
      <c r="E230" s="15"/>
      <c r="F230" s="15"/>
      <c r="G230" s="15"/>
      <c r="H230" s="52"/>
      <c r="I230" s="52"/>
      <c r="J230" s="15"/>
      <c r="K230" s="15"/>
      <c r="L230" s="15"/>
      <c r="M230" s="15"/>
      <c r="N230" s="15"/>
      <c r="O230" s="15"/>
      <c r="P230" s="15"/>
      <c r="Q230" s="15"/>
      <c r="R230" s="15"/>
      <c r="S230" s="15"/>
      <c r="T230" s="15"/>
      <c r="U230" s="15"/>
      <c r="V230" s="15"/>
      <c r="W230" s="15"/>
      <c r="X230" s="15"/>
      <c r="Y230" s="15"/>
      <c r="Z230" s="15"/>
    </row>
    <row r="231" spans="1:26" x14ac:dyDescent="0.3">
      <c r="A231" s="15"/>
      <c r="B231" s="15"/>
      <c r="C231" s="15"/>
      <c r="D231" s="15"/>
      <c r="E231" s="15"/>
      <c r="F231" s="15"/>
      <c r="G231" s="15"/>
      <c r="H231" s="52"/>
      <c r="I231" s="52"/>
      <c r="J231" s="15"/>
      <c r="K231" s="15"/>
      <c r="L231" s="15"/>
      <c r="M231" s="15"/>
      <c r="N231" s="15"/>
      <c r="O231" s="15"/>
      <c r="P231" s="15"/>
      <c r="Q231" s="15"/>
      <c r="R231" s="15"/>
      <c r="S231" s="15"/>
      <c r="T231" s="15"/>
      <c r="U231" s="15"/>
      <c r="V231" s="15"/>
      <c r="W231" s="15"/>
      <c r="X231" s="15"/>
      <c r="Y231" s="15"/>
      <c r="Z231" s="15"/>
    </row>
    <row r="232" spans="1:26" x14ac:dyDescent="0.3">
      <c r="A232" s="15"/>
      <c r="B232" s="15"/>
      <c r="C232" s="15"/>
      <c r="D232" s="15"/>
      <c r="E232" s="15"/>
      <c r="F232" s="15"/>
      <c r="G232" s="15"/>
      <c r="H232" s="52"/>
      <c r="I232" s="52"/>
      <c r="J232" s="15"/>
      <c r="K232" s="15"/>
      <c r="L232" s="15"/>
      <c r="M232" s="15"/>
      <c r="N232" s="15"/>
      <c r="O232" s="15"/>
      <c r="P232" s="15"/>
      <c r="Q232" s="15"/>
      <c r="R232" s="15"/>
      <c r="S232" s="15"/>
      <c r="T232" s="15"/>
      <c r="U232" s="15"/>
      <c r="V232" s="15"/>
      <c r="W232" s="15"/>
      <c r="X232" s="15"/>
      <c r="Y232" s="15"/>
      <c r="Z232" s="15"/>
    </row>
    <row r="233" spans="1:26" x14ac:dyDescent="0.3">
      <c r="A233" s="15"/>
      <c r="B233" s="15"/>
      <c r="C233" s="15"/>
      <c r="D233" s="15"/>
      <c r="E233" s="15"/>
      <c r="F233" s="15"/>
      <c r="G233" s="15"/>
      <c r="H233" s="52"/>
      <c r="I233" s="52"/>
      <c r="J233" s="15"/>
      <c r="K233" s="15"/>
      <c r="L233" s="15"/>
      <c r="M233" s="15"/>
      <c r="N233" s="15"/>
      <c r="O233" s="15"/>
      <c r="P233" s="15"/>
      <c r="Q233" s="15"/>
      <c r="R233" s="15"/>
      <c r="S233" s="15"/>
      <c r="T233" s="15"/>
      <c r="U233" s="15"/>
      <c r="V233" s="15"/>
      <c r="W233" s="15"/>
      <c r="X233" s="15"/>
      <c r="Y233" s="15"/>
      <c r="Z233" s="15"/>
    </row>
    <row r="234" spans="1:26" x14ac:dyDescent="0.3">
      <c r="A234" s="15"/>
      <c r="B234" s="15"/>
      <c r="C234" s="15"/>
      <c r="D234" s="15"/>
      <c r="E234" s="15"/>
      <c r="F234" s="15"/>
      <c r="G234" s="15"/>
      <c r="H234" s="52"/>
      <c r="I234" s="52"/>
      <c r="J234" s="15"/>
      <c r="K234" s="15"/>
      <c r="L234" s="15"/>
      <c r="M234" s="15"/>
      <c r="N234" s="15"/>
      <c r="O234" s="15"/>
      <c r="P234" s="15"/>
      <c r="Q234" s="15"/>
      <c r="R234" s="15"/>
      <c r="S234" s="15"/>
      <c r="T234" s="15"/>
      <c r="U234" s="15"/>
      <c r="V234" s="15"/>
      <c r="W234" s="15"/>
      <c r="X234" s="15"/>
      <c r="Y234" s="15"/>
      <c r="Z234" s="15"/>
    </row>
    <row r="235" spans="1:26" x14ac:dyDescent="0.3">
      <c r="A235" s="15"/>
      <c r="B235" s="15"/>
      <c r="C235" s="15"/>
      <c r="D235" s="15"/>
      <c r="E235" s="15"/>
      <c r="F235" s="15"/>
      <c r="G235" s="15"/>
      <c r="H235" s="52"/>
      <c r="I235" s="52"/>
      <c r="J235" s="15"/>
      <c r="K235" s="15"/>
      <c r="L235" s="15"/>
      <c r="M235" s="15"/>
      <c r="N235" s="15"/>
      <c r="O235" s="15"/>
      <c r="P235" s="15"/>
      <c r="Q235" s="15"/>
      <c r="R235" s="15"/>
      <c r="S235" s="15"/>
      <c r="T235" s="15"/>
      <c r="U235" s="15"/>
      <c r="V235" s="15"/>
      <c r="W235" s="15"/>
      <c r="X235" s="15"/>
      <c r="Y235" s="15"/>
      <c r="Z235" s="15"/>
    </row>
    <row r="236" spans="1:26" x14ac:dyDescent="0.3">
      <c r="A236" s="15"/>
      <c r="B236" s="15"/>
      <c r="C236" s="15"/>
      <c r="D236" s="15"/>
      <c r="E236" s="15"/>
      <c r="F236" s="15"/>
      <c r="G236" s="15"/>
      <c r="H236" s="52"/>
      <c r="I236" s="52"/>
      <c r="J236" s="15"/>
      <c r="K236" s="15"/>
      <c r="L236" s="15"/>
      <c r="M236" s="15"/>
      <c r="N236" s="15"/>
      <c r="O236" s="15"/>
      <c r="P236" s="15"/>
      <c r="Q236" s="15"/>
      <c r="R236" s="15"/>
      <c r="S236" s="15"/>
      <c r="T236" s="15"/>
      <c r="U236" s="15"/>
      <c r="V236" s="15"/>
      <c r="W236" s="15"/>
      <c r="X236" s="15"/>
      <c r="Y236" s="15"/>
      <c r="Z236" s="15"/>
    </row>
    <row r="237" spans="1:26" x14ac:dyDescent="0.3">
      <c r="A237" s="15"/>
      <c r="B237" s="15"/>
      <c r="C237" s="15"/>
      <c r="D237" s="15"/>
      <c r="E237" s="15"/>
      <c r="F237" s="15"/>
      <c r="G237" s="15"/>
      <c r="H237" s="52"/>
      <c r="I237" s="52"/>
      <c r="J237" s="15"/>
      <c r="K237" s="15"/>
      <c r="L237" s="15"/>
      <c r="M237" s="15"/>
      <c r="N237" s="15"/>
      <c r="O237" s="15"/>
      <c r="P237" s="15"/>
      <c r="Q237" s="15"/>
      <c r="R237" s="15"/>
      <c r="S237" s="15"/>
      <c r="T237" s="15"/>
      <c r="U237" s="15"/>
      <c r="V237" s="15"/>
      <c r="W237" s="15"/>
      <c r="X237" s="15"/>
      <c r="Y237" s="15"/>
      <c r="Z237" s="15"/>
    </row>
    <row r="238" spans="1:26" x14ac:dyDescent="0.3">
      <c r="A238" s="15"/>
      <c r="B238" s="15"/>
      <c r="C238" s="15"/>
      <c r="D238" s="15"/>
      <c r="E238" s="15"/>
      <c r="F238" s="15"/>
      <c r="G238" s="15"/>
      <c r="H238" s="52"/>
      <c r="I238" s="52"/>
      <c r="J238" s="15"/>
      <c r="K238" s="15"/>
      <c r="L238" s="15"/>
      <c r="M238" s="15"/>
      <c r="N238" s="15"/>
      <c r="O238" s="15"/>
      <c r="P238" s="15"/>
      <c r="Q238" s="15"/>
      <c r="R238" s="15"/>
      <c r="S238" s="15"/>
      <c r="T238" s="15"/>
      <c r="U238" s="15"/>
      <c r="V238" s="15"/>
      <c r="W238" s="15"/>
      <c r="X238" s="15"/>
      <c r="Y238" s="15"/>
      <c r="Z238" s="15"/>
    </row>
    <row r="239" spans="1:26" x14ac:dyDescent="0.3">
      <c r="A239" s="15"/>
      <c r="B239" s="15"/>
      <c r="C239" s="15"/>
      <c r="D239" s="15"/>
      <c r="E239" s="15"/>
      <c r="F239" s="15"/>
      <c r="G239" s="15"/>
      <c r="H239" s="52"/>
      <c r="I239" s="52"/>
      <c r="J239" s="15"/>
      <c r="K239" s="15"/>
      <c r="L239" s="15"/>
      <c r="M239" s="15"/>
      <c r="N239" s="15"/>
      <c r="O239" s="15"/>
      <c r="P239" s="15"/>
      <c r="Q239" s="15"/>
      <c r="R239" s="15"/>
      <c r="S239" s="15"/>
      <c r="T239" s="15"/>
      <c r="U239" s="15"/>
      <c r="V239" s="15"/>
      <c r="W239" s="15"/>
      <c r="X239" s="15"/>
      <c r="Y239" s="15"/>
      <c r="Z239" s="15"/>
    </row>
    <row r="240" spans="1:26" x14ac:dyDescent="0.3">
      <c r="A240" s="15"/>
      <c r="B240" s="15"/>
      <c r="C240" s="15"/>
      <c r="D240" s="15"/>
      <c r="E240" s="15"/>
      <c r="F240" s="15"/>
      <c r="G240" s="15"/>
      <c r="H240" s="52"/>
      <c r="I240" s="52"/>
      <c r="J240" s="15"/>
      <c r="K240" s="15"/>
      <c r="L240" s="15"/>
      <c r="M240" s="15"/>
      <c r="N240" s="15"/>
      <c r="O240" s="15"/>
      <c r="P240" s="15"/>
      <c r="Q240" s="15"/>
      <c r="R240" s="15"/>
      <c r="S240" s="15"/>
      <c r="T240" s="15"/>
      <c r="U240" s="15"/>
      <c r="V240" s="15"/>
      <c r="W240" s="15"/>
      <c r="X240" s="15"/>
      <c r="Y240" s="15"/>
      <c r="Z240" s="15"/>
    </row>
    <row r="241" spans="1:26" x14ac:dyDescent="0.3">
      <c r="A241" s="15"/>
      <c r="B241" s="15"/>
      <c r="C241" s="15"/>
      <c r="D241" s="15"/>
      <c r="E241" s="15"/>
      <c r="F241" s="15"/>
      <c r="G241" s="15"/>
      <c r="H241" s="52"/>
      <c r="I241" s="52"/>
      <c r="J241" s="15"/>
      <c r="K241" s="15"/>
      <c r="L241" s="15"/>
      <c r="M241" s="15"/>
      <c r="N241" s="15"/>
      <c r="O241" s="15"/>
      <c r="P241" s="15"/>
      <c r="Q241" s="15"/>
      <c r="R241" s="15"/>
      <c r="S241" s="15"/>
      <c r="T241" s="15"/>
      <c r="U241" s="15"/>
      <c r="V241" s="15"/>
      <c r="W241" s="15"/>
      <c r="X241" s="15"/>
      <c r="Y241" s="15"/>
      <c r="Z241" s="15"/>
    </row>
    <row r="242" spans="1:26" x14ac:dyDescent="0.3">
      <c r="A242" s="15"/>
      <c r="B242" s="15"/>
      <c r="C242" s="15"/>
      <c r="D242" s="15"/>
      <c r="E242" s="15"/>
      <c r="F242" s="15"/>
      <c r="G242" s="15"/>
      <c r="H242" s="52"/>
      <c r="I242" s="52"/>
      <c r="J242" s="15"/>
      <c r="K242" s="15"/>
      <c r="L242" s="15"/>
      <c r="M242" s="15"/>
      <c r="N242" s="15"/>
      <c r="O242" s="15"/>
      <c r="P242" s="15"/>
      <c r="Q242" s="15"/>
      <c r="R242" s="15"/>
      <c r="S242" s="15"/>
      <c r="T242" s="15"/>
      <c r="U242" s="15"/>
      <c r="V242" s="15"/>
      <c r="W242" s="15"/>
      <c r="X242" s="15"/>
      <c r="Y242" s="15"/>
      <c r="Z242" s="15"/>
    </row>
    <row r="243" spans="1:26" x14ac:dyDescent="0.3">
      <c r="A243" s="15"/>
      <c r="B243" s="15"/>
      <c r="C243" s="15"/>
      <c r="D243" s="15"/>
      <c r="E243" s="15"/>
      <c r="F243" s="15"/>
      <c r="G243" s="15"/>
      <c r="H243" s="52"/>
      <c r="I243" s="52"/>
      <c r="J243" s="15"/>
      <c r="K243" s="15"/>
      <c r="L243" s="15"/>
      <c r="M243" s="15"/>
      <c r="N243" s="15"/>
      <c r="O243" s="15"/>
      <c r="P243" s="15"/>
      <c r="Q243" s="15"/>
      <c r="R243" s="15"/>
      <c r="S243" s="15"/>
      <c r="T243" s="15"/>
      <c r="U243" s="15"/>
      <c r="V243" s="15"/>
      <c r="W243" s="15"/>
      <c r="X243" s="15"/>
      <c r="Y243" s="15"/>
      <c r="Z243" s="15"/>
    </row>
    <row r="244" spans="1:26" x14ac:dyDescent="0.3">
      <c r="A244" s="15"/>
      <c r="B244" s="15"/>
      <c r="C244" s="15"/>
      <c r="D244" s="15"/>
      <c r="E244" s="15"/>
      <c r="F244" s="15"/>
      <c r="G244" s="15"/>
      <c r="H244" s="52"/>
      <c r="I244" s="52"/>
      <c r="J244" s="15"/>
      <c r="K244" s="15"/>
      <c r="L244" s="15"/>
      <c r="M244" s="15"/>
      <c r="N244" s="15"/>
      <c r="O244" s="15"/>
      <c r="P244" s="15"/>
      <c r="Q244" s="15"/>
      <c r="R244" s="15"/>
      <c r="S244" s="15"/>
      <c r="T244" s="15"/>
      <c r="U244" s="15"/>
      <c r="V244" s="15"/>
      <c r="W244" s="15"/>
      <c r="X244" s="15"/>
      <c r="Y244" s="15"/>
      <c r="Z244" s="15"/>
    </row>
    <row r="245" spans="1:26" x14ac:dyDescent="0.3">
      <c r="A245" s="15"/>
      <c r="B245" s="15"/>
      <c r="C245" s="15"/>
      <c r="D245" s="15"/>
      <c r="E245" s="15"/>
      <c r="F245" s="15"/>
      <c r="G245" s="15"/>
      <c r="H245" s="52"/>
      <c r="I245" s="52"/>
      <c r="J245" s="15"/>
      <c r="K245" s="15"/>
      <c r="L245" s="15"/>
      <c r="M245" s="15"/>
      <c r="N245" s="15"/>
      <c r="O245" s="15"/>
      <c r="P245" s="15"/>
      <c r="Q245" s="15"/>
      <c r="R245" s="15"/>
      <c r="S245" s="15"/>
      <c r="T245" s="15"/>
      <c r="U245" s="15"/>
      <c r="V245" s="15"/>
      <c r="W245" s="15"/>
      <c r="X245" s="15"/>
      <c r="Y245" s="15"/>
      <c r="Z245" s="15"/>
    </row>
    <row r="246" spans="1:26" x14ac:dyDescent="0.3">
      <c r="A246" s="15"/>
      <c r="B246" s="15"/>
      <c r="C246" s="15"/>
      <c r="D246" s="15"/>
      <c r="E246" s="15"/>
      <c r="F246" s="15"/>
      <c r="G246" s="15"/>
      <c r="H246" s="52"/>
      <c r="I246" s="52"/>
      <c r="J246" s="15"/>
      <c r="K246" s="15"/>
      <c r="L246" s="15"/>
      <c r="M246" s="15"/>
      <c r="N246" s="15"/>
      <c r="O246" s="15"/>
      <c r="P246" s="15"/>
      <c r="Q246" s="15"/>
      <c r="R246" s="15"/>
      <c r="S246" s="15"/>
      <c r="T246" s="15"/>
      <c r="U246" s="15"/>
      <c r="V246" s="15"/>
      <c r="W246" s="15"/>
      <c r="X246" s="15"/>
      <c r="Y246" s="15"/>
      <c r="Z246" s="15"/>
    </row>
    <row r="247" spans="1:26" x14ac:dyDescent="0.3">
      <c r="A247" s="15"/>
      <c r="B247" s="15"/>
      <c r="C247" s="15"/>
      <c r="D247" s="15"/>
      <c r="E247" s="15"/>
      <c r="F247" s="15"/>
      <c r="G247" s="15"/>
      <c r="H247" s="52"/>
      <c r="I247" s="52"/>
      <c r="J247" s="15"/>
      <c r="K247" s="15"/>
      <c r="L247" s="15"/>
      <c r="M247" s="15"/>
      <c r="N247" s="15"/>
      <c r="O247" s="15"/>
      <c r="P247" s="15"/>
      <c r="Q247" s="15"/>
      <c r="R247" s="15"/>
      <c r="S247" s="15"/>
      <c r="T247" s="15"/>
      <c r="U247" s="15"/>
      <c r="V247" s="15"/>
      <c r="W247" s="15"/>
      <c r="X247" s="15"/>
      <c r="Y247" s="15"/>
      <c r="Z247" s="15"/>
    </row>
    <row r="248" spans="1:26" x14ac:dyDescent="0.3">
      <c r="A248" s="15"/>
      <c r="B248" s="15"/>
      <c r="C248" s="15"/>
      <c r="D248" s="15"/>
      <c r="E248" s="15"/>
      <c r="F248" s="15"/>
      <c r="G248" s="15"/>
      <c r="H248" s="52"/>
      <c r="I248" s="52"/>
      <c r="J248" s="15"/>
      <c r="K248" s="15"/>
      <c r="L248" s="15"/>
      <c r="M248" s="15"/>
      <c r="N248" s="15"/>
      <c r="O248" s="15"/>
      <c r="P248" s="15"/>
      <c r="Q248" s="15"/>
      <c r="R248" s="15"/>
      <c r="S248" s="15"/>
      <c r="T248" s="15"/>
      <c r="U248" s="15"/>
      <c r="V248" s="15"/>
      <c r="W248" s="15"/>
      <c r="X248" s="15"/>
      <c r="Y248" s="15"/>
      <c r="Z248" s="15"/>
    </row>
    <row r="249" spans="1:26" x14ac:dyDescent="0.3">
      <c r="A249" s="15"/>
      <c r="B249" s="15"/>
      <c r="C249" s="15"/>
      <c r="D249" s="15"/>
      <c r="E249" s="15"/>
      <c r="F249" s="15"/>
      <c r="G249" s="15"/>
      <c r="H249" s="52"/>
      <c r="I249" s="52"/>
      <c r="J249" s="15"/>
      <c r="K249" s="15"/>
      <c r="L249" s="15"/>
      <c r="M249" s="15"/>
      <c r="N249" s="15"/>
      <c r="O249" s="15"/>
      <c r="P249" s="15"/>
      <c r="Q249" s="15"/>
      <c r="R249" s="15"/>
      <c r="S249" s="15"/>
      <c r="T249" s="15"/>
      <c r="U249" s="15"/>
      <c r="V249" s="15"/>
      <c r="W249" s="15"/>
      <c r="X249" s="15"/>
      <c r="Y249" s="15"/>
      <c r="Z249" s="15"/>
    </row>
    <row r="250" spans="1:26" x14ac:dyDescent="0.3">
      <c r="A250" s="15"/>
      <c r="B250" s="15"/>
      <c r="C250" s="15"/>
      <c r="D250" s="15"/>
      <c r="E250" s="15"/>
      <c r="F250" s="15"/>
      <c r="G250" s="15"/>
      <c r="H250" s="52"/>
      <c r="I250" s="52"/>
      <c r="J250" s="15"/>
      <c r="K250" s="15"/>
      <c r="L250" s="15"/>
      <c r="M250" s="15"/>
      <c r="N250" s="15"/>
      <c r="O250" s="15"/>
      <c r="P250" s="15"/>
      <c r="Q250" s="15"/>
      <c r="R250" s="15"/>
      <c r="S250" s="15"/>
      <c r="T250" s="15"/>
      <c r="U250" s="15"/>
      <c r="V250" s="15"/>
      <c r="W250" s="15"/>
      <c r="X250" s="15"/>
      <c r="Y250" s="15"/>
      <c r="Z250" s="15"/>
    </row>
    <row r="251" spans="1:26" x14ac:dyDescent="0.3">
      <c r="A251" s="15"/>
      <c r="B251" s="15"/>
      <c r="C251" s="15"/>
      <c r="D251" s="15"/>
      <c r="E251" s="15"/>
      <c r="F251" s="15"/>
      <c r="G251" s="15"/>
      <c r="H251" s="52"/>
      <c r="I251" s="52"/>
      <c r="J251" s="15"/>
      <c r="K251" s="15"/>
      <c r="L251" s="15"/>
      <c r="M251" s="15"/>
      <c r="N251" s="15"/>
      <c r="O251" s="15"/>
      <c r="P251" s="15"/>
      <c r="Q251" s="15"/>
      <c r="R251" s="15"/>
      <c r="S251" s="15"/>
      <c r="T251" s="15"/>
      <c r="U251" s="15"/>
      <c r="V251" s="15"/>
      <c r="W251" s="15"/>
      <c r="X251" s="15"/>
      <c r="Y251" s="15"/>
      <c r="Z251" s="15"/>
    </row>
    <row r="252" spans="1:26" x14ac:dyDescent="0.3">
      <c r="A252" s="15"/>
      <c r="B252" s="15"/>
      <c r="C252" s="15"/>
      <c r="D252" s="15"/>
      <c r="E252" s="15"/>
      <c r="F252" s="15"/>
      <c r="G252" s="15"/>
      <c r="H252" s="52"/>
      <c r="I252" s="52"/>
      <c r="J252" s="15"/>
      <c r="K252" s="15"/>
      <c r="L252" s="15"/>
      <c r="M252" s="15"/>
      <c r="N252" s="15"/>
      <c r="O252" s="15"/>
      <c r="P252" s="15"/>
      <c r="Q252" s="15"/>
      <c r="R252" s="15"/>
      <c r="S252" s="15"/>
      <c r="T252" s="15"/>
      <c r="U252" s="15"/>
      <c r="V252" s="15"/>
      <c r="W252" s="15"/>
      <c r="X252" s="15"/>
      <c r="Y252" s="15"/>
      <c r="Z252" s="15"/>
    </row>
    <row r="253" spans="1:26" x14ac:dyDescent="0.3">
      <c r="A253" s="15"/>
      <c r="B253" s="15"/>
      <c r="C253" s="15"/>
      <c r="D253" s="15"/>
      <c r="E253" s="15"/>
      <c r="F253" s="15"/>
      <c r="G253" s="15"/>
      <c r="H253" s="52"/>
      <c r="I253" s="52"/>
      <c r="J253" s="15"/>
      <c r="K253" s="15"/>
      <c r="L253" s="15"/>
      <c r="M253" s="15"/>
      <c r="N253" s="15"/>
      <c r="O253" s="15"/>
      <c r="P253" s="15"/>
      <c r="Q253" s="15"/>
      <c r="R253" s="15"/>
      <c r="S253" s="15"/>
      <c r="T253" s="15"/>
      <c r="U253" s="15"/>
      <c r="V253" s="15"/>
      <c r="W253" s="15"/>
      <c r="X253" s="15"/>
      <c r="Y253" s="15"/>
      <c r="Z253" s="15"/>
    </row>
    <row r="254" spans="1:26" x14ac:dyDescent="0.3">
      <c r="A254" s="15"/>
      <c r="B254" s="15"/>
      <c r="C254" s="15"/>
      <c r="D254" s="15"/>
      <c r="E254" s="15"/>
      <c r="F254" s="15"/>
      <c r="G254" s="15"/>
      <c r="H254" s="52"/>
      <c r="I254" s="52"/>
      <c r="J254" s="15"/>
      <c r="K254" s="15"/>
      <c r="L254" s="15"/>
      <c r="M254" s="15"/>
      <c r="N254" s="15"/>
      <c r="O254" s="15"/>
      <c r="P254" s="15"/>
      <c r="Q254" s="15"/>
      <c r="R254" s="15"/>
      <c r="S254" s="15"/>
      <c r="T254" s="15"/>
      <c r="U254" s="15"/>
      <c r="V254" s="15"/>
      <c r="W254" s="15"/>
      <c r="X254" s="15"/>
      <c r="Y254" s="15"/>
      <c r="Z254" s="15"/>
    </row>
    <row r="255" spans="1:26" x14ac:dyDescent="0.3">
      <c r="A255" s="15"/>
      <c r="B255" s="15"/>
      <c r="C255" s="15"/>
      <c r="D255" s="15"/>
      <c r="E255" s="15"/>
      <c r="F255" s="15"/>
      <c r="G255" s="15"/>
      <c r="H255" s="52"/>
      <c r="I255" s="52"/>
      <c r="J255" s="15"/>
      <c r="K255" s="15"/>
      <c r="L255" s="15"/>
      <c r="M255" s="15"/>
      <c r="N255" s="15"/>
      <c r="O255" s="15"/>
      <c r="P255" s="15"/>
      <c r="Q255" s="15"/>
      <c r="R255" s="15"/>
      <c r="S255" s="15"/>
      <c r="T255" s="15"/>
      <c r="U255" s="15"/>
      <c r="V255" s="15"/>
      <c r="W255" s="15"/>
      <c r="X255" s="15"/>
      <c r="Y255" s="15"/>
      <c r="Z255" s="15"/>
    </row>
    <row r="256" spans="1:26" x14ac:dyDescent="0.3">
      <c r="A256" s="15"/>
      <c r="B256" s="15"/>
      <c r="C256" s="15"/>
      <c r="D256" s="15"/>
      <c r="E256" s="15"/>
      <c r="F256" s="15"/>
      <c r="G256" s="15"/>
      <c r="H256" s="52"/>
      <c r="I256" s="52"/>
      <c r="J256" s="15"/>
      <c r="K256" s="15"/>
      <c r="L256" s="15"/>
      <c r="M256" s="15"/>
      <c r="N256" s="15"/>
      <c r="O256" s="15"/>
      <c r="P256" s="15"/>
      <c r="Q256" s="15"/>
      <c r="R256" s="15"/>
      <c r="S256" s="15"/>
      <c r="T256" s="15"/>
      <c r="U256" s="15"/>
      <c r="V256" s="15"/>
      <c r="W256" s="15"/>
      <c r="X256" s="15"/>
      <c r="Y256" s="15"/>
      <c r="Z256" s="15"/>
    </row>
    <row r="257" spans="1:26" x14ac:dyDescent="0.3">
      <c r="A257" s="15"/>
      <c r="B257" s="15"/>
      <c r="C257" s="15"/>
      <c r="D257" s="15"/>
      <c r="E257" s="15"/>
      <c r="F257" s="15"/>
      <c r="G257" s="15"/>
      <c r="H257" s="52"/>
      <c r="I257" s="52"/>
      <c r="J257" s="15"/>
      <c r="K257" s="15"/>
      <c r="L257" s="15"/>
      <c r="M257" s="15"/>
      <c r="N257" s="15"/>
      <c r="O257" s="15"/>
      <c r="P257" s="15"/>
      <c r="Q257" s="15"/>
      <c r="R257" s="15"/>
      <c r="S257" s="15"/>
      <c r="T257" s="15"/>
      <c r="U257" s="15"/>
      <c r="V257" s="15"/>
      <c r="W257" s="15"/>
      <c r="X257" s="15"/>
      <c r="Y257" s="15"/>
      <c r="Z257" s="15"/>
    </row>
    <row r="258" spans="1:26" x14ac:dyDescent="0.3">
      <c r="A258" s="15"/>
      <c r="B258" s="15"/>
      <c r="C258" s="15"/>
      <c r="D258" s="15"/>
      <c r="E258" s="15"/>
      <c r="F258" s="15"/>
      <c r="G258" s="15"/>
      <c r="H258" s="52"/>
      <c r="I258" s="52"/>
      <c r="J258" s="15"/>
      <c r="K258" s="15"/>
      <c r="L258" s="15"/>
      <c r="M258" s="15"/>
      <c r="N258" s="15"/>
      <c r="O258" s="15"/>
      <c r="P258" s="15"/>
      <c r="Q258" s="15"/>
      <c r="R258" s="15"/>
      <c r="S258" s="15"/>
      <c r="T258" s="15"/>
      <c r="U258" s="15"/>
      <c r="V258" s="15"/>
      <c r="W258" s="15"/>
      <c r="X258" s="15"/>
      <c r="Y258" s="15"/>
      <c r="Z258" s="15"/>
    </row>
    <row r="259" spans="1:26" x14ac:dyDescent="0.3">
      <c r="A259" s="15"/>
      <c r="B259" s="15"/>
      <c r="C259" s="15"/>
      <c r="D259" s="15"/>
      <c r="E259" s="15"/>
      <c r="F259" s="15"/>
      <c r="G259" s="15"/>
      <c r="H259" s="52"/>
      <c r="I259" s="52"/>
      <c r="J259" s="15"/>
      <c r="K259" s="15"/>
      <c r="L259" s="15"/>
      <c r="M259" s="15"/>
      <c r="N259" s="15"/>
      <c r="O259" s="15"/>
      <c r="P259" s="15"/>
      <c r="Q259" s="15"/>
      <c r="R259" s="15"/>
      <c r="S259" s="15"/>
      <c r="T259" s="15"/>
      <c r="U259" s="15"/>
      <c r="V259" s="15"/>
      <c r="W259" s="15"/>
      <c r="X259" s="15"/>
      <c r="Y259" s="15"/>
      <c r="Z259" s="15"/>
    </row>
    <row r="260" spans="1:26" x14ac:dyDescent="0.3">
      <c r="A260" s="15"/>
      <c r="B260" s="15"/>
      <c r="C260" s="15"/>
      <c r="D260" s="15"/>
      <c r="E260" s="15"/>
      <c r="F260" s="15"/>
      <c r="G260" s="15"/>
      <c r="H260" s="52"/>
      <c r="I260" s="52"/>
      <c r="J260" s="15"/>
      <c r="K260" s="15"/>
      <c r="L260" s="15"/>
      <c r="M260" s="15"/>
      <c r="N260" s="15"/>
      <c r="O260" s="15"/>
      <c r="P260" s="15"/>
      <c r="Q260" s="15"/>
      <c r="R260" s="15"/>
      <c r="S260" s="15"/>
      <c r="T260" s="15"/>
      <c r="U260" s="15"/>
      <c r="V260" s="15"/>
      <c r="W260" s="15"/>
      <c r="X260" s="15"/>
      <c r="Y260" s="15"/>
      <c r="Z260" s="15"/>
    </row>
    <row r="261" spans="1:26" x14ac:dyDescent="0.3">
      <c r="A261" s="15"/>
      <c r="B261" s="15"/>
      <c r="C261" s="15"/>
      <c r="D261" s="15"/>
      <c r="E261" s="15"/>
      <c r="F261" s="15"/>
      <c r="G261" s="15"/>
      <c r="H261" s="52"/>
      <c r="I261" s="52"/>
      <c r="J261" s="15"/>
      <c r="K261" s="15"/>
      <c r="L261" s="15"/>
      <c r="M261" s="15"/>
      <c r="N261" s="15"/>
      <c r="O261" s="15"/>
      <c r="P261" s="15"/>
      <c r="Q261" s="15"/>
      <c r="R261" s="15"/>
      <c r="S261" s="15"/>
      <c r="T261" s="15"/>
      <c r="U261" s="15"/>
      <c r="V261" s="15"/>
      <c r="W261" s="15"/>
      <c r="X261" s="15"/>
      <c r="Y261" s="15"/>
      <c r="Z261" s="15"/>
    </row>
    <row r="262" spans="1:26" x14ac:dyDescent="0.3">
      <c r="A262" s="15"/>
      <c r="B262" s="15"/>
      <c r="C262" s="15"/>
      <c r="D262" s="15"/>
      <c r="E262" s="15"/>
      <c r="F262" s="15"/>
      <c r="G262" s="15"/>
      <c r="H262" s="52"/>
      <c r="I262" s="52"/>
      <c r="J262" s="15"/>
      <c r="K262" s="15"/>
      <c r="L262" s="15"/>
      <c r="M262" s="15"/>
      <c r="N262" s="15"/>
      <c r="O262" s="15"/>
      <c r="P262" s="15"/>
      <c r="Q262" s="15"/>
      <c r="R262" s="15"/>
      <c r="S262" s="15"/>
      <c r="T262" s="15"/>
      <c r="U262" s="15"/>
      <c r="V262" s="15"/>
      <c r="W262" s="15"/>
      <c r="X262" s="15"/>
      <c r="Y262" s="15"/>
      <c r="Z262" s="15"/>
    </row>
    <row r="263" spans="1:26" x14ac:dyDescent="0.3">
      <c r="A263" s="15"/>
      <c r="B263" s="15"/>
      <c r="C263" s="15"/>
      <c r="D263" s="15"/>
      <c r="E263" s="15"/>
      <c r="F263" s="15"/>
      <c r="G263" s="15"/>
      <c r="H263" s="52"/>
      <c r="I263" s="52"/>
      <c r="J263" s="15"/>
      <c r="K263" s="15"/>
      <c r="L263" s="15"/>
      <c r="M263" s="15"/>
      <c r="N263" s="15"/>
      <c r="O263" s="15"/>
      <c r="P263" s="15"/>
      <c r="Q263" s="15"/>
      <c r="R263" s="15"/>
      <c r="S263" s="15"/>
      <c r="T263" s="15"/>
      <c r="U263" s="15"/>
      <c r="V263" s="15"/>
      <c r="W263" s="15"/>
      <c r="X263" s="15"/>
      <c r="Y263" s="15"/>
      <c r="Z263" s="15"/>
    </row>
    <row r="264" spans="1:26" x14ac:dyDescent="0.3">
      <c r="A264" s="15"/>
      <c r="B264" s="15"/>
      <c r="C264" s="15"/>
      <c r="D264" s="15"/>
      <c r="E264" s="15"/>
      <c r="F264" s="15"/>
      <c r="G264" s="15"/>
      <c r="H264" s="52"/>
      <c r="I264" s="52"/>
      <c r="J264" s="15"/>
      <c r="K264" s="15"/>
      <c r="L264" s="15"/>
      <c r="M264" s="15"/>
      <c r="N264" s="15"/>
      <c r="O264" s="15"/>
      <c r="P264" s="15"/>
      <c r="Q264" s="15"/>
      <c r="R264" s="15"/>
      <c r="S264" s="15"/>
      <c r="T264" s="15"/>
      <c r="U264" s="15"/>
      <c r="V264" s="15"/>
      <c r="W264" s="15"/>
      <c r="X264" s="15"/>
      <c r="Y264" s="15"/>
      <c r="Z264" s="15"/>
    </row>
    <row r="265" spans="1:26" x14ac:dyDescent="0.3">
      <c r="A265" s="15"/>
      <c r="B265" s="15"/>
      <c r="C265" s="15"/>
      <c r="D265" s="15"/>
      <c r="E265" s="15"/>
      <c r="F265" s="15"/>
      <c r="G265" s="15"/>
      <c r="H265" s="52"/>
      <c r="I265" s="52"/>
      <c r="J265" s="15"/>
      <c r="K265" s="15"/>
      <c r="L265" s="15"/>
      <c r="M265" s="15"/>
      <c r="N265" s="15"/>
      <c r="O265" s="15"/>
      <c r="P265" s="15"/>
      <c r="Q265" s="15"/>
      <c r="R265" s="15"/>
      <c r="S265" s="15"/>
      <c r="T265" s="15"/>
      <c r="U265" s="15"/>
      <c r="V265" s="15"/>
      <c r="W265" s="15"/>
      <c r="X265" s="15"/>
      <c r="Y265" s="15"/>
      <c r="Z265" s="15"/>
    </row>
    <row r="266" spans="1:26" x14ac:dyDescent="0.3">
      <c r="A266" s="15"/>
      <c r="B266" s="15"/>
      <c r="C266" s="15"/>
      <c r="D266" s="15"/>
      <c r="E266" s="15"/>
      <c r="F266" s="15"/>
      <c r="G266" s="15"/>
      <c r="H266" s="52"/>
      <c r="I266" s="52"/>
      <c r="J266" s="15"/>
      <c r="K266" s="15"/>
      <c r="L266" s="15"/>
      <c r="M266" s="15"/>
      <c r="N266" s="15"/>
      <c r="O266" s="15"/>
      <c r="P266" s="15"/>
      <c r="Q266" s="15"/>
      <c r="R266" s="15"/>
      <c r="S266" s="15"/>
      <c r="T266" s="15"/>
      <c r="U266" s="15"/>
      <c r="V266" s="15"/>
      <c r="W266" s="15"/>
      <c r="X266" s="15"/>
      <c r="Y266" s="15"/>
      <c r="Z266" s="15"/>
    </row>
    <row r="267" spans="1:26" x14ac:dyDescent="0.3">
      <c r="A267" s="15"/>
      <c r="B267" s="15"/>
      <c r="C267" s="15"/>
      <c r="D267" s="15"/>
      <c r="E267" s="15"/>
      <c r="F267" s="15"/>
      <c r="G267" s="15"/>
      <c r="H267" s="52"/>
      <c r="I267" s="52"/>
      <c r="J267" s="15"/>
      <c r="K267" s="15"/>
      <c r="L267" s="15"/>
      <c r="M267" s="15"/>
      <c r="N267" s="15"/>
      <c r="O267" s="15"/>
      <c r="P267" s="15"/>
      <c r="Q267" s="15"/>
      <c r="R267" s="15"/>
      <c r="S267" s="15"/>
      <c r="T267" s="15"/>
      <c r="U267" s="15"/>
      <c r="V267" s="15"/>
      <c r="W267" s="15"/>
      <c r="X267" s="15"/>
      <c r="Y267" s="15"/>
      <c r="Z267" s="15"/>
    </row>
    <row r="268" spans="1:26" x14ac:dyDescent="0.3">
      <c r="A268" s="15"/>
      <c r="B268" s="15"/>
      <c r="C268" s="15"/>
      <c r="D268" s="15"/>
      <c r="E268" s="15"/>
      <c r="F268" s="15"/>
      <c r="G268" s="15"/>
      <c r="H268" s="52"/>
      <c r="I268" s="52"/>
      <c r="J268" s="15"/>
      <c r="K268" s="15"/>
      <c r="L268" s="15"/>
      <c r="M268" s="15"/>
      <c r="N268" s="15"/>
      <c r="O268" s="15"/>
      <c r="P268" s="15"/>
      <c r="Q268" s="15"/>
      <c r="R268" s="15"/>
      <c r="S268" s="15"/>
      <c r="T268" s="15"/>
      <c r="U268" s="15"/>
      <c r="V268" s="15"/>
      <c r="W268" s="15"/>
      <c r="X268" s="15"/>
      <c r="Y268" s="15"/>
      <c r="Z268" s="15"/>
    </row>
    <row r="269" spans="1:26" x14ac:dyDescent="0.3">
      <c r="A269" s="15"/>
      <c r="B269" s="15"/>
      <c r="C269" s="15"/>
      <c r="D269" s="15"/>
      <c r="E269" s="15"/>
      <c r="F269" s="15"/>
      <c r="G269" s="15"/>
      <c r="H269" s="52"/>
      <c r="I269" s="52"/>
      <c r="J269" s="15"/>
      <c r="K269" s="15"/>
      <c r="L269" s="15"/>
      <c r="M269" s="15"/>
      <c r="N269" s="15"/>
      <c r="O269" s="15"/>
      <c r="P269" s="15"/>
      <c r="Q269" s="15"/>
      <c r="R269" s="15"/>
      <c r="S269" s="15"/>
      <c r="T269" s="15"/>
      <c r="U269" s="15"/>
      <c r="V269" s="15"/>
      <c r="W269" s="15"/>
      <c r="X269" s="15"/>
      <c r="Y269" s="15"/>
      <c r="Z269" s="15"/>
    </row>
    <row r="270" spans="1:26" x14ac:dyDescent="0.3">
      <c r="A270" s="15"/>
      <c r="B270" s="15"/>
      <c r="C270" s="15"/>
      <c r="D270" s="15"/>
      <c r="E270" s="15"/>
      <c r="F270" s="15"/>
      <c r="G270" s="15"/>
      <c r="H270" s="52"/>
      <c r="I270" s="52"/>
      <c r="J270" s="15"/>
      <c r="K270" s="15"/>
      <c r="L270" s="15"/>
      <c r="M270" s="15"/>
      <c r="N270" s="15"/>
      <c r="O270" s="15"/>
      <c r="P270" s="15"/>
      <c r="Q270" s="15"/>
      <c r="R270" s="15"/>
      <c r="S270" s="15"/>
      <c r="T270" s="15"/>
      <c r="U270" s="15"/>
      <c r="V270" s="15"/>
      <c r="W270" s="15"/>
      <c r="X270" s="15"/>
      <c r="Y270" s="15"/>
      <c r="Z270" s="15"/>
    </row>
    <row r="271" spans="1:26" x14ac:dyDescent="0.3">
      <c r="A271" s="15"/>
      <c r="B271" s="15"/>
      <c r="C271" s="15"/>
      <c r="D271" s="15"/>
      <c r="E271" s="15"/>
      <c r="F271" s="15"/>
      <c r="G271" s="15"/>
      <c r="H271" s="52"/>
      <c r="I271" s="52"/>
      <c r="J271" s="15"/>
      <c r="K271" s="15"/>
      <c r="L271" s="15"/>
      <c r="M271" s="15"/>
      <c r="N271" s="15"/>
      <c r="O271" s="15"/>
      <c r="P271" s="15"/>
      <c r="Q271" s="15"/>
      <c r="R271" s="15"/>
      <c r="S271" s="15"/>
      <c r="T271" s="15"/>
      <c r="U271" s="15"/>
      <c r="V271" s="15"/>
      <c r="W271" s="15"/>
      <c r="X271" s="15"/>
      <c r="Y271" s="15"/>
      <c r="Z271" s="15"/>
    </row>
    <row r="272" spans="1:26" x14ac:dyDescent="0.3">
      <c r="A272" s="15"/>
      <c r="B272" s="15"/>
      <c r="C272" s="15"/>
      <c r="D272" s="15"/>
      <c r="E272" s="15"/>
      <c r="F272" s="15"/>
      <c r="G272" s="15"/>
      <c r="H272" s="52"/>
      <c r="I272" s="52"/>
      <c r="J272" s="15"/>
      <c r="K272" s="15"/>
      <c r="L272" s="15"/>
      <c r="M272" s="15"/>
      <c r="N272" s="15"/>
      <c r="O272" s="15"/>
      <c r="P272" s="15"/>
      <c r="Q272" s="15"/>
      <c r="R272" s="15"/>
      <c r="S272" s="15"/>
      <c r="T272" s="15"/>
      <c r="U272" s="15"/>
      <c r="V272" s="15"/>
      <c r="W272" s="15"/>
      <c r="X272" s="15"/>
      <c r="Y272" s="15"/>
      <c r="Z272" s="15"/>
    </row>
    <row r="273" spans="1:26" x14ac:dyDescent="0.3">
      <c r="A273" s="15"/>
      <c r="B273" s="15"/>
      <c r="C273" s="15"/>
      <c r="D273" s="15"/>
      <c r="E273" s="15"/>
      <c r="F273" s="15"/>
      <c r="G273" s="15"/>
      <c r="H273" s="52"/>
      <c r="I273" s="52"/>
      <c r="J273" s="15"/>
      <c r="K273" s="15"/>
      <c r="L273" s="15"/>
      <c r="M273" s="15"/>
      <c r="N273" s="15"/>
      <c r="O273" s="15"/>
      <c r="P273" s="15"/>
      <c r="Q273" s="15"/>
      <c r="R273" s="15"/>
      <c r="S273" s="15"/>
      <c r="T273" s="15"/>
      <c r="U273" s="15"/>
      <c r="V273" s="15"/>
      <c r="W273" s="15"/>
      <c r="X273" s="15"/>
      <c r="Y273" s="15"/>
      <c r="Z273" s="15"/>
    </row>
    <row r="274" spans="1:26" x14ac:dyDescent="0.3">
      <c r="A274" s="15"/>
      <c r="B274" s="15"/>
      <c r="C274" s="15"/>
      <c r="D274" s="15"/>
      <c r="E274" s="15"/>
      <c r="F274" s="15"/>
      <c r="G274" s="15"/>
      <c r="H274" s="52"/>
      <c r="I274" s="52"/>
      <c r="J274" s="15"/>
      <c r="K274" s="15"/>
      <c r="L274" s="15"/>
      <c r="M274" s="15"/>
      <c r="N274" s="15"/>
      <c r="O274" s="15"/>
      <c r="P274" s="15"/>
      <c r="Q274" s="15"/>
      <c r="R274" s="15"/>
      <c r="S274" s="15"/>
      <c r="T274" s="15"/>
      <c r="U274" s="15"/>
      <c r="V274" s="15"/>
      <c r="W274" s="15"/>
      <c r="X274" s="15"/>
      <c r="Y274" s="15"/>
      <c r="Z274" s="15"/>
    </row>
    <row r="275" spans="1:26" x14ac:dyDescent="0.3">
      <c r="A275" s="15"/>
      <c r="B275" s="15"/>
      <c r="C275" s="15"/>
      <c r="D275" s="15"/>
      <c r="E275" s="15"/>
      <c r="F275" s="15"/>
      <c r="G275" s="15"/>
      <c r="H275" s="52"/>
      <c r="I275" s="52"/>
      <c r="J275" s="15"/>
      <c r="K275" s="15"/>
      <c r="L275" s="15"/>
      <c r="M275" s="15"/>
      <c r="N275" s="15"/>
      <c r="O275" s="15"/>
      <c r="P275" s="15"/>
      <c r="Q275" s="15"/>
      <c r="R275" s="15"/>
      <c r="S275" s="15"/>
      <c r="T275" s="15"/>
      <c r="U275" s="15"/>
      <c r="V275" s="15"/>
      <c r="W275" s="15"/>
      <c r="X275" s="15"/>
      <c r="Y275" s="15"/>
      <c r="Z275" s="15"/>
    </row>
    <row r="276" spans="1:26" x14ac:dyDescent="0.3">
      <c r="A276" s="15"/>
      <c r="B276" s="15"/>
      <c r="C276" s="15"/>
      <c r="D276" s="15"/>
      <c r="E276" s="15"/>
      <c r="F276" s="15"/>
      <c r="G276" s="15"/>
      <c r="H276" s="52"/>
      <c r="I276" s="52"/>
      <c r="J276" s="15"/>
      <c r="K276" s="15"/>
      <c r="L276" s="15"/>
      <c r="M276" s="15"/>
      <c r="N276" s="15"/>
      <c r="O276" s="15"/>
      <c r="P276" s="15"/>
      <c r="Q276" s="15"/>
      <c r="R276" s="15"/>
      <c r="S276" s="15"/>
      <c r="T276" s="15"/>
      <c r="U276" s="15"/>
      <c r="V276" s="15"/>
      <c r="W276" s="15"/>
      <c r="X276" s="15"/>
      <c r="Y276" s="15"/>
      <c r="Z276" s="15"/>
    </row>
    <row r="277" spans="1:26" x14ac:dyDescent="0.3">
      <c r="A277" s="15"/>
      <c r="B277" s="15"/>
      <c r="C277" s="15"/>
      <c r="D277" s="15"/>
      <c r="E277" s="15"/>
      <c r="F277" s="15"/>
      <c r="G277" s="15"/>
      <c r="H277" s="52"/>
      <c r="I277" s="52"/>
      <c r="J277" s="15"/>
      <c r="K277" s="15"/>
      <c r="L277" s="15"/>
      <c r="M277" s="15"/>
      <c r="N277" s="15"/>
      <c r="O277" s="15"/>
      <c r="P277" s="15"/>
      <c r="Q277" s="15"/>
      <c r="R277" s="15"/>
      <c r="S277" s="15"/>
      <c r="T277" s="15"/>
      <c r="U277" s="15"/>
      <c r="V277" s="15"/>
      <c r="W277" s="15"/>
      <c r="X277" s="15"/>
      <c r="Y277" s="15"/>
      <c r="Z277" s="15"/>
    </row>
    <row r="278" spans="1:26" x14ac:dyDescent="0.3">
      <c r="A278" s="15"/>
      <c r="B278" s="15"/>
      <c r="C278" s="15"/>
      <c r="D278" s="15"/>
      <c r="E278" s="15"/>
      <c r="F278" s="15"/>
      <c r="G278" s="15"/>
      <c r="H278" s="52"/>
      <c r="I278" s="52"/>
      <c r="J278" s="15"/>
      <c r="K278" s="15"/>
      <c r="L278" s="15"/>
      <c r="M278" s="15"/>
      <c r="N278" s="15"/>
      <c r="O278" s="15"/>
      <c r="P278" s="15"/>
      <c r="Q278" s="15"/>
      <c r="R278" s="15"/>
      <c r="S278" s="15"/>
      <c r="T278" s="15"/>
      <c r="U278" s="15"/>
      <c r="V278" s="15"/>
      <c r="W278" s="15"/>
      <c r="X278" s="15"/>
      <c r="Y278" s="15"/>
      <c r="Z278" s="15"/>
    </row>
    <row r="279" spans="1:26" x14ac:dyDescent="0.3">
      <c r="A279" s="15"/>
      <c r="B279" s="15"/>
      <c r="C279" s="15"/>
      <c r="D279" s="15"/>
      <c r="E279" s="15"/>
      <c r="F279" s="15"/>
      <c r="G279" s="15"/>
      <c r="H279" s="52"/>
      <c r="I279" s="52"/>
      <c r="J279" s="15"/>
      <c r="K279" s="15"/>
      <c r="L279" s="15"/>
      <c r="M279" s="15"/>
      <c r="N279" s="15"/>
      <c r="O279" s="15"/>
      <c r="P279" s="15"/>
      <c r="Q279" s="15"/>
      <c r="R279" s="15"/>
      <c r="S279" s="15"/>
      <c r="T279" s="15"/>
      <c r="U279" s="15"/>
      <c r="V279" s="15"/>
      <c r="W279" s="15"/>
      <c r="X279" s="15"/>
      <c r="Y279" s="15"/>
      <c r="Z279" s="15"/>
    </row>
    <row r="280" spans="1:26" x14ac:dyDescent="0.3">
      <c r="A280" s="15"/>
      <c r="B280" s="15"/>
      <c r="C280" s="15"/>
      <c r="D280" s="15"/>
      <c r="E280" s="15"/>
      <c r="F280" s="15"/>
      <c r="G280" s="15"/>
      <c r="H280" s="52"/>
      <c r="I280" s="52"/>
      <c r="J280" s="15"/>
      <c r="K280" s="15"/>
      <c r="L280" s="15"/>
      <c r="M280" s="15"/>
      <c r="N280" s="15"/>
      <c r="O280" s="15"/>
      <c r="P280" s="15"/>
      <c r="Q280" s="15"/>
      <c r="R280" s="15"/>
      <c r="S280" s="15"/>
      <c r="T280" s="15"/>
      <c r="U280" s="15"/>
      <c r="V280" s="15"/>
      <c r="W280" s="15"/>
      <c r="X280" s="15"/>
      <c r="Y280" s="15"/>
      <c r="Z280" s="15"/>
    </row>
    <row r="281" spans="1:26" x14ac:dyDescent="0.3">
      <c r="A281" s="15"/>
      <c r="B281" s="15"/>
      <c r="C281" s="15"/>
      <c r="D281" s="15"/>
      <c r="E281" s="15"/>
      <c r="F281" s="15"/>
      <c r="G281" s="15"/>
      <c r="H281" s="52"/>
      <c r="I281" s="52"/>
      <c r="J281" s="15"/>
      <c r="K281" s="15"/>
      <c r="L281" s="15"/>
      <c r="M281" s="15"/>
      <c r="N281" s="15"/>
      <c r="O281" s="15"/>
      <c r="P281" s="15"/>
      <c r="Q281" s="15"/>
      <c r="R281" s="15"/>
      <c r="S281" s="15"/>
      <c r="T281" s="15"/>
      <c r="U281" s="15"/>
      <c r="V281" s="15"/>
      <c r="W281" s="15"/>
      <c r="X281" s="15"/>
      <c r="Y281" s="15"/>
      <c r="Z281" s="15"/>
    </row>
    <row r="282" spans="1:26" x14ac:dyDescent="0.3">
      <c r="A282" s="15"/>
      <c r="B282" s="15"/>
      <c r="C282" s="15"/>
      <c r="D282" s="15"/>
      <c r="E282" s="15"/>
      <c r="F282" s="15"/>
      <c r="G282" s="15"/>
      <c r="H282" s="52"/>
      <c r="I282" s="52"/>
      <c r="J282" s="15"/>
      <c r="K282" s="15"/>
      <c r="L282" s="15"/>
      <c r="M282" s="15"/>
      <c r="N282" s="15"/>
      <c r="O282" s="15"/>
      <c r="P282" s="15"/>
      <c r="Q282" s="15"/>
      <c r="R282" s="15"/>
      <c r="S282" s="15"/>
      <c r="T282" s="15"/>
      <c r="U282" s="15"/>
      <c r="V282" s="15"/>
      <c r="W282" s="15"/>
      <c r="X282" s="15"/>
      <c r="Y282" s="15"/>
      <c r="Z282" s="15"/>
    </row>
    <row r="283" spans="1:26" x14ac:dyDescent="0.3">
      <c r="A283" s="15"/>
      <c r="B283" s="15"/>
      <c r="C283" s="15"/>
      <c r="D283" s="15"/>
      <c r="E283" s="15"/>
      <c r="F283" s="15"/>
      <c r="G283" s="15"/>
      <c r="H283" s="52"/>
      <c r="I283" s="52"/>
      <c r="J283" s="15"/>
      <c r="K283" s="15"/>
      <c r="L283" s="15"/>
      <c r="M283" s="15"/>
      <c r="N283" s="15"/>
      <c r="O283" s="15"/>
      <c r="P283" s="15"/>
      <c r="Q283" s="15"/>
      <c r="R283" s="15"/>
      <c r="S283" s="15"/>
      <c r="T283" s="15"/>
      <c r="U283" s="15"/>
      <c r="V283" s="15"/>
      <c r="W283" s="15"/>
      <c r="X283" s="15"/>
      <c r="Y283" s="15"/>
      <c r="Z283" s="15"/>
    </row>
    <row r="284" spans="1:26" x14ac:dyDescent="0.3">
      <c r="A284" s="15"/>
      <c r="B284" s="15"/>
      <c r="C284" s="15"/>
      <c r="D284" s="15"/>
      <c r="E284" s="15"/>
      <c r="F284" s="15"/>
      <c r="G284" s="15"/>
      <c r="H284" s="52"/>
      <c r="I284" s="52"/>
      <c r="J284" s="15"/>
      <c r="K284" s="15"/>
      <c r="L284" s="15"/>
      <c r="M284" s="15"/>
      <c r="N284" s="15"/>
      <c r="O284" s="15"/>
      <c r="P284" s="15"/>
      <c r="Q284" s="15"/>
      <c r="R284" s="15"/>
      <c r="S284" s="15"/>
      <c r="T284" s="15"/>
      <c r="U284" s="15"/>
      <c r="V284" s="15"/>
      <c r="W284" s="15"/>
      <c r="X284" s="15"/>
      <c r="Y284" s="15"/>
      <c r="Z284" s="15"/>
    </row>
    <row r="285" spans="1:26" x14ac:dyDescent="0.3">
      <c r="A285" s="15"/>
      <c r="B285" s="15"/>
      <c r="C285" s="15"/>
      <c r="D285" s="15"/>
      <c r="E285" s="15"/>
      <c r="F285" s="15"/>
      <c r="G285" s="15"/>
      <c r="H285" s="52"/>
      <c r="I285" s="52"/>
      <c r="J285" s="15"/>
      <c r="K285" s="15"/>
      <c r="L285" s="15"/>
      <c r="M285" s="15"/>
      <c r="N285" s="15"/>
      <c r="O285" s="15"/>
      <c r="P285" s="15"/>
      <c r="Q285" s="15"/>
      <c r="R285" s="15"/>
      <c r="S285" s="15"/>
      <c r="T285" s="15"/>
      <c r="U285" s="15"/>
      <c r="V285" s="15"/>
      <c r="W285" s="15"/>
      <c r="X285" s="15"/>
      <c r="Y285" s="15"/>
      <c r="Z285" s="15"/>
    </row>
    <row r="286" spans="1:26" x14ac:dyDescent="0.3">
      <c r="A286" s="15"/>
      <c r="B286" s="15"/>
      <c r="C286" s="15"/>
      <c r="D286" s="15"/>
      <c r="E286" s="15"/>
      <c r="F286" s="15"/>
      <c r="G286" s="15"/>
      <c r="H286" s="52"/>
      <c r="I286" s="52"/>
      <c r="J286" s="15"/>
      <c r="K286" s="15"/>
      <c r="L286" s="15"/>
      <c r="M286" s="15"/>
      <c r="N286" s="15"/>
      <c r="O286" s="15"/>
      <c r="P286" s="15"/>
      <c r="Q286" s="15"/>
      <c r="R286" s="15"/>
      <c r="S286" s="15"/>
      <c r="T286" s="15"/>
      <c r="U286" s="15"/>
      <c r="V286" s="15"/>
      <c r="W286" s="15"/>
      <c r="X286" s="15"/>
      <c r="Y286" s="15"/>
      <c r="Z286" s="15"/>
    </row>
    <row r="287" spans="1:26" x14ac:dyDescent="0.3">
      <c r="A287" s="15"/>
      <c r="B287" s="15"/>
      <c r="C287" s="15"/>
      <c r="D287" s="15"/>
      <c r="E287" s="15"/>
      <c r="F287" s="15"/>
      <c r="G287" s="15"/>
      <c r="H287" s="52"/>
      <c r="I287" s="52"/>
      <c r="J287" s="15"/>
      <c r="K287" s="15"/>
      <c r="L287" s="15"/>
      <c r="M287" s="15"/>
      <c r="N287" s="15"/>
      <c r="O287" s="15"/>
      <c r="P287" s="15"/>
      <c r="Q287" s="15"/>
      <c r="R287" s="15"/>
      <c r="S287" s="15"/>
      <c r="T287" s="15"/>
      <c r="U287" s="15"/>
      <c r="V287" s="15"/>
      <c r="W287" s="15"/>
      <c r="X287" s="15"/>
      <c r="Y287" s="15"/>
      <c r="Z287" s="15"/>
    </row>
    <row r="288" spans="1:26" x14ac:dyDescent="0.3">
      <c r="A288" s="15"/>
      <c r="B288" s="15"/>
      <c r="C288" s="15"/>
      <c r="D288" s="15"/>
      <c r="E288" s="15"/>
      <c r="F288" s="15"/>
      <c r="G288" s="15"/>
      <c r="H288" s="52"/>
      <c r="I288" s="52"/>
      <c r="J288" s="15"/>
      <c r="K288" s="15"/>
      <c r="L288" s="15"/>
      <c r="M288" s="15"/>
      <c r="N288" s="15"/>
      <c r="O288" s="15"/>
      <c r="P288" s="15"/>
      <c r="Q288" s="15"/>
      <c r="R288" s="15"/>
      <c r="S288" s="15"/>
      <c r="T288" s="15"/>
      <c r="U288" s="15"/>
      <c r="V288" s="15"/>
      <c r="W288" s="15"/>
      <c r="X288" s="15"/>
      <c r="Y288" s="15"/>
      <c r="Z288" s="15"/>
    </row>
    <row r="289" spans="1:26" x14ac:dyDescent="0.3">
      <c r="A289" s="15"/>
      <c r="B289" s="15"/>
      <c r="C289" s="15"/>
      <c r="D289" s="15"/>
      <c r="E289" s="15"/>
      <c r="F289" s="15"/>
      <c r="G289" s="15"/>
      <c r="H289" s="52"/>
      <c r="I289" s="52"/>
      <c r="J289" s="15"/>
      <c r="K289" s="15"/>
      <c r="L289" s="15"/>
      <c r="M289" s="15"/>
      <c r="N289" s="15"/>
      <c r="O289" s="15"/>
      <c r="P289" s="15"/>
      <c r="Q289" s="15"/>
      <c r="R289" s="15"/>
      <c r="S289" s="15"/>
      <c r="T289" s="15"/>
      <c r="U289" s="15"/>
      <c r="V289" s="15"/>
      <c r="W289" s="15"/>
      <c r="X289" s="15"/>
      <c r="Y289" s="15"/>
      <c r="Z289" s="15"/>
    </row>
    <row r="290" spans="1:26" x14ac:dyDescent="0.3">
      <c r="A290" s="15"/>
      <c r="B290" s="15"/>
      <c r="C290" s="15"/>
      <c r="D290" s="15"/>
      <c r="E290" s="15"/>
      <c r="F290" s="15"/>
      <c r="G290" s="15"/>
      <c r="H290" s="52"/>
      <c r="I290" s="52"/>
      <c r="J290" s="15"/>
      <c r="K290" s="15"/>
      <c r="L290" s="15"/>
      <c r="M290" s="15"/>
      <c r="N290" s="15"/>
      <c r="O290" s="15"/>
      <c r="P290" s="15"/>
      <c r="Q290" s="15"/>
      <c r="R290" s="15"/>
      <c r="S290" s="15"/>
      <c r="T290" s="15"/>
      <c r="U290" s="15"/>
      <c r="V290" s="15"/>
      <c r="W290" s="15"/>
      <c r="X290" s="15"/>
      <c r="Y290" s="15"/>
      <c r="Z290" s="15"/>
    </row>
    <row r="291" spans="1:26" x14ac:dyDescent="0.3">
      <c r="A291" s="15"/>
      <c r="B291" s="15"/>
      <c r="C291" s="15"/>
      <c r="D291" s="15"/>
      <c r="E291" s="15"/>
      <c r="F291" s="15"/>
      <c r="G291" s="15"/>
      <c r="H291" s="52"/>
      <c r="I291" s="52"/>
      <c r="J291" s="15"/>
      <c r="K291" s="15"/>
      <c r="L291" s="15"/>
      <c r="M291" s="15"/>
      <c r="N291" s="15"/>
      <c r="O291" s="15"/>
      <c r="P291" s="15"/>
      <c r="Q291" s="15"/>
      <c r="R291" s="15"/>
      <c r="S291" s="15"/>
      <c r="T291" s="15"/>
      <c r="U291" s="15"/>
      <c r="V291" s="15"/>
      <c r="W291" s="15"/>
      <c r="X291" s="15"/>
      <c r="Y291" s="15"/>
      <c r="Z291" s="15"/>
    </row>
    <row r="292" spans="1:26" x14ac:dyDescent="0.3">
      <c r="A292" s="15"/>
      <c r="B292" s="15"/>
      <c r="C292" s="15"/>
      <c r="D292" s="15"/>
      <c r="E292" s="15"/>
      <c r="F292" s="15"/>
      <c r="G292" s="15"/>
      <c r="H292" s="52"/>
      <c r="I292" s="52"/>
      <c r="J292" s="15"/>
      <c r="K292" s="15"/>
      <c r="L292" s="15"/>
      <c r="M292" s="15"/>
      <c r="N292" s="15"/>
      <c r="O292" s="15"/>
      <c r="P292" s="15"/>
      <c r="Q292" s="15"/>
      <c r="R292" s="15"/>
      <c r="S292" s="15"/>
      <c r="T292" s="15"/>
      <c r="U292" s="15"/>
      <c r="V292" s="15"/>
      <c r="W292" s="15"/>
      <c r="X292" s="15"/>
      <c r="Y292" s="15"/>
      <c r="Z292" s="15"/>
    </row>
    <row r="293" spans="1:26" x14ac:dyDescent="0.3">
      <c r="A293" s="15"/>
      <c r="B293" s="15"/>
      <c r="C293" s="15"/>
      <c r="D293" s="15"/>
      <c r="E293" s="15"/>
      <c r="F293" s="15"/>
      <c r="G293" s="15"/>
      <c r="H293" s="52"/>
      <c r="I293" s="52"/>
      <c r="J293" s="15"/>
      <c r="K293" s="15"/>
      <c r="L293" s="15"/>
      <c r="M293" s="15"/>
      <c r="N293" s="15"/>
      <c r="O293" s="15"/>
      <c r="P293" s="15"/>
      <c r="Q293" s="15"/>
      <c r="R293" s="15"/>
      <c r="S293" s="15"/>
      <c r="T293" s="15"/>
      <c r="U293" s="15"/>
      <c r="V293" s="15"/>
      <c r="W293" s="15"/>
      <c r="X293" s="15"/>
      <c r="Y293" s="15"/>
      <c r="Z293" s="15"/>
    </row>
    <row r="294" spans="1:26" x14ac:dyDescent="0.3">
      <c r="A294" s="15"/>
      <c r="B294" s="15"/>
      <c r="C294" s="15"/>
      <c r="D294" s="15"/>
      <c r="E294" s="15"/>
      <c r="F294" s="15"/>
      <c r="G294" s="15"/>
      <c r="H294" s="52"/>
      <c r="I294" s="52"/>
      <c r="J294" s="15"/>
      <c r="K294" s="15"/>
      <c r="L294" s="15"/>
      <c r="M294" s="15"/>
      <c r="N294" s="15"/>
      <c r="O294" s="15"/>
      <c r="P294" s="15"/>
      <c r="Q294" s="15"/>
      <c r="R294" s="15"/>
      <c r="S294" s="15"/>
      <c r="T294" s="15"/>
      <c r="U294" s="15"/>
      <c r="V294" s="15"/>
      <c r="W294" s="15"/>
      <c r="X294" s="15"/>
      <c r="Y294" s="15"/>
      <c r="Z294" s="15"/>
    </row>
    <row r="295" spans="1:26" x14ac:dyDescent="0.3">
      <c r="A295" s="15"/>
      <c r="B295" s="15"/>
      <c r="C295" s="15"/>
      <c r="D295" s="15"/>
      <c r="E295" s="15"/>
      <c r="F295" s="15"/>
      <c r="G295" s="15"/>
      <c r="H295" s="52"/>
      <c r="I295" s="52"/>
      <c r="J295" s="15"/>
      <c r="K295" s="15"/>
      <c r="L295" s="15"/>
      <c r="M295" s="15"/>
      <c r="N295" s="15"/>
      <c r="O295" s="15"/>
      <c r="P295" s="15"/>
      <c r="Q295" s="15"/>
      <c r="R295" s="15"/>
      <c r="S295" s="15"/>
      <c r="T295" s="15"/>
      <c r="U295" s="15"/>
      <c r="V295" s="15"/>
      <c r="W295" s="15"/>
      <c r="X295" s="15"/>
      <c r="Y295" s="15"/>
      <c r="Z295" s="15"/>
    </row>
    <row r="296" spans="1:26" x14ac:dyDescent="0.3">
      <c r="A296" s="15"/>
      <c r="B296" s="15"/>
      <c r="C296" s="15"/>
      <c r="D296" s="15"/>
      <c r="E296" s="15"/>
      <c r="F296" s="15"/>
      <c r="G296" s="15"/>
      <c r="H296" s="52"/>
      <c r="I296" s="52"/>
      <c r="J296" s="15"/>
      <c r="K296" s="15"/>
      <c r="L296" s="15"/>
      <c r="M296" s="15"/>
      <c r="N296" s="15"/>
      <c r="O296" s="15"/>
      <c r="P296" s="15"/>
      <c r="Q296" s="15"/>
      <c r="R296" s="15"/>
      <c r="S296" s="15"/>
      <c r="T296" s="15"/>
      <c r="U296" s="15"/>
      <c r="V296" s="15"/>
      <c r="W296" s="15"/>
      <c r="X296" s="15"/>
      <c r="Y296" s="15"/>
      <c r="Z296" s="15"/>
    </row>
    <row r="297" spans="1:26" x14ac:dyDescent="0.3">
      <c r="A297" s="15"/>
      <c r="B297" s="15"/>
      <c r="C297" s="15"/>
      <c r="D297" s="15"/>
      <c r="E297" s="15"/>
      <c r="F297" s="15"/>
      <c r="G297" s="15"/>
      <c r="H297" s="52"/>
      <c r="I297" s="52"/>
      <c r="J297" s="15"/>
      <c r="K297" s="15"/>
      <c r="L297" s="15"/>
      <c r="M297" s="15"/>
      <c r="N297" s="15"/>
      <c r="O297" s="15"/>
      <c r="P297" s="15"/>
      <c r="Q297" s="15"/>
      <c r="R297" s="15"/>
      <c r="S297" s="15"/>
      <c r="T297" s="15"/>
      <c r="U297" s="15"/>
      <c r="V297" s="15"/>
      <c r="W297" s="15"/>
      <c r="X297" s="15"/>
      <c r="Y297" s="15"/>
      <c r="Z297" s="15"/>
    </row>
    <row r="298" spans="1:26" x14ac:dyDescent="0.3">
      <c r="A298" s="15"/>
      <c r="B298" s="15"/>
      <c r="C298" s="15"/>
      <c r="D298" s="15"/>
      <c r="E298" s="15"/>
      <c r="F298" s="15"/>
      <c r="G298" s="15"/>
      <c r="H298" s="52"/>
      <c r="I298" s="52"/>
      <c r="J298" s="15"/>
      <c r="K298" s="15"/>
      <c r="L298" s="15"/>
      <c r="M298" s="15"/>
      <c r="N298" s="15"/>
      <c r="O298" s="15"/>
      <c r="P298" s="15"/>
      <c r="Q298" s="15"/>
      <c r="R298" s="15"/>
      <c r="S298" s="15"/>
      <c r="T298" s="15"/>
      <c r="U298" s="15"/>
      <c r="V298" s="15"/>
      <c r="W298" s="15"/>
      <c r="X298" s="15"/>
      <c r="Y298" s="15"/>
      <c r="Z298" s="15"/>
    </row>
    <row r="299" spans="1:26" x14ac:dyDescent="0.3">
      <c r="A299" s="15"/>
      <c r="B299" s="15"/>
      <c r="C299" s="15"/>
      <c r="D299" s="15"/>
      <c r="E299" s="15"/>
      <c r="F299" s="15"/>
      <c r="G299" s="15"/>
      <c r="H299" s="52"/>
      <c r="I299" s="52"/>
      <c r="J299" s="15"/>
      <c r="K299" s="15"/>
      <c r="L299" s="15"/>
      <c r="M299" s="15"/>
      <c r="N299" s="15"/>
      <c r="O299" s="15"/>
      <c r="P299" s="15"/>
      <c r="Q299" s="15"/>
      <c r="R299" s="15"/>
      <c r="S299" s="15"/>
      <c r="T299" s="15"/>
      <c r="U299" s="15"/>
      <c r="V299" s="15"/>
      <c r="W299" s="15"/>
      <c r="X299" s="15"/>
      <c r="Y299" s="15"/>
      <c r="Z299" s="15"/>
    </row>
    <row r="300" spans="1:26" x14ac:dyDescent="0.3">
      <c r="A300" s="15"/>
      <c r="B300" s="15"/>
      <c r="C300" s="15"/>
      <c r="D300" s="15"/>
      <c r="E300" s="15"/>
      <c r="F300" s="15"/>
      <c r="G300" s="15"/>
      <c r="H300" s="52"/>
      <c r="I300" s="52"/>
      <c r="J300" s="15"/>
      <c r="K300" s="15"/>
      <c r="L300" s="15"/>
      <c r="M300" s="15"/>
      <c r="N300" s="15"/>
      <c r="O300" s="15"/>
      <c r="P300" s="15"/>
      <c r="Q300" s="15"/>
      <c r="R300" s="15"/>
      <c r="S300" s="15"/>
      <c r="T300" s="15"/>
      <c r="U300" s="15"/>
      <c r="V300" s="15"/>
      <c r="W300" s="15"/>
      <c r="X300" s="15"/>
      <c r="Y300" s="15"/>
      <c r="Z300" s="15"/>
    </row>
    <row r="301" spans="1:26" x14ac:dyDescent="0.3">
      <c r="A301" s="15"/>
      <c r="B301" s="15"/>
      <c r="C301" s="15"/>
      <c r="D301" s="15"/>
      <c r="E301" s="15"/>
      <c r="F301" s="15"/>
      <c r="G301" s="15"/>
      <c r="H301" s="52"/>
      <c r="I301" s="52"/>
      <c r="J301" s="15"/>
      <c r="K301" s="15"/>
      <c r="L301" s="15"/>
      <c r="M301" s="15"/>
      <c r="N301" s="15"/>
      <c r="O301" s="15"/>
      <c r="P301" s="15"/>
      <c r="Q301" s="15"/>
      <c r="R301" s="15"/>
      <c r="S301" s="15"/>
      <c r="T301" s="15"/>
      <c r="U301" s="15"/>
      <c r="V301" s="15"/>
      <c r="W301" s="15"/>
      <c r="X301" s="15"/>
      <c r="Y301" s="15"/>
      <c r="Z301" s="15"/>
    </row>
    <row r="302" spans="1:26" x14ac:dyDescent="0.3">
      <c r="A302" s="15"/>
      <c r="B302" s="15"/>
      <c r="C302" s="15"/>
      <c r="D302" s="15"/>
      <c r="E302" s="15"/>
      <c r="F302" s="15"/>
      <c r="G302" s="15"/>
      <c r="H302" s="52"/>
      <c r="I302" s="52"/>
      <c r="J302" s="15"/>
      <c r="K302" s="15"/>
      <c r="L302" s="15"/>
      <c r="M302" s="15"/>
      <c r="N302" s="15"/>
      <c r="O302" s="15"/>
      <c r="P302" s="15"/>
      <c r="Q302" s="15"/>
      <c r="R302" s="15"/>
      <c r="S302" s="15"/>
      <c r="T302" s="15"/>
      <c r="U302" s="15"/>
      <c r="V302" s="15"/>
      <c r="W302" s="15"/>
      <c r="X302" s="15"/>
      <c r="Y302" s="15"/>
      <c r="Z302" s="15"/>
    </row>
    <row r="303" spans="1:26" x14ac:dyDescent="0.3">
      <c r="A303" s="15"/>
      <c r="B303" s="15"/>
      <c r="C303" s="15"/>
      <c r="D303" s="15"/>
      <c r="E303" s="15"/>
      <c r="F303" s="15"/>
      <c r="G303" s="15"/>
      <c r="H303" s="52"/>
      <c r="I303" s="52"/>
      <c r="J303" s="15"/>
      <c r="K303" s="15"/>
      <c r="L303" s="15"/>
      <c r="M303" s="15"/>
      <c r="N303" s="15"/>
      <c r="O303" s="15"/>
      <c r="P303" s="15"/>
      <c r="Q303" s="15"/>
      <c r="R303" s="15"/>
      <c r="S303" s="15"/>
      <c r="T303" s="15"/>
      <c r="U303" s="15"/>
      <c r="V303" s="15"/>
      <c r="W303" s="15"/>
      <c r="X303" s="15"/>
      <c r="Y303" s="15"/>
      <c r="Z303" s="15"/>
    </row>
    <row r="304" spans="1:26" x14ac:dyDescent="0.3">
      <c r="A304" s="15"/>
      <c r="B304" s="15"/>
      <c r="C304" s="15"/>
      <c r="D304" s="15"/>
      <c r="E304" s="15"/>
      <c r="F304" s="15"/>
      <c r="G304" s="15"/>
      <c r="H304" s="52"/>
      <c r="I304" s="52"/>
      <c r="J304" s="15"/>
      <c r="K304" s="15"/>
      <c r="L304" s="15"/>
      <c r="M304" s="15"/>
      <c r="N304" s="15"/>
      <c r="O304" s="15"/>
      <c r="P304" s="15"/>
      <c r="Q304" s="15"/>
      <c r="R304" s="15"/>
      <c r="S304" s="15"/>
      <c r="T304" s="15"/>
      <c r="U304" s="15"/>
      <c r="V304" s="15"/>
      <c r="W304" s="15"/>
      <c r="X304" s="15"/>
      <c r="Y304" s="15"/>
      <c r="Z304" s="15"/>
    </row>
    <row r="305" spans="1:26" x14ac:dyDescent="0.3">
      <c r="A305" s="15"/>
      <c r="B305" s="15"/>
      <c r="C305" s="15"/>
      <c r="D305" s="15"/>
      <c r="E305" s="15"/>
      <c r="F305" s="15"/>
      <c r="G305" s="15"/>
      <c r="H305" s="52"/>
      <c r="I305" s="52"/>
      <c r="J305" s="15"/>
      <c r="K305" s="15"/>
      <c r="L305" s="15"/>
      <c r="M305" s="15"/>
      <c r="N305" s="15"/>
      <c r="O305" s="15"/>
      <c r="P305" s="15"/>
      <c r="Q305" s="15"/>
      <c r="R305" s="15"/>
      <c r="S305" s="15"/>
      <c r="T305" s="15"/>
      <c r="U305" s="15"/>
      <c r="V305" s="15"/>
      <c r="W305" s="15"/>
      <c r="X305" s="15"/>
      <c r="Y305" s="15"/>
      <c r="Z305" s="15"/>
    </row>
    <row r="306" spans="1:26" x14ac:dyDescent="0.3">
      <c r="A306" s="15"/>
      <c r="B306" s="15"/>
      <c r="C306" s="15"/>
      <c r="D306" s="15"/>
      <c r="E306" s="15"/>
      <c r="F306" s="15"/>
      <c r="G306" s="15"/>
      <c r="H306" s="52"/>
      <c r="I306" s="52"/>
      <c r="J306" s="15"/>
      <c r="K306" s="15"/>
      <c r="L306" s="15"/>
      <c r="M306" s="15"/>
      <c r="N306" s="15"/>
      <c r="O306" s="15"/>
      <c r="P306" s="15"/>
      <c r="Q306" s="15"/>
      <c r="R306" s="15"/>
      <c r="S306" s="15"/>
      <c r="T306" s="15"/>
      <c r="U306" s="15"/>
      <c r="V306" s="15"/>
      <c r="W306" s="15"/>
      <c r="X306" s="15"/>
      <c r="Y306" s="15"/>
      <c r="Z306" s="15"/>
    </row>
    <row r="307" spans="1:26" x14ac:dyDescent="0.3">
      <c r="A307" s="15"/>
      <c r="B307" s="15"/>
      <c r="C307" s="15"/>
      <c r="D307" s="15"/>
      <c r="E307" s="15"/>
      <c r="F307" s="15"/>
      <c r="G307" s="15"/>
      <c r="H307" s="52"/>
      <c r="I307" s="52"/>
      <c r="J307" s="15"/>
      <c r="K307" s="15"/>
      <c r="L307" s="15"/>
      <c r="M307" s="15"/>
      <c r="N307" s="15"/>
      <c r="O307" s="15"/>
      <c r="P307" s="15"/>
      <c r="Q307" s="15"/>
      <c r="R307" s="15"/>
      <c r="S307" s="15"/>
      <c r="T307" s="15"/>
      <c r="U307" s="15"/>
      <c r="V307" s="15"/>
      <c r="W307" s="15"/>
      <c r="X307" s="15"/>
      <c r="Y307" s="15"/>
      <c r="Z307" s="15"/>
    </row>
    <row r="308" spans="1:26" x14ac:dyDescent="0.3">
      <c r="A308" s="15"/>
      <c r="B308" s="15"/>
      <c r="C308" s="15"/>
      <c r="D308" s="15"/>
      <c r="E308" s="15"/>
      <c r="F308" s="15"/>
      <c r="G308" s="15"/>
      <c r="H308" s="52"/>
      <c r="I308" s="52"/>
      <c r="J308" s="15"/>
      <c r="K308" s="15"/>
      <c r="L308" s="15"/>
      <c r="M308" s="15"/>
      <c r="N308" s="15"/>
      <c r="O308" s="15"/>
      <c r="P308" s="15"/>
      <c r="Q308" s="15"/>
      <c r="R308" s="15"/>
      <c r="S308" s="15"/>
      <c r="T308" s="15"/>
      <c r="U308" s="15"/>
      <c r="V308" s="15"/>
      <c r="W308" s="15"/>
      <c r="X308" s="15"/>
      <c r="Y308" s="15"/>
      <c r="Z308" s="15"/>
    </row>
    <row r="309" spans="1:26" x14ac:dyDescent="0.3">
      <c r="A309" s="15"/>
      <c r="B309" s="15"/>
      <c r="C309" s="15"/>
      <c r="D309" s="15"/>
      <c r="E309" s="15"/>
      <c r="F309" s="15"/>
      <c r="G309" s="15"/>
      <c r="H309" s="52"/>
      <c r="I309" s="52"/>
      <c r="J309" s="15"/>
      <c r="K309" s="15"/>
      <c r="L309" s="15"/>
      <c r="M309" s="15"/>
      <c r="N309" s="15"/>
      <c r="O309" s="15"/>
      <c r="P309" s="15"/>
      <c r="Q309" s="15"/>
      <c r="R309" s="15"/>
      <c r="S309" s="15"/>
      <c r="T309" s="15"/>
      <c r="U309" s="15"/>
      <c r="V309" s="15"/>
      <c r="W309" s="15"/>
      <c r="X309" s="15"/>
      <c r="Y309" s="15"/>
      <c r="Z309" s="15"/>
    </row>
    <row r="310" spans="1:26" x14ac:dyDescent="0.3">
      <c r="A310" s="15"/>
      <c r="B310" s="15"/>
      <c r="C310" s="15"/>
      <c r="D310" s="15"/>
      <c r="E310" s="15"/>
      <c r="F310" s="15"/>
      <c r="G310" s="15"/>
      <c r="H310" s="52"/>
      <c r="I310" s="52"/>
      <c r="J310" s="15"/>
      <c r="K310" s="15"/>
      <c r="L310" s="15"/>
      <c r="M310" s="15"/>
      <c r="N310" s="15"/>
      <c r="O310" s="15"/>
      <c r="P310" s="15"/>
      <c r="Q310" s="15"/>
      <c r="R310" s="15"/>
      <c r="S310" s="15"/>
      <c r="T310" s="15"/>
      <c r="U310" s="15"/>
      <c r="V310" s="15"/>
      <c r="W310" s="15"/>
      <c r="X310" s="15"/>
      <c r="Y310" s="15"/>
      <c r="Z310" s="15"/>
    </row>
    <row r="311" spans="1:26" x14ac:dyDescent="0.3">
      <c r="A311" s="15"/>
      <c r="B311" s="15"/>
      <c r="C311" s="15"/>
      <c r="D311" s="15"/>
      <c r="E311" s="15"/>
      <c r="F311" s="15"/>
      <c r="G311" s="15"/>
      <c r="H311" s="52"/>
      <c r="I311" s="52"/>
      <c r="J311" s="15"/>
      <c r="K311" s="15"/>
      <c r="L311" s="15"/>
      <c r="M311" s="15"/>
      <c r="N311" s="15"/>
      <c r="O311" s="15"/>
      <c r="P311" s="15"/>
      <c r="Q311" s="15"/>
      <c r="R311" s="15"/>
      <c r="S311" s="15"/>
      <c r="T311" s="15"/>
      <c r="U311" s="15"/>
      <c r="V311" s="15"/>
      <c r="W311" s="15"/>
      <c r="X311" s="15"/>
      <c r="Y311" s="15"/>
      <c r="Z311" s="15"/>
    </row>
    <row r="312" spans="1:26" x14ac:dyDescent="0.3">
      <c r="A312" s="15"/>
      <c r="B312" s="15"/>
      <c r="C312" s="15"/>
      <c r="D312" s="15"/>
      <c r="E312" s="15"/>
      <c r="F312" s="15"/>
      <c r="G312" s="15"/>
      <c r="H312" s="52"/>
      <c r="I312" s="52"/>
      <c r="J312" s="15"/>
      <c r="K312" s="15"/>
      <c r="L312" s="15"/>
      <c r="M312" s="15"/>
      <c r="N312" s="15"/>
      <c r="O312" s="15"/>
      <c r="P312" s="15"/>
      <c r="Q312" s="15"/>
      <c r="R312" s="15"/>
      <c r="S312" s="15"/>
      <c r="T312" s="15"/>
      <c r="U312" s="15"/>
      <c r="V312" s="15"/>
      <c r="W312" s="15"/>
      <c r="X312" s="15"/>
      <c r="Y312" s="15"/>
      <c r="Z312" s="15"/>
    </row>
    <row r="313" spans="1:26" x14ac:dyDescent="0.3">
      <c r="A313" s="15"/>
      <c r="B313" s="15"/>
      <c r="C313" s="15"/>
      <c r="D313" s="15"/>
      <c r="E313" s="15"/>
      <c r="F313" s="15"/>
      <c r="G313" s="15"/>
      <c r="H313" s="52"/>
      <c r="I313" s="52"/>
      <c r="J313" s="15"/>
      <c r="K313" s="15"/>
      <c r="L313" s="15"/>
      <c r="M313" s="15"/>
      <c r="N313" s="15"/>
      <c r="O313" s="15"/>
      <c r="P313" s="15"/>
      <c r="Q313" s="15"/>
      <c r="R313" s="15"/>
      <c r="S313" s="15"/>
      <c r="T313" s="15"/>
      <c r="U313" s="15"/>
      <c r="V313" s="15"/>
      <c r="W313" s="15"/>
      <c r="X313" s="15"/>
      <c r="Y313" s="15"/>
      <c r="Z313" s="15"/>
    </row>
    <row r="314" spans="1:26" x14ac:dyDescent="0.3">
      <c r="A314" s="15"/>
      <c r="B314" s="15"/>
      <c r="C314" s="15"/>
      <c r="D314" s="15"/>
      <c r="E314" s="15"/>
      <c r="F314" s="15"/>
      <c r="G314" s="15"/>
      <c r="H314" s="52"/>
      <c r="I314" s="52"/>
      <c r="J314" s="15"/>
      <c r="K314" s="15"/>
      <c r="L314" s="15"/>
      <c r="M314" s="15"/>
      <c r="N314" s="15"/>
      <c r="O314" s="15"/>
      <c r="P314" s="15"/>
      <c r="Q314" s="15"/>
      <c r="R314" s="15"/>
      <c r="S314" s="15"/>
      <c r="T314" s="15"/>
      <c r="U314" s="15"/>
      <c r="V314" s="15"/>
      <c r="W314" s="15"/>
      <c r="X314" s="15"/>
      <c r="Y314" s="15"/>
      <c r="Z314" s="15"/>
    </row>
    <row r="315" spans="1:26" x14ac:dyDescent="0.3">
      <c r="A315" s="15"/>
      <c r="B315" s="15"/>
      <c r="C315" s="15"/>
      <c r="D315" s="15"/>
      <c r="E315" s="15"/>
      <c r="F315" s="15"/>
      <c r="G315" s="15"/>
      <c r="H315" s="52"/>
      <c r="I315" s="52"/>
      <c r="J315" s="15"/>
      <c r="K315" s="15"/>
      <c r="L315" s="15"/>
      <c r="M315" s="15"/>
      <c r="N315" s="15"/>
      <c r="O315" s="15"/>
      <c r="P315" s="15"/>
      <c r="Q315" s="15"/>
      <c r="R315" s="15"/>
      <c r="S315" s="15"/>
      <c r="T315" s="15"/>
      <c r="U315" s="15"/>
      <c r="V315" s="15"/>
      <c r="W315" s="15"/>
      <c r="X315" s="15"/>
      <c r="Y315" s="15"/>
      <c r="Z315" s="15"/>
    </row>
    <row r="316" spans="1:26" x14ac:dyDescent="0.3">
      <c r="A316" s="15"/>
      <c r="B316" s="15"/>
      <c r="C316" s="15"/>
      <c r="D316" s="15"/>
      <c r="E316" s="15"/>
      <c r="F316" s="15"/>
      <c r="G316" s="15"/>
      <c r="H316" s="52"/>
      <c r="I316" s="52"/>
      <c r="J316" s="15"/>
      <c r="K316" s="15"/>
      <c r="L316" s="15"/>
      <c r="M316" s="15"/>
      <c r="N316" s="15"/>
      <c r="O316" s="15"/>
      <c r="P316" s="15"/>
      <c r="Q316" s="15"/>
      <c r="R316" s="15"/>
      <c r="S316" s="15"/>
      <c r="T316" s="15"/>
      <c r="U316" s="15"/>
      <c r="V316" s="15"/>
      <c r="W316" s="15"/>
      <c r="X316" s="15"/>
      <c r="Y316" s="15"/>
      <c r="Z316" s="15"/>
    </row>
    <row r="317" spans="1:26" x14ac:dyDescent="0.3">
      <c r="A317" s="15"/>
      <c r="B317" s="15"/>
      <c r="C317" s="15"/>
      <c r="D317" s="15"/>
      <c r="E317" s="15"/>
      <c r="F317" s="15"/>
      <c r="G317" s="15"/>
      <c r="H317" s="52"/>
      <c r="I317" s="52"/>
      <c r="J317" s="15"/>
      <c r="K317" s="15"/>
      <c r="L317" s="15"/>
      <c r="M317" s="15"/>
      <c r="N317" s="15"/>
      <c r="O317" s="15"/>
      <c r="P317" s="15"/>
      <c r="Q317" s="15"/>
      <c r="R317" s="15"/>
      <c r="S317" s="15"/>
      <c r="T317" s="15"/>
      <c r="U317" s="15"/>
      <c r="V317" s="15"/>
      <c r="W317" s="15"/>
      <c r="X317" s="15"/>
      <c r="Y317" s="15"/>
      <c r="Z317" s="15"/>
    </row>
    <row r="318" spans="1:26" x14ac:dyDescent="0.3">
      <c r="A318" s="15"/>
      <c r="B318" s="15"/>
      <c r="C318" s="15"/>
      <c r="D318" s="15"/>
      <c r="E318" s="15"/>
      <c r="F318" s="15"/>
      <c r="G318" s="15"/>
      <c r="H318" s="52"/>
      <c r="I318" s="52"/>
      <c r="J318" s="15"/>
      <c r="K318" s="15"/>
      <c r="L318" s="15"/>
      <c r="M318" s="15"/>
      <c r="N318" s="15"/>
      <c r="O318" s="15"/>
      <c r="P318" s="15"/>
      <c r="Q318" s="15"/>
      <c r="R318" s="15"/>
      <c r="S318" s="15"/>
      <c r="T318" s="15"/>
      <c r="U318" s="15"/>
      <c r="V318" s="15"/>
      <c r="W318" s="15"/>
      <c r="X318" s="15"/>
      <c r="Y318" s="15"/>
      <c r="Z318" s="15"/>
    </row>
    <row r="319" spans="1:26" x14ac:dyDescent="0.3">
      <c r="A319" s="15"/>
      <c r="B319" s="15"/>
      <c r="C319" s="15"/>
      <c r="D319" s="15"/>
      <c r="E319" s="15"/>
      <c r="F319" s="15"/>
      <c r="G319" s="15"/>
      <c r="H319" s="52"/>
      <c r="I319" s="52"/>
      <c r="J319" s="15"/>
      <c r="K319" s="15"/>
      <c r="L319" s="15"/>
      <c r="M319" s="15"/>
      <c r="N319" s="15"/>
      <c r="O319" s="15"/>
      <c r="P319" s="15"/>
      <c r="Q319" s="15"/>
      <c r="R319" s="15"/>
      <c r="S319" s="15"/>
      <c r="T319" s="15"/>
      <c r="U319" s="15"/>
      <c r="V319" s="15"/>
      <c r="W319" s="15"/>
      <c r="X319" s="15"/>
      <c r="Y319" s="15"/>
      <c r="Z319" s="15"/>
    </row>
    <row r="320" spans="1:26" x14ac:dyDescent="0.3">
      <c r="A320" s="15"/>
      <c r="B320" s="15"/>
      <c r="C320" s="15"/>
      <c r="D320" s="15"/>
      <c r="E320" s="15"/>
      <c r="F320" s="15"/>
      <c r="G320" s="15"/>
      <c r="H320" s="52"/>
      <c r="I320" s="52"/>
      <c r="J320" s="15"/>
      <c r="K320" s="15"/>
      <c r="L320" s="15"/>
      <c r="M320" s="15"/>
      <c r="N320" s="15"/>
      <c r="O320" s="15"/>
      <c r="P320" s="15"/>
      <c r="Q320" s="15"/>
      <c r="R320" s="15"/>
      <c r="S320" s="15"/>
      <c r="T320" s="15"/>
      <c r="U320" s="15"/>
      <c r="V320" s="15"/>
      <c r="W320" s="15"/>
      <c r="X320" s="15"/>
      <c r="Y320" s="15"/>
      <c r="Z320" s="15"/>
    </row>
    <row r="321" spans="1:26" x14ac:dyDescent="0.3">
      <c r="A321" s="15"/>
      <c r="B321" s="15"/>
      <c r="C321" s="15"/>
      <c r="D321" s="15"/>
      <c r="E321" s="15"/>
      <c r="F321" s="15"/>
      <c r="G321" s="15"/>
      <c r="H321" s="52"/>
      <c r="I321" s="52"/>
      <c r="J321" s="15"/>
      <c r="K321" s="15"/>
      <c r="L321" s="15"/>
      <c r="M321" s="15"/>
      <c r="N321" s="15"/>
      <c r="O321" s="15"/>
      <c r="P321" s="15"/>
      <c r="Q321" s="15"/>
      <c r="R321" s="15"/>
      <c r="S321" s="15"/>
      <c r="T321" s="15"/>
      <c r="U321" s="15"/>
      <c r="V321" s="15"/>
      <c r="W321" s="15"/>
      <c r="X321" s="15"/>
      <c r="Y321" s="15"/>
      <c r="Z321" s="15"/>
    </row>
    <row r="322" spans="1:26" x14ac:dyDescent="0.3">
      <c r="A322" s="15"/>
      <c r="B322" s="15"/>
      <c r="C322" s="15"/>
      <c r="D322" s="15"/>
      <c r="E322" s="15"/>
      <c r="F322" s="15"/>
      <c r="G322" s="15"/>
      <c r="H322" s="52"/>
      <c r="I322" s="52"/>
      <c r="J322" s="15"/>
      <c r="K322" s="15"/>
      <c r="L322" s="15"/>
      <c r="M322" s="15"/>
      <c r="N322" s="15"/>
      <c r="O322" s="15"/>
      <c r="P322" s="15"/>
      <c r="Q322" s="15"/>
      <c r="R322" s="15"/>
      <c r="S322" s="15"/>
      <c r="T322" s="15"/>
      <c r="U322" s="15"/>
      <c r="V322" s="15"/>
      <c r="W322" s="15"/>
      <c r="X322" s="15"/>
      <c r="Y322" s="15"/>
      <c r="Z322" s="15"/>
    </row>
    <row r="323" spans="1:26" x14ac:dyDescent="0.3">
      <c r="A323" s="15"/>
      <c r="B323" s="15"/>
      <c r="C323" s="15"/>
      <c r="D323" s="15"/>
      <c r="E323" s="15"/>
      <c r="F323" s="15"/>
      <c r="G323" s="15"/>
      <c r="H323" s="52"/>
      <c r="I323" s="52"/>
      <c r="J323" s="15"/>
      <c r="K323" s="15"/>
      <c r="L323" s="15"/>
      <c r="M323" s="15"/>
      <c r="N323" s="15"/>
      <c r="O323" s="15"/>
      <c r="P323" s="15"/>
      <c r="Q323" s="15"/>
      <c r="R323" s="15"/>
      <c r="S323" s="15"/>
      <c r="T323" s="15"/>
      <c r="U323" s="15"/>
      <c r="V323" s="15"/>
      <c r="W323" s="15"/>
      <c r="X323" s="15"/>
      <c r="Y323" s="15"/>
      <c r="Z323" s="15"/>
    </row>
    <row r="324" spans="1:26" x14ac:dyDescent="0.3">
      <c r="A324" s="15"/>
      <c r="B324" s="15"/>
      <c r="C324" s="15"/>
      <c r="D324" s="15"/>
      <c r="E324" s="15"/>
      <c r="F324" s="15"/>
      <c r="G324" s="15"/>
      <c r="H324" s="52"/>
      <c r="I324" s="52"/>
      <c r="J324" s="15"/>
      <c r="K324" s="15"/>
      <c r="L324" s="15"/>
      <c r="M324" s="15"/>
      <c r="N324" s="15"/>
      <c r="O324" s="15"/>
      <c r="P324" s="15"/>
      <c r="Q324" s="15"/>
      <c r="R324" s="15"/>
      <c r="S324" s="15"/>
      <c r="T324" s="15"/>
      <c r="U324" s="15"/>
      <c r="V324" s="15"/>
      <c r="W324" s="15"/>
      <c r="X324" s="15"/>
      <c r="Y324" s="15"/>
      <c r="Z324" s="15"/>
    </row>
    <row r="325" spans="1:26" x14ac:dyDescent="0.3">
      <c r="A325" s="15"/>
      <c r="B325" s="15"/>
      <c r="C325" s="15"/>
      <c r="D325" s="15"/>
      <c r="E325" s="15"/>
      <c r="F325" s="15"/>
      <c r="G325" s="15"/>
      <c r="H325" s="52"/>
      <c r="I325" s="52"/>
      <c r="J325" s="15"/>
      <c r="K325" s="15"/>
      <c r="L325" s="15"/>
      <c r="M325" s="15"/>
      <c r="N325" s="15"/>
      <c r="O325" s="15"/>
      <c r="P325" s="15"/>
      <c r="Q325" s="15"/>
      <c r="R325" s="15"/>
      <c r="S325" s="15"/>
      <c r="T325" s="15"/>
      <c r="U325" s="15"/>
      <c r="V325" s="15"/>
      <c r="W325" s="15"/>
      <c r="X325" s="15"/>
      <c r="Y325" s="15"/>
      <c r="Z325" s="15"/>
    </row>
    <row r="326" spans="1:26" x14ac:dyDescent="0.3">
      <c r="A326" s="15"/>
      <c r="B326" s="15"/>
      <c r="C326" s="15"/>
      <c r="D326" s="15"/>
      <c r="E326" s="15"/>
      <c r="F326" s="15"/>
      <c r="G326" s="15"/>
      <c r="H326" s="52"/>
      <c r="I326" s="52"/>
      <c r="J326" s="15"/>
      <c r="K326" s="15"/>
      <c r="L326" s="15"/>
      <c r="M326" s="15"/>
      <c r="N326" s="15"/>
      <c r="O326" s="15"/>
      <c r="P326" s="15"/>
      <c r="Q326" s="15"/>
      <c r="R326" s="15"/>
      <c r="S326" s="15"/>
      <c r="T326" s="15"/>
      <c r="U326" s="15"/>
      <c r="V326" s="15"/>
      <c r="W326" s="15"/>
      <c r="X326" s="15"/>
      <c r="Y326" s="15"/>
      <c r="Z326" s="15"/>
    </row>
    <row r="327" spans="1:26" x14ac:dyDescent="0.3">
      <c r="A327" s="15"/>
      <c r="B327" s="15"/>
      <c r="C327" s="15"/>
      <c r="D327" s="15"/>
      <c r="E327" s="15"/>
      <c r="F327" s="15"/>
      <c r="G327" s="15"/>
      <c r="H327" s="52"/>
      <c r="I327" s="52"/>
      <c r="J327" s="15"/>
      <c r="K327" s="15"/>
      <c r="L327" s="15"/>
      <c r="M327" s="15"/>
      <c r="N327" s="15"/>
      <c r="O327" s="15"/>
      <c r="P327" s="15"/>
      <c r="Q327" s="15"/>
      <c r="R327" s="15"/>
      <c r="S327" s="15"/>
      <c r="T327" s="15"/>
      <c r="U327" s="15"/>
      <c r="V327" s="15"/>
      <c r="W327" s="15"/>
      <c r="X327" s="15"/>
      <c r="Y327" s="15"/>
      <c r="Z327" s="15"/>
    </row>
    <row r="328" spans="1:26" x14ac:dyDescent="0.3">
      <c r="A328" s="15"/>
      <c r="B328" s="15"/>
      <c r="C328" s="15"/>
      <c r="D328" s="15"/>
      <c r="E328" s="15"/>
      <c r="F328" s="15"/>
      <c r="G328" s="15"/>
      <c r="H328" s="52"/>
      <c r="I328" s="52"/>
      <c r="J328" s="15"/>
      <c r="K328" s="15"/>
      <c r="L328" s="15"/>
      <c r="M328" s="15"/>
      <c r="N328" s="15"/>
      <c r="O328" s="15"/>
      <c r="P328" s="15"/>
      <c r="Q328" s="15"/>
      <c r="R328" s="15"/>
      <c r="S328" s="15"/>
      <c r="T328" s="15"/>
      <c r="U328" s="15"/>
      <c r="V328" s="15"/>
      <c r="W328" s="15"/>
      <c r="X328" s="15"/>
      <c r="Y328" s="15"/>
      <c r="Z328" s="15"/>
    </row>
    <row r="329" spans="1:26" x14ac:dyDescent="0.3">
      <c r="A329" s="15"/>
      <c r="B329" s="15"/>
      <c r="C329" s="15"/>
      <c r="D329" s="15"/>
      <c r="E329" s="15"/>
      <c r="F329" s="15"/>
      <c r="G329" s="15"/>
      <c r="H329" s="52"/>
      <c r="I329" s="52"/>
      <c r="J329" s="15"/>
      <c r="K329" s="15"/>
      <c r="L329" s="15"/>
      <c r="M329" s="15"/>
      <c r="N329" s="15"/>
      <c r="O329" s="15"/>
      <c r="P329" s="15"/>
      <c r="Q329" s="15"/>
      <c r="R329" s="15"/>
      <c r="S329" s="15"/>
      <c r="T329" s="15"/>
      <c r="U329" s="15"/>
      <c r="V329" s="15"/>
      <c r="W329" s="15"/>
      <c r="X329" s="15"/>
      <c r="Y329" s="15"/>
      <c r="Z329" s="15"/>
    </row>
    <row r="330" spans="1:26" x14ac:dyDescent="0.3">
      <c r="A330" s="15"/>
      <c r="B330" s="15"/>
      <c r="C330" s="15"/>
      <c r="D330" s="15"/>
      <c r="E330" s="15"/>
      <c r="F330" s="15"/>
      <c r="G330" s="15"/>
      <c r="H330" s="52"/>
      <c r="I330" s="52"/>
      <c r="J330" s="15"/>
      <c r="K330" s="15"/>
      <c r="L330" s="15"/>
      <c r="M330" s="15"/>
      <c r="N330" s="15"/>
      <c r="O330" s="15"/>
      <c r="P330" s="15"/>
      <c r="Q330" s="15"/>
      <c r="R330" s="15"/>
      <c r="S330" s="15"/>
      <c r="T330" s="15"/>
      <c r="U330" s="15"/>
      <c r="V330" s="15"/>
      <c r="W330" s="15"/>
      <c r="X330" s="15"/>
      <c r="Y330" s="15"/>
      <c r="Z330" s="15"/>
    </row>
    <row r="331" spans="1:26" x14ac:dyDescent="0.3">
      <c r="A331" s="15"/>
      <c r="B331" s="15"/>
      <c r="C331" s="15"/>
      <c r="D331" s="15"/>
      <c r="E331" s="15"/>
      <c r="F331" s="15"/>
      <c r="G331" s="15"/>
      <c r="H331" s="52"/>
      <c r="I331" s="52"/>
      <c r="J331" s="15"/>
      <c r="K331" s="15"/>
      <c r="L331" s="15"/>
      <c r="M331" s="15"/>
      <c r="N331" s="15"/>
      <c r="O331" s="15"/>
      <c r="P331" s="15"/>
      <c r="Q331" s="15"/>
      <c r="R331" s="15"/>
      <c r="S331" s="15"/>
      <c r="T331" s="15"/>
      <c r="U331" s="15"/>
      <c r="V331" s="15"/>
      <c r="W331" s="15"/>
      <c r="X331" s="15"/>
      <c r="Y331" s="15"/>
      <c r="Z331" s="15"/>
    </row>
    <row r="332" spans="1:26" x14ac:dyDescent="0.3">
      <c r="A332" s="15"/>
      <c r="B332" s="15"/>
      <c r="C332" s="15"/>
      <c r="D332" s="15"/>
      <c r="E332" s="15"/>
      <c r="F332" s="15"/>
      <c r="G332" s="15"/>
      <c r="H332" s="52"/>
      <c r="I332" s="52"/>
      <c r="J332" s="15"/>
      <c r="K332" s="15"/>
      <c r="L332" s="15"/>
      <c r="M332" s="15"/>
      <c r="N332" s="15"/>
      <c r="O332" s="15"/>
      <c r="P332" s="15"/>
      <c r="Q332" s="15"/>
      <c r="R332" s="15"/>
      <c r="S332" s="15"/>
      <c r="T332" s="15"/>
      <c r="U332" s="15"/>
      <c r="V332" s="15"/>
      <c r="W332" s="15"/>
      <c r="X332" s="15"/>
      <c r="Y332" s="15"/>
      <c r="Z332" s="15"/>
    </row>
    <row r="333" spans="1:26" x14ac:dyDescent="0.3">
      <c r="A333" s="15"/>
      <c r="B333" s="15"/>
      <c r="C333" s="15"/>
      <c r="D333" s="15"/>
      <c r="E333" s="15"/>
      <c r="F333" s="15"/>
      <c r="G333" s="15"/>
      <c r="H333" s="52"/>
      <c r="I333" s="52"/>
      <c r="J333" s="15"/>
      <c r="K333" s="15"/>
      <c r="L333" s="15"/>
      <c r="M333" s="15"/>
      <c r="N333" s="15"/>
      <c r="O333" s="15"/>
      <c r="P333" s="15"/>
      <c r="Q333" s="15"/>
      <c r="R333" s="15"/>
      <c r="S333" s="15"/>
      <c r="T333" s="15"/>
      <c r="U333" s="15"/>
      <c r="V333" s="15"/>
      <c r="W333" s="15"/>
      <c r="X333" s="15"/>
      <c r="Y333" s="15"/>
      <c r="Z333" s="15"/>
    </row>
    <row r="334" spans="1:26" x14ac:dyDescent="0.3">
      <c r="A334" s="15"/>
      <c r="B334" s="15"/>
      <c r="C334" s="15"/>
      <c r="D334" s="15"/>
      <c r="E334" s="15"/>
      <c r="F334" s="15"/>
      <c r="G334" s="15"/>
      <c r="H334" s="52"/>
      <c r="I334" s="52"/>
      <c r="J334" s="15"/>
      <c r="K334" s="15"/>
      <c r="L334" s="15"/>
      <c r="M334" s="15"/>
      <c r="N334" s="15"/>
      <c r="O334" s="15"/>
      <c r="P334" s="15"/>
      <c r="Q334" s="15"/>
      <c r="R334" s="15"/>
      <c r="S334" s="15"/>
      <c r="T334" s="15"/>
      <c r="U334" s="15"/>
      <c r="V334" s="15"/>
      <c r="W334" s="15"/>
      <c r="X334" s="15"/>
      <c r="Y334" s="15"/>
      <c r="Z334" s="15"/>
    </row>
    <row r="335" spans="1:26" x14ac:dyDescent="0.3">
      <c r="A335" s="15"/>
      <c r="B335" s="15"/>
      <c r="C335" s="15"/>
      <c r="D335" s="15"/>
      <c r="E335" s="15"/>
      <c r="F335" s="15"/>
      <c r="G335" s="15"/>
      <c r="H335" s="52"/>
      <c r="I335" s="52"/>
      <c r="J335" s="15"/>
      <c r="K335" s="15"/>
      <c r="L335" s="15"/>
      <c r="M335" s="15"/>
      <c r="N335" s="15"/>
      <c r="O335" s="15"/>
      <c r="P335" s="15"/>
      <c r="Q335" s="15"/>
      <c r="R335" s="15"/>
      <c r="S335" s="15"/>
      <c r="T335" s="15"/>
      <c r="U335" s="15"/>
      <c r="V335" s="15"/>
      <c r="W335" s="15"/>
      <c r="X335" s="15"/>
      <c r="Y335" s="15"/>
      <c r="Z335" s="15"/>
    </row>
    <row r="336" spans="1:26" x14ac:dyDescent="0.3">
      <c r="A336" s="15"/>
      <c r="B336" s="15"/>
      <c r="C336" s="15"/>
      <c r="D336" s="15"/>
      <c r="E336" s="15"/>
      <c r="F336" s="15"/>
      <c r="G336" s="15"/>
      <c r="H336" s="52"/>
      <c r="I336" s="52"/>
      <c r="J336" s="15"/>
      <c r="K336" s="15"/>
      <c r="L336" s="15"/>
      <c r="M336" s="15"/>
      <c r="N336" s="15"/>
      <c r="O336" s="15"/>
      <c r="P336" s="15"/>
      <c r="Q336" s="15"/>
      <c r="R336" s="15"/>
      <c r="S336" s="15"/>
      <c r="T336" s="15"/>
      <c r="U336" s="15"/>
      <c r="V336" s="15"/>
      <c r="W336" s="15"/>
      <c r="X336" s="15"/>
      <c r="Y336" s="15"/>
      <c r="Z336" s="15"/>
    </row>
    <row r="337" spans="1:26" x14ac:dyDescent="0.3">
      <c r="A337" s="15"/>
      <c r="B337" s="15"/>
      <c r="C337" s="15"/>
      <c r="D337" s="15"/>
      <c r="E337" s="15"/>
      <c r="F337" s="15"/>
      <c r="G337" s="15"/>
      <c r="H337" s="52"/>
      <c r="I337" s="52"/>
      <c r="J337" s="15"/>
      <c r="K337" s="15"/>
      <c r="L337" s="15"/>
      <c r="M337" s="15"/>
      <c r="N337" s="15"/>
      <c r="O337" s="15"/>
      <c r="P337" s="15"/>
      <c r="Q337" s="15"/>
      <c r="R337" s="15"/>
      <c r="S337" s="15"/>
      <c r="T337" s="15"/>
      <c r="U337" s="15"/>
      <c r="V337" s="15"/>
      <c r="W337" s="15"/>
      <c r="X337" s="15"/>
      <c r="Y337" s="15"/>
      <c r="Z337" s="15"/>
    </row>
    <row r="338" spans="1:26" x14ac:dyDescent="0.3">
      <c r="A338" s="15"/>
      <c r="B338" s="15"/>
      <c r="C338" s="15"/>
      <c r="D338" s="15"/>
      <c r="E338" s="15"/>
      <c r="F338" s="15"/>
      <c r="G338" s="15"/>
      <c r="H338" s="52"/>
      <c r="I338" s="52"/>
      <c r="J338" s="15"/>
      <c r="K338" s="15"/>
      <c r="L338" s="15"/>
      <c r="M338" s="15"/>
      <c r="N338" s="15"/>
      <c r="O338" s="15"/>
      <c r="P338" s="15"/>
      <c r="Q338" s="15"/>
      <c r="R338" s="15"/>
      <c r="S338" s="15"/>
      <c r="T338" s="15"/>
      <c r="U338" s="15"/>
      <c r="V338" s="15"/>
      <c r="W338" s="15"/>
      <c r="X338" s="15"/>
      <c r="Y338" s="15"/>
      <c r="Z338" s="15"/>
    </row>
    <row r="339" spans="1:26" x14ac:dyDescent="0.3">
      <c r="A339" s="15"/>
      <c r="B339" s="15"/>
      <c r="C339" s="15"/>
      <c r="D339" s="15"/>
      <c r="E339" s="15"/>
      <c r="F339" s="15"/>
      <c r="G339" s="15"/>
      <c r="H339" s="52"/>
      <c r="I339" s="52"/>
      <c r="J339" s="15"/>
      <c r="K339" s="15"/>
      <c r="L339" s="15"/>
      <c r="M339" s="15"/>
      <c r="N339" s="15"/>
      <c r="O339" s="15"/>
      <c r="P339" s="15"/>
      <c r="Q339" s="15"/>
      <c r="R339" s="15"/>
      <c r="S339" s="15"/>
      <c r="T339" s="15"/>
      <c r="U339" s="15"/>
      <c r="V339" s="15"/>
      <c r="W339" s="15"/>
      <c r="X339" s="15"/>
      <c r="Y339" s="15"/>
      <c r="Z339" s="15"/>
    </row>
    <row r="340" spans="1:26" x14ac:dyDescent="0.3">
      <c r="A340" s="15"/>
      <c r="B340" s="15"/>
      <c r="C340" s="15"/>
      <c r="D340" s="15"/>
      <c r="E340" s="15"/>
      <c r="F340" s="15"/>
      <c r="G340" s="15"/>
      <c r="H340" s="52"/>
      <c r="I340" s="52"/>
      <c r="J340" s="15"/>
      <c r="K340" s="15"/>
      <c r="L340" s="15"/>
      <c r="M340" s="15"/>
      <c r="N340" s="15"/>
      <c r="O340" s="15"/>
      <c r="P340" s="15"/>
      <c r="Q340" s="15"/>
      <c r="R340" s="15"/>
      <c r="S340" s="15"/>
      <c r="T340" s="15"/>
      <c r="U340" s="15"/>
      <c r="V340" s="15"/>
      <c r="W340" s="15"/>
      <c r="X340" s="15"/>
      <c r="Y340" s="15"/>
      <c r="Z340" s="15"/>
    </row>
    <row r="341" spans="1:26" x14ac:dyDescent="0.3">
      <c r="A341" s="15"/>
      <c r="B341" s="15"/>
      <c r="C341" s="15"/>
      <c r="D341" s="15"/>
      <c r="E341" s="15"/>
      <c r="F341" s="15"/>
      <c r="G341" s="15"/>
      <c r="H341" s="52"/>
      <c r="I341" s="52"/>
      <c r="J341" s="15"/>
      <c r="K341" s="15"/>
      <c r="L341" s="15"/>
      <c r="M341" s="15"/>
      <c r="N341" s="15"/>
      <c r="O341" s="15"/>
      <c r="P341" s="15"/>
      <c r="Q341" s="15"/>
      <c r="R341" s="15"/>
      <c r="S341" s="15"/>
      <c r="T341" s="15"/>
      <c r="U341" s="15"/>
      <c r="V341" s="15"/>
      <c r="W341" s="15"/>
      <c r="X341" s="15"/>
      <c r="Y341" s="15"/>
      <c r="Z341" s="15"/>
    </row>
    <row r="342" spans="1:26" x14ac:dyDescent="0.3">
      <c r="A342" s="15"/>
      <c r="B342" s="15"/>
      <c r="C342" s="15"/>
      <c r="D342" s="15"/>
      <c r="E342" s="15"/>
      <c r="F342" s="15"/>
      <c r="G342" s="15"/>
      <c r="H342" s="52"/>
      <c r="I342" s="52"/>
      <c r="J342" s="15"/>
      <c r="K342" s="15"/>
      <c r="L342" s="15"/>
      <c r="M342" s="15"/>
      <c r="N342" s="15"/>
      <c r="O342" s="15"/>
      <c r="P342" s="15"/>
      <c r="Q342" s="15"/>
      <c r="R342" s="15"/>
      <c r="S342" s="15"/>
      <c r="T342" s="15"/>
      <c r="U342" s="15"/>
      <c r="V342" s="15"/>
      <c r="W342" s="15"/>
      <c r="X342" s="15"/>
      <c r="Y342" s="15"/>
      <c r="Z342" s="15"/>
    </row>
    <row r="343" spans="1:26" x14ac:dyDescent="0.3">
      <c r="A343" s="15"/>
      <c r="B343" s="15"/>
      <c r="C343" s="15"/>
      <c r="D343" s="15"/>
      <c r="E343" s="15"/>
      <c r="F343" s="15"/>
      <c r="G343" s="15"/>
      <c r="H343" s="52"/>
      <c r="I343" s="52"/>
      <c r="J343" s="15"/>
      <c r="K343" s="15"/>
      <c r="L343" s="15"/>
      <c r="M343" s="15"/>
      <c r="N343" s="15"/>
      <c r="O343" s="15"/>
      <c r="P343" s="15"/>
      <c r="Q343" s="15"/>
      <c r="R343" s="15"/>
      <c r="S343" s="15"/>
      <c r="T343" s="15"/>
      <c r="U343" s="15"/>
      <c r="V343" s="15"/>
      <c r="W343" s="15"/>
      <c r="X343" s="15"/>
      <c r="Y343" s="15"/>
      <c r="Z343" s="15"/>
    </row>
    <row r="344" spans="1:26" x14ac:dyDescent="0.3">
      <c r="A344" s="15"/>
      <c r="B344" s="15"/>
      <c r="C344" s="15"/>
      <c r="D344" s="15"/>
      <c r="E344" s="15"/>
      <c r="F344" s="15"/>
      <c r="G344" s="15"/>
      <c r="H344" s="52"/>
      <c r="I344" s="52"/>
      <c r="J344" s="15"/>
      <c r="K344" s="15"/>
      <c r="L344" s="15"/>
      <c r="M344" s="15"/>
      <c r="N344" s="15"/>
      <c r="O344" s="15"/>
      <c r="P344" s="15"/>
      <c r="Q344" s="15"/>
      <c r="R344" s="15"/>
      <c r="S344" s="15"/>
      <c r="T344" s="15"/>
      <c r="U344" s="15"/>
      <c r="V344" s="15"/>
      <c r="W344" s="15"/>
      <c r="X344" s="15"/>
      <c r="Y344" s="15"/>
      <c r="Z344" s="15"/>
    </row>
    <row r="345" spans="1:26" x14ac:dyDescent="0.3">
      <c r="A345" s="15"/>
      <c r="B345" s="15"/>
      <c r="C345" s="15"/>
      <c r="D345" s="15"/>
      <c r="E345" s="15"/>
      <c r="F345" s="15"/>
      <c r="G345" s="15"/>
      <c r="H345" s="52"/>
      <c r="I345" s="52"/>
      <c r="J345" s="15"/>
      <c r="K345" s="15"/>
      <c r="L345" s="15"/>
      <c r="M345" s="15"/>
      <c r="N345" s="15"/>
      <c r="O345" s="15"/>
      <c r="P345" s="15"/>
      <c r="Q345" s="15"/>
      <c r="R345" s="15"/>
      <c r="S345" s="15"/>
      <c r="T345" s="15"/>
      <c r="U345" s="15"/>
      <c r="V345" s="15"/>
      <c r="W345" s="15"/>
      <c r="X345" s="15"/>
      <c r="Y345" s="15"/>
      <c r="Z345" s="15"/>
    </row>
    <row r="346" spans="1:26" x14ac:dyDescent="0.3">
      <c r="A346" s="15"/>
      <c r="B346" s="15"/>
      <c r="C346" s="15"/>
      <c r="D346" s="15"/>
      <c r="E346" s="15"/>
      <c r="F346" s="15"/>
      <c r="G346" s="15"/>
      <c r="H346" s="52"/>
      <c r="I346" s="52"/>
      <c r="J346" s="15"/>
      <c r="K346" s="15"/>
      <c r="L346" s="15"/>
      <c r="M346" s="15"/>
      <c r="N346" s="15"/>
      <c r="O346" s="15"/>
      <c r="P346" s="15"/>
      <c r="Q346" s="15"/>
      <c r="R346" s="15"/>
      <c r="S346" s="15"/>
      <c r="T346" s="15"/>
      <c r="U346" s="15"/>
      <c r="V346" s="15"/>
      <c r="W346" s="15"/>
      <c r="X346" s="15"/>
      <c r="Y346" s="15"/>
      <c r="Z346" s="15"/>
    </row>
    <row r="347" spans="1:26" x14ac:dyDescent="0.3">
      <c r="A347" s="15"/>
      <c r="B347" s="15"/>
      <c r="C347" s="15"/>
      <c r="D347" s="15"/>
      <c r="E347" s="15"/>
      <c r="F347" s="15"/>
      <c r="G347" s="15"/>
      <c r="H347" s="52"/>
      <c r="I347" s="52"/>
      <c r="J347" s="15"/>
      <c r="K347" s="15"/>
      <c r="L347" s="15"/>
      <c r="M347" s="15"/>
      <c r="N347" s="15"/>
      <c r="O347" s="15"/>
      <c r="P347" s="15"/>
      <c r="Q347" s="15"/>
      <c r="R347" s="15"/>
      <c r="S347" s="15"/>
      <c r="T347" s="15"/>
      <c r="U347" s="15"/>
      <c r="V347" s="15"/>
      <c r="W347" s="15"/>
      <c r="X347" s="15"/>
      <c r="Y347" s="15"/>
      <c r="Z347" s="15"/>
    </row>
    <row r="348" spans="1:26" x14ac:dyDescent="0.3">
      <c r="A348" s="15"/>
      <c r="B348" s="15"/>
      <c r="C348" s="15"/>
      <c r="D348" s="15"/>
      <c r="E348" s="15"/>
      <c r="F348" s="15"/>
      <c r="G348" s="15"/>
      <c r="H348" s="52"/>
      <c r="I348" s="52"/>
      <c r="J348" s="15"/>
      <c r="K348" s="15"/>
      <c r="L348" s="15"/>
      <c r="M348" s="15"/>
      <c r="N348" s="15"/>
      <c r="O348" s="15"/>
      <c r="P348" s="15"/>
      <c r="Q348" s="15"/>
      <c r="R348" s="15"/>
      <c r="S348" s="15"/>
      <c r="T348" s="15"/>
      <c r="U348" s="15"/>
      <c r="V348" s="15"/>
      <c r="W348" s="15"/>
      <c r="X348" s="15"/>
      <c r="Y348" s="15"/>
      <c r="Z348" s="15"/>
    </row>
    <row r="349" spans="1:26" x14ac:dyDescent="0.3">
      <c r="A349" s="15"/>
      <c r="B349" s="15"/>
      <c r="C349" s="15"/>
      <c r="D349" s="15"/>
      <c r="E349" s="15"/>
      <c r="F349" s="15"/>
      <c r="G349" s="15"/>
      <c r="H349" s="52"/>
      <c r="I349" s="52"/>
      <c r="J349" s="15"/>
      <c r="K349" s="15"/>
      <c r="L349" s="15"/>
      <c r="M349" s="15"/>
      <c r="N349" s="15"/>
      <c r="O349" s="15"/>
      <c r="P349" s="15"/>
      <c r="Q349" s="15"/>
      <c r="R349" s="15"/>
      <c r="S349" s="15"/>
      <c r="T349" s="15"/>
      <c r="U349" s="15"/>
      <c r="V349" s="15"/>
      <c r="W349" s="15"/>
      <c r="X349" s="15"/>
      <c r="Y349" s="15"/>
      <c r="Z349" s="15"/>
    </row>
    <row r="350" spans="1:26" x14ac:dyDescent="0.3">
      <c r="A350" s="15"/>
      <c r="B350" s="15"/>
      <c r="C350" s="15"/>
      <c r="D350" s="15"/>
      <c r="E350" s="15"/>
      <c r="F350" s="15"/>
      <c r="G350" s="15"/>
      <c r="H350" s="52"/>
      <c r="I350" s="52"/>
      <c r="J350" s="15"/>
      <c r="K350" s="15"/>
      <c r="L350" s="15"/>
      <c r="M350" s="15"/>
      <c r="N350" s="15"/>
      <c r="O350" s="15"/>
      <c r="P350" s="15"/>
      <c r="Q350" s="15"/>
      <c r="R350" s="15"/>
      <c r="S350" s="15"/>
      <c r="T350" s="15"/>
      <c r="U350" s="15"/>
      <c r="V350" s="15"/>
      <c r="W350" s="15"/>
      <c r="X350" s="15"/>
      <c r="Y350" s="15"/>
      <c r="Z350" s="15"/>
    </row>
    <row r="351" spans="1:26" x14ac:dyDescent="0.3">
      <c r="A351" s="15"/>
      <c r="B351" s="15"/>
      <c r="C351" s="15"/>
      <c r="D351" s="15"/>
      <c r="E351" s="15"/>
      <c r="F351" s="15"/>
      <c r="G351" s="15"/>
      <c r="H351" s="52"/>
      <c r="I351" s="52"/>
      <c r="J351" s="15"/>
      <c r="K351" s="15"/>
      <c r="L351" s="15"/>
      <c r="M351" s="15"/>
      <c r="N351" s="15"/>
      <c r="O351" s="15"/>
      <c r="P351" s="15"/>
      <c r="Q351" s="15"/>
      <c r="R351" s="15"/>
      <c r="S351" s="15"/>
      <c r="T351" s="15"/>
      <c r="U351" s="15"/>
      <c r="V351" s="15"/>
      <c r="W351" s="15"/>
      <c r="X351" s="15"/>
      <c r="Y351" s="15"/>
      <c r="Z351" s="15"/>
    </row>
    <row r="352" spans="1:26" x14ac:dyDescent="0.3">
      <c r="A352" s="15"/>
      <c r="B352" s="15"/>
      <c r="C352" s="15"/>
      <c r="D352" s="15"/>
      <c r="E352" s="15"/>
      <c r="F352" s="15"/>
      <c r="G352" s="15"/>
      <c r="H352" s="52"/>
      <c r="I352" s="52"/>
      <c r="J352" s="15"/>
      <c r="K352" s="15"/>
      <c r="L352" s="15"/>
      <c r="M352" s="15"/>
      <c r="N352" s="15"/>
      <c r="O352" s="15"/>
      <c r="P352" s="15"/>
      <c r="Q352" s="15"/>
      <c r="R352" s="15"/>
      <c r="S352" s="15"/>
      <c r="T352" s="15"/>
      <c r="U352" s="15"/>
      <c r="V352" s="15"/>
      <c r="W352" s="15"/>
      <c r="X352" s="15"/>
      <c r="Y352" s="15"/>
      <c r="Z352" s="15"/>
    </row>
    <row r="353" spans="1:26" x14ac:dyDescent="0.3">
      <c r="A353" s="15"/>
      <c r="B353" s="15"/>
      <c r="C353" s="15"/>
      <c r="D353" s="15"/>
      <c r="E353" s="15"/>
      <c r="F353" s="15"/>
      <c r="G353" s="15"/>
      <c r="H353" s="52"/>
      <c r="I353" s="52"/>
      <c r="J353" s="15"/>
      <c r="K353" s="15"/>
      <c r="L353" s="15"/>
      <c r="M353" s="15"/>
      <c r="N353" s="15"/>
      <c r="O353" s="15"/>
      <c r="P353" s="15"/>
      <c r="Q353" s="15"/>
      <c r="R353" s="15"/>
      <c r="S353" s="15"/>
      <c r="T353" s="15"/>
      <c r="U353" s="15"/>
      <c r="V353" s="15"/>
      <c r="W353" s="15"/>
      <c r="X353" s="15"/>
      <c r="Y353" s="15"/>
      <c r="Z353" s="15"/>
    </row>
    <row r="354" spans="1:26" x14ac:dyDescent="0.3">
      <c r="A354" s="15"/>
      <c r="B354" s="15"/>
      <c r="C354" s="15"/>
      <c r="D354" s="15"/>
      <c r="E354" s="15"/>
      <c r="F354" s="15"/>
      <c r="G354" s="15"/>
      <c r="H354" s="52"/>
      <c r="I354" s="52"/>
      <c r="J354" s="15"/>
      <c r="K354" s="15"/>
      <c r="L354" s="15"/>
      <c r="M354" s="15"/>
      <c r="N354" s="15"/>
      <c r="O354" s="15"/>
      <c r="P354" s="15"/>
      <c r="Q354" s="15"/>
      <c r="R354" s="15"/>
      <c r="S354" s="15"/>
      <c r="T354" s="15"/>
      <c r="U354" s="15"/>
      <c r="V354" s="15"/>
      <c r="W354" s="15"/>
      <c r="X354" s="15"/>
      <c r="Y354" s="15"/>
      <c r="Z354" s="15"/>
    </row>
    <row r="355" spans="1:26" x14ac:dyDescent="0.3">
      <c r="A355" s="15"/>
      <c r="B355" s="15"/>
      <c r="C355" s="15"/>
      <c r="D355" s="15"/>
      <c r="E355" s="15"/>
      <c r="F355" s="15"/>
      <c r="G355" s="15"/>
      <c r="H355" s="52"/>
      <c r="I355" s="52"/>
      <c r="J355" s="15"/>
      <c r="K355" s="15"/>
      <c r="L355" s="15"/>
      <c r="M355" s="15"/>
      <c r="N355" s="15"/>
      <c r="O355" s="15"/>
      <c r="P355" s="15"/>
      <c r="Q355" s="15"/>
      <c r="R355" s="15"/>
      <c r="S355" s="15"/>
      <c r="T355" s="15"/>
      <c r="U355" s="15"/>
      <c r="V355" s="15"/>
      <c r="W355" s="15"/>
      <c r="X355" s="15"/>
      <c r="Y355" s="15"/>
      <c r="Z355" s="15"/>
    </row>
    <row r="356" spans="1:26" x14ac:dyDescent="0.3">
      <c r="A356" s="15"/>
      <c r="B356" s="15"/>
      <c r="C356" s="15"/>
      <c r="D356" s="15"/>
      <c r="E356" s="15"/>
      <c r="F356" s="15"/>
      <c r="G356" s="15"/>
      <c r="H356" s="52"/>
      <c r="I356" s="52"/>
      <c r="J356" s="15"/>
      <c r="K356" s="15"/>
      <c r="L356" s="15"/>
      <c r="M356" s="15"/>
      <c r="N356" s="15"/>
      <c r="O356" s="15"/>
      <c r="P356" s="15"/>
      <c r="Q356" s="15"/>
      <c r="R356" s="15"/>
      <c r="S356" s="15"/>
      <c r="T356" s="15"/>
      <c r="U356" s="15"/>
      <c r="V356" s="15"/>
      <c r="W356" s="15"/>
      <c r="X356" s="15"/>
      <c r="Y356" s="15"/>
      <c r="Z356" s="15"/>
    </row>
    <row r="357" spans="1:26" x14ac:dyDescent="0.3">
      <c r="A357" s="15"/>
      <c r="B357" s="15"/>
      <c r="C357" s="15"/>
      <c r="D357" s="15"/>
      <c r="E357" s="15"/>
      <c r="F357" s="15"/>
      <c r="G357" s="15"/>
      <c r="H357" s="52"/>
      <c r="I357" s="52"/>
      <c r="J357" s="15"/>
      <c r="K357" s="15"/>
      <c r="L357" s="15"/>
      <c r="M357" s="15"/>
      <c r="N357" s="15"/>
      <c r="O357" s="15"/>
      <c r="P357" s="15"/>
      <c r="Q357" s="15"/>
      <c r="R357" s="15"/>
      <c r="S357" s="15"/>
      <c r="T357" s="15"/>
      <c r="U357" s="15"/>
      <c r="V357" s="15"/>
      <c r="W357" s="15"/>
      <c r="X357" s="15"/>
      <c r="Y357" s="15"/>
      <c r="Z357" s="15"/>
    </row>
    <row r="358" spans="1:26" x14ac:dyDescent="0.3">
      <c r="A358" s="15"/>
      <c r="B358" s="15"/>
      <c r="C358" s="15"/>
      <c r="D358" s="15"/>
      <c r="E358" s="15"/>
      <c r="F358" s="15"/>
      <c r="G358" s="15"/>
      <c r="H358" s="52"/>
      <c r="I358" s="52"/>
      <c r="J358" s="15"/>
      <c r="K358" s="15"/>
      <c r="L358" s="15"/>
      <c r="M358" s="15"/>
      <c r="N358" s="15"/>
      <c r="O358" s="15"/>
      <c r="P358" s="15"/>
      <c r="Q358" s="15"/>
      <c r="R358" s="15"/>
      <c r="S358" s="15"/>
      <c r="T358" s="15"/>
      <c r="U358" s="15"/>
      <c r="V358" s="15"/>
      <c r="W358" s="15"/>
      <c r="X358" s="15"/>
      <c r="Y358" s="15"/>
      <c r="Z358" s="15"/>
    </row>
    <row r="359" spans="1:26" x14ac:dyDescent="0.3">
      <c r="A359" s="15"/>
      <c r="B359" s="15"/>
      <c r="C359" s="15"/>
      <c r="D359" s="15"/>
      <c r="E359" s="15"/>
      <c r="F359" s="15"/>
      <c r="G359" s="15"/>
      <c r="H359" s="52"/>
      <c r="I359" s="52"/>
      <c r="J359" s="15"/>
      <c r="K359" s="15"/>
      <c r="L359" s="15"/>
      <c r="M359" s="15"/>
      <c r="N359" s="15"/>
      <c r="O359" s="15"/>
      <c r="P359" s="15"/>
      <c r="Q359" s="15"/>
      <c r="R359" s="15"/>
      <c r="S359" s="15"/>
      <c r="T359" s="15"/>
      <c r="U359" s="15"/>
      <c r="V359" s="15"/>
      <c r="W359" s="15"/>
      <c r="X359" s="15"/>
      <c r="Y359" s="15"/>
      <c r="Z359" s="15"/>
    </row>
    <row r="360" spans="1:26" x14ac:dyDescent="0.3">
      <c r="A360" s="15"/>
      <c r="B360" s="15"/>
      <c r="C360" s="15"/>
      <c r="D360" s="15"/>
      <c r="E360" s="15"/>
      <c r="F360" s="15"/>
      <c r="G360" s="15"/>
      <c r="H360" s="52"/>
      <c r="I360" s="52"/>
      <c r="J360" s="15"/>
      <c r="K360" s="15"/>
      <c r="L360" s="15"/>
      <c r="M360" s="15"/>
      <c r="N360" s="15"/>
      <c r="O360" s="15"/>
      <c r="P360" s="15"/>
      <c r="Q360" s="15"/>
      <c r="R360" s="15"/>
      <c r="S360" s="15"/>
      <c r="T360" s="15"/>
      <c r="U360" s="15"/>
      <c r="V360" s="15"/>
      <c r="W360" s="15"/>
      <c r="X360" s="15"/>
      <c r="Y360" s="15"/>
      <c r="Z360" s="15"/>
    </row>
    <row r="361" spans="1:26" x14ac:dyDescent="0.3">
      <c r="A361" s="15"/>
      <c r="B361" s="15"/>
      <c r="C361" s="15"/>
      <c r="D361" s="15"/>
      <c r="E361" s="15"/>
      <c r="F361" s="15"/>
      <c r="G361" s="15"/>
      <c r="H361" s="52"/>
      <c r="I361" s="52"/>
      <c r="J361" s="15"/>
      <c r="K361" s="15"/>
      <c r="L361" s="15"/>
      <c r="M361" s="15"/>
      <c r="N361" s="15"/>
      <c r="O361" s="15"/>
      <c r="P361" s="15"/>
      <c r="Q361" s="15"/>
      <c r="R361" s="15"/>
      <c r="S361" s="15"/>
      <c r="T361" s="15"/>
      <c r="U361" s="15"/>
      <c r="V361" s="15"/>
      <c r="W361" s="15"/>
      <c r="X361" s="15"/>
      <c r="Y361" s="15"/>
      <c r="Z361" s="15"/>
    </row>
    <row r="362" spans="1:26" x14ac:dyDescent="0.3">
      <c r="A362" s="15"/>
      <c r="B362" s="15"/>
      <c r="C362" s="15"/>
      <c r="D362" s="15"/>
      <c r="E362" s="15"/>
      <c r="F362" s="15"/>
      <c r="G362" s="15"/>
      <c r="H362" s="52"/>
      <c r="I362" s="52"/>
      <c r="J362" s="15"/>
      <c r="K362" s="15"/>
      <c r="L362" s="15"/>
      <c r="M362" s="15"/>
      <c r="N362" s="15"/>
      <c r="O362" s="15"/>
      <c r="P362" s="15"/>
      <c r="Q362" s="15"/>
      <c r="R362" s="15"/>
      <c r="S362" s="15"/>
      <c r="T362" s="15"/>
      <c r="U362" s="15"/>
      <c r="V362" s="15"/>
      <c r="W362" s="15"/>
      <c r="X362" s="15"/>
      <c r="Y362" s="15"/>
      <c r="Z362" s="15"/>
    </row>
    <row r="363" spans="1:26" x14ac:dyDescent="0.3">
      <c r="A363" s="15"/>
      <c r="B363" s="15"/>
      <c r="C363" s="15"/>
      <c r="D363" s="15"/>
      <c r="E363" s="15"/>
      <c r="F363" s="15"/>
      <c r="G363" s="15"/>
      <c r="H363" s="52"/>
      <c r="I363" s="52"/>
      <c r="J363" s="15"/>
      <c r="K363" s="15"/>
      <c r="L363" s="15"/>
      <c r="M363" s="15"/>
      <c r="N363" s="15"/>
      <c r="O363" s="15"/>
      <c r="P363" s="15"/>
      <c r="Q363" s="15"/>
      <c r="R363" s="15"/>
      <c r="S363" s="15"/>
      <c r="T363" s="15"/>
      <c r="U363" s="15"/>
      <c r="V363" s="15"/>
      <c r="W363" s="15"/>
      <c r="X363" s="15"/>
      <c r="Y363" s="15"/>
      <c r="Z363" s="15"/>
    </row>
    <row r="364" spans="1:26" x14ac:dyDescent="0.3">
      <c r="A364" s="15"/>
      <c r="B364" s="15"/>
      <c r="C364" s="15"/>
      <c r="D364" s="15"/>
      <c r="E364" s="15"/>
      <c r="F364" s="15"/>
      <c r="G364" s="15"/>
      <c r="H364" s="52"/>
      <c r="I364" s="52"/>
      <c r="J364" s="15"/>
      <c r="K364" s="15"/>
      <c r="L364" s="15"/>
      <c r="M364" s="15"/>
      <c r="N364" s="15"/>
      <c r="O364" s="15"/>
      <c r="P364" s="15"/>
      <c r="Q364" s="15"/>
      <c r="R364" s="15"/>
      <c r="S364" s="15"/>
      <c r="T364" s="15"/>
      <c r="U364" s="15"/>
      <c r="V364" s="15"/>
      <c r="W364" s="15"/>
      <c r="X364" s="15"/>
      <c r="Y364" s="15"/>
      <c r="Z364" s="15"/>
    </row>
    <row r="365" spans="1:26" x14ac:dyDescent="0.3">
      <c r="A365" s="15"/>
      <c r="B365" s="15"/>
      <c r="C365" s="15"/>
      <c r="D365" s="15"/>
      <c r="E365" s="15"/>
      <c r="F365" s="15"/>
      <c r="G365" s="15"/>
      <c r="H365" s="52"/>
      <c r="I365" s="52"/>
      <c r="J365" s="15"/>
      <c r="K365" s="15"/>
      <c r="L365" s="15"/>
      <c r="M365" s="15"/>
      <c r="N365" s="15"/>
      <c r="O365" s="15"/>
      <c r="P365" s="15"/>
      <c r="Q365" s="15"/>
      <c r="R365" s="15"/>
      <c r="S365" s="15"/>
      <c r="T365" s="15"/>
      <c r="U365" s="15"/>
      <c r="V365" s="15"/>
      <c r="W365" s="15"/>
      <c r="X365" s="15"/>
      <c r="Y365" s="15"/>
      <c r="Z365" s="15"/>
    </row>
    <row r="366" spans="1:26" x14ac:dyDescent="0.3">
      <c r="A366" s="15"/>
      <c r="B366" s="15"/>
      <c r="C366" s="15"/>
      <c r="D366" s="15"/>
      <c r="E366" s="15"/>
      <c r="F366" s="15"/>
      <c r="G366" s="15"/>
      <c r="H366" s="52"/>
      <c r="I366" s="52"/>
      <c r="J366" s="15"/>
      <c r="K366" s="15"/>
      <c r="L366" s="15"/>
      <c r="M366" s="15"/>
      <c r="N366" s="15"/>
      <c r="O366" s="15"/>
      <c r="P366" s="15"/>
      <c r="Q366" s="15"/>
      <c r="R366" s="15"/>
      <c r="S366" s="15"/>
      <c r="T366" s="15"/>
      <c r="U366" s="15"/>
      <c r="V366" s="15"/>
      <c r="W366" s="15"/>
      <c r="X366" s="15"/>
      <c r="Y366" s="15"/>
      <c r="Z366" s="15"/>
    </row>
    <row r="367" spans="1:26" x14ac:dyDescent="0.3">
      <c r="A367" s="15"/>
      <c r="B367" s="15"/>
      <c r="C367" s="15"/>
      <c r="D367" s="15"/>
      <c r="E367" s="15"/>
      <c r="F367" s="15"/>
      <c r="G367" s="15"/>
      <c r="H367" s="52"/>
      <c r="I367" s="52"/>
      <c r="J367" s="15"/>
      <c r="K367" s="15"/>
      <c r="L367" s="15"/>
      <c r="M367" s="15"/>
      <c r="N367" s="15"/>
      <c r="O367" s="15"/>
      <c r="P367" s="15"/>
      <c r="Q367" s="15"/>
      <c r="R367" s="15"/>
      <c r="S367" s="15"/>
      <c r="T367" s="15"/>
      <c r="U367" s="15"/>
      <c r="V367" s="15"/>
      <c r="W367" s="15"/>
      <c r="X367" s="15"/>
      <c r="Y367" s="15"/>
      <c r="Z367" s="15"/>
    </row>
    <row r="368" spans="1:26" x14ac:dyDescent="0.3">
      <c r="A368" s="15"/>
      <c r="B368" s="15"/>
      <c r="C368" s="15"/>
      <c r="D368" s="15"/>
      <c r="E368" s="15"/>
      <c r="F368" s="15"/>
      <c r="G368" s="15"/>
      <c r="H368" s="52"/>
      <c r="I368" s="52"/>
      <c r="J368" s="15"/>
      <c r="K368" s="15"/>
      <c r="L368" s="15"/>
      <c r="M368" s="15"/>
      <c r="N368" s="15"/>
      <c r="O368" s="15"/>
      <c r="P368" s="15"/>
      <c r="Q368" s="15"/>
      <c r="R368" s="15"/>
      <c r="S368" s="15"/>
      <c r="T368" s="15"/>
      <c r="U368" s="15"/>
      <c r="V368" s="15"/>
      <c r="W368" s="15"/>
      <c r="X368" s="15"/>
      <c r="Y368" s="15"/>
      <c r="Z368" s="15"/>
    </row>
    <row r="369" spans="1:26" x14ac:dyDescent="0.3">
      <c r="A369" s="15"/>
      <c r="B369" s="15"/>
      <c r="C369" s="15"/>
      <c r="D369" s="15"/>
      <c r="E369" s="15"/>
      <c r="F369" s="15"/>
      <c r="G369" s="15"/>
      <c r="H369" s="52"/>
      <c r="I369" s="52"/>
      <c r="J369" s="15"/>
      <c r="K369" s="15"/>
      <c r="L369" s="15"/>
      <c r="M369" s="15"/>
      <c r="N369" s="15"/>
      <c r="O369" s="15"/>
      <c r="P369" s="15"/>
      <c r="Q369" s="15"/>
      <c r="R369" s="15"/>
      <c r="S369" s="15"/>
      <c r="T369" s="15"/>
      <c r="U369" s="15"/>
      <c r="V369" s="15"/>
      <c r="W369" s="15"/>
      <c r="X369" s="15"/>
      <c r="Y369" s="15"/>
      <c r="Z369" s="15"/>
    </row>
    <row r="370" spans="1:26" x14ac:dyDescent="0.3">
      <c r="A370" s="15"/>
      <c r="B370" s="15"/>
      <c r="C370" s="15"/>
      <c r="D370" s="15"/>
      <c r="E370" s="15"/>
      <c r="F370" s="15"/>
      <c r="G370" s="15"/>
      <c r="H370" s="52"/>
      <c r="I370" s="52"/>
      <c r="J370" s="15"/>
      <c r="K370" s="15"/>
      <c r="L370" s="15"/>
      <c r="M370" s="15"/>
      <c r="N370" s="15"/>
      <c r="O370" s="15"/>
      <c r="P370" s="15"/>
      <c r="Q370" s="15"/>
      <c r="R370" s="15"/>
      <c r="S370" s="15"/>
      <c r="T370" s="15"/>
      <c r="U370" s="15"/>
      <c r="V370" s="15"/>
      <c r="W370" s="15"/>
      <c r="X370" s="15"/>
      <c r="Y370" s="15"/>
      <c r="Z370" s="15"/>
    </row>
    <row r="371" spans="1:26" x14ac:dyDescent="0.3">
      <c r="A371" s="15"/>
      <c r="B371" s="15"/>
      <c r="C371" s="15"/>
      <c r="D371" s="15"/>
      <c r="E371" s="15"/>
      <c r="F371" s="15"/>
      <c r="G371" s="15"/>
      <c r="H371" s="52"/>
      <c r="I371" s="52"/>
      <c r="J371" s="15"/>
      <c r="K371" s="15"/>
      <c r="L371" s="15"/>
      <c r="M371" s="15"/>
      <c r="N371" s="15"/>
      <c r="O371" s="15"/>
      <c r="P371" s="15"/>
      <c r="Q371" s="15"/>
      <c r="R371" s="15"/>
      <c r="S371" s="15"/>
      <c r="T371" s="15"/>
      <c r="U371" s="15"/>
      <c r="V371" s="15"/>
      <c r="W371" s="15"/>
      <c r="X371" s="15"/>
      <c r="Y371" s="15"/>
      <c r="Z371" s="15"/>
    </row>
    <row r="372" spans="1:26" x14ac:dyDescent="0.3">
      <c r="A372" s="15"/>
      <c r="B372" s="15"/>
      <c r="C372" s="15"/>
      <c r="D372" s="15"/>
      <c r="E372" s="15"/>
      <c r="F372" s="15"/>
      <c r="G372" s="15"/>
      <c r="H372" s="52"/>
      <c r="I372" s="52"/>
      <c r="J372" s="15"/>
      <c r="K372" s="15"/>
      <c r="L372" s="15"/>
      <c r="M372" s="15"/>
      <c r="N372" s="15"/>
      <c r="O372" s="15"/>
      <c r="P372" s="15"/>
      <c r="Q372" s="15"/>
      <c r="R372" s="15"/>
      <c r="S372" s="15"/>
      <c r="T372" s="15"/>
      <c r="U372" s="15"/>
      <c r="V372" s="15"/>
      <c r="W372" s="15"/>
      <c r="X372" s="15"/>
      <c r="Y372" s="15"/>
      <c r="Z372" s="15"/>
    </row>
    <row r="373" spans="1:26" x14ac:dyDescent="0.3">
      <c r="A373" s="15"/>
      <c r="B373" s="15"/>
      <c r="C373" s="15"/>
      <c r="D373" s="15"/>
      <c r="E373" s="15"/>
      <c r="F373" s="15"/>
      <c r="G373" s="15"/>
      <c r="H373" s="52"/>
      <c r="I373" s="52"/>
      <c r="J373" s="15"/>
      <c r="K373" s="15"/>
      <c r="L373" s="15"/>
      <c r="M373" s="15"/>
      <c r="N373" s="15"/>
      <c r="O373" s="15"/>
      <c r="P373" s="15"/>
      <c r="Q373" s="15"/>
      <c r="R373" s="15"/>
      <c r="S373" s="15"/>
      <c r="T373" s="15"/>
      <c r="U373" s="15"/>
      <c r="V373" s="15"/>
      <c r="W373" s="15"/>
      <c r="X373" s="15"/>
      <c r="Y373" s="15"/>
      <c r="Z373" s="15"/>
    </row>
    <row r="374" spans="1:26" x14ac:dyDescent="0.3">
      <c r="A374" s="15"/>
      <c r="B374" s="15"/>
      <c r="C374" s="15"/>
      <c r="D374" s="15"/>
      <c r="E374" s="15"/>
      <c r="F374" s="15"/>
      <c r="G374" s="15"/>
      <c r="H374" s="52"/>
      <c r="I374" s="52"/>
      <c r="J374" s="15"/>
      <c r="K374" s="15"/>
      <c r="L374" s="15"/>
      <c r="M374" s="15"/>
      <c r="N374" s="15"/>
      <c r="O374" s="15"/>
      <c r="P374" s="15"/>
      <c r="Q374" s="15"/>
      <c r="R374" s="15"/>
      <c r="S374" s="15"/>
      <c r="T374" s="15"/>
      <c r="U374" s="15"/>
      <c r="V374" s="15"/>
      <c r="W374" s="15"/>
      <c r="X374" s="15"/>
      <c r="Y374" s="15"/>
      <c r="Z374" s="15"/>
    </row>
    <row r="375" spans="1:26" x14ac:dyDescent="0.3">
      <c r="A375" s="15"/>
      <c r="B375" s="15"/>
      <c r="C375" s="15"/>
      <c r="D375" s="15"/>
      <c r="E375" s="15"/>
      <c r="F375" s="15"/>
      <c r="G375" s="15"/>
      <c r="H375" s="52"/>
      <c r="I375" s="52"/>
      <c r="J375" s="15"/>
      <c r="K375" s="15"/>
      <c r="L375" s="15"/>
      <c r="M375" s="15"/>
      <c r="N375" s="15"/>
      <c r="O375" s="15"/>
      <c r="P375" s="15"/>
      <c r="Q375" s="15"/>
      <c r="R375" s="15"/>
      <c r="S375" s="15"/>
      <c r="T375" s="15"/>
      <c r="U375" s="15"/>
      <c r="V375" s="15"/>
      <c r="W375" s="15"/>
      <c r="X375" s="15"/>
      <c r="Y375" s="15"/>
      <c r="Z375" s="15"/>
    </row>
    <row r="376" spans="1:26" x14ac:dyDescent="0.3">
      <c r="A376" s="15"/>
      <c r="B376" s="15"/>
      <c r="C376" s="15"/>
      <c r="D376" s="15"/>
      <c r="E376" s="15"/>
      <c r="F376" s="15"/>
      <c r="G376" s="15"/>
      <c r="H376" s="52"/>
      <c r="I376" s="52"/>
      <c r="J376" s="15"/>
      <c r="K376" s="15"/>
      <c r="L376" s="15"/>
      <c r="M376" s="15"/>
      <c r="N376" s="15"/>
      <c r="O376" s="15"/>
      <c r="P376" s="15"/>
      <c r="Q376" s="15"/>
      <c r="R376" s="15"/>
      <c r="S376" s="15"/>
      <c r="T376" s="15"/>
      <c r="U376" s="15"/>
      <c r="V376" s="15"/>
      <c r="W376" s="15"/>
      <c r="X376" s="15"/>
      <c r="Y376" s="15"/>
      <c r="Z376" s="15"/>
    </row>
    <row r="377" spans="1:26" x14ac:dyDescent="0.3">
      <c r="A377" s="15"/>
      <c r="B377" s="15"/>
      <c r="C377" s="15"/>
      <c r="D377" s="15"/>
      <c r="E377" s="15"/>
      <c r="F377" s="15"/>
      <c r="G377" s="15"/>
      <c r="H377" s="52"/>
      <c r="I377" s="52"/>
      <c r="J377" s="15"/>
      <c r="K377" s="15"/>
      <c r="L377" s="15"/>
      <c r="M377" s="15"/>
      <c r="N377" s="15"/>
      <c r="O377" s="15"/>
      <c r="P377" s="15"/>
      <c r="Q377" s="15"/>
      <c r="R377" s="15"/>
      <c r="S377" s="15"/>
      <c r="T377" s="15"/>
      <c r="U377" s="15"/>
      <c r="V377" s="15"/>
      <c r="W377" s="15"/>
      <c r="X377" s="15"/>
      <c r="Y377" s="15"/>
      <c r="Z377" s="15"/>
    </row>
    <row r="378" spans="1:26" x14ac:dyDescent="0.3">
      <c r="A378" s="15"/>
      <c r="B378" s="15"/>
      <c r="C378" s="15"/>
      <c r="D378" s="15"/>
      <c r="E378" s="15"/>
      <c r="F378" s="15"/>
      <c r="G378" s="15"/>
      <c r="H378" s="52"/>
      <c r="I378" s="52"/>
      <c r="J378" s="15"/>
      <c r="K378" s="15"/>
      <c r="L378" s="15"/>
      <c r="M378" s="15"/>
      <c r="N378" s="15"/>
      <c r="O378" s="15"/>
      <c r="P378" s="15"/>
      <c r="Q378" s="15"/>
      <c r="R378" s="15"/>
      <c r="S378" s="15"/>
      <c r="T378" s="15"/>
      <c r="U378" s="15"/>
      <c r="V378" s="15"/>
      <c r="W378" s="15"/>
      <c r="X378" s="15"/>
      <c r="Y378" s="15"/>
      <c r="Z378" s="15"/>
    </row>
    <row r="379" spans="1:26" x14ac:dyDescent="0.3">
      <c r="A379" s="15"/>
      <c r="B379" s="15"/>
      <c r="C379" s="15"/>
      <c r="D379" s="15"/>
      <c r="E379" s="15"/>
      <c r="F379" s="15"/>
      <c r="G379" s="15"/>
      <c r="H379" s="52"/>
      <c r="I379" s="52"/>
      <c r="J379" s="15"/>
      <c r="K379" s="15"/>
      <c r="L379" s="15"/>
      <c r="M379" s="15"/>
      <c r="N379" s="15"/>
      <c r="O379" s="15"/>
      <c r="P379" s="15"/>
      <c r="Q379" s="15"/>
      <c r="R379" s="15"/>
      <c r="S379" s="15"/>
      <c r="T379" s="15"/>
      <c r="U379" s="15"/>
      <c r="V379" s="15"/>
      <c r="W379" s="15"/>
      <c r="X379" s="15"/>
      <c r="Y379" s="15"/>
      <c r="Z379" s="15"/>
    </row>
    <row r="380" spans="1:26" x14ac:dyDescent="0.3">
      <c r="A380" s="15"/>
      <c r="B380" s="15"/>
      <c r="C380" s="15"/>
      <c r="D380" s="15"/>
      <c r="E380" s="15"/>
      <c r="F380" s="15"/>
      <c r="G380" s="15"/>
      <c r="H380" s="52"/>
      <c r="I380" s="52"/>
      <c r="J380" s="15"/>
      <c r="K380" s="15"/>
      <c r="L380" s="15"/>
      <c r="M380" s="15"/>
      <c r="N380" s="15"/>
      <c r="O380" s="15"/>
      <c r="P380" s="15"/>
      <c r="Q380" s="15"/>
      <c r="R380" s="15"/>
      <c r="S380" s="15"/>
      <c r="T380" s="15"/>
      <c r="U380" s="15"/>
      <c r="V380" s="15"/>
      <c r="W380" s="15"/>
      <c r="X380" s="15"/>
      <c r="Y380" s="15"/>
      <c r="Z380" s="15"/>
    </row>
    <row r="381" spans="1:26" x14ac:dyDescent="0.3">
      <c r="A381" s="15"/>
      <c r="B381" s="15"/>
      <c r="C381" s="15"/>
      <c r="D381" s="15"/>
      <c r="E381" s="15"/>
      <c r="F381" s="15"/>
      <c r="G381" s="15"/>
      <c r="H381" s="52"/>
      <c r="I381" s="52"/>
      <c r="J381" s="15"/>
      <c r="K381" s="15"/>
      <c r="L381" s="15"/>
      <c r="M381" s="15"/>
      <c r="N381" s="15"/>
      <c r="O381" s="15"/>
      <c r="P381" s="15"/>
      <c r="Q381" s="15"/>
      <c r="R381" s="15"/>
      <c r="S381" s="15"/>
      <c r="T381" s="15"/>
      <c r="U381" s="15"/>
      <c r="V381" s="15"/>
      <c r="W381" s="15"/>
      <c r="X381" s="15"/>
      <c r="Y381" s="15"/>
      <c r="Z381" s="15"/>
    </row>
    <row r="382" spans="1:26" x14ac:dyDescent="0.3">
      <c r="A382" s="15"/>
      <c r="B382" s="15"/>
      <c r="C382" s="15"/>
      <c r="D382" s="15"/>
      <c r="E382" s="15"/>
      <c r="F382" s="15"/>
      <c r="G382" s="15"/>
      <c r="H382" s="52"/>
      <c r="I382" s="52"/>
      <c r="J382" s="15"/>
      <c r="K382" s="15"/>
      <c r="L382" s="15"/>
      <c r="M382" s="15"/>
      <c r="N382" s="15"/>
      <c r="O382" s="15"/>
      <c r="P382" s="15"/>
      <c r="Q382" s="15"/>
      <c r="R382" s="15"/>
      <c r="S382" s="15"/>
      <c r="T382" s="15"/>
      <c r="U382" s="15"/>
      <c r="V382" s="15"/>
      <c r="W382" s="15"/>
      <c r="X382" s="15"/>
      <c r="Y382" s="15"/>
      <c r="Z382" s="15"/>
    </row>
    <row r="383" spans="1:26" x14ac:dyDescent="0.3">
      <c r="A383" s="15"/>
      <c r="B383" s="15"/>
      <c r="C383" s="15"/>
      <c r="D383" s="15"/>
      <c r="E383" s="15"/>
      <c r="F383" s="15"/>
      <c r="G383" s="15"/>
      <c r="H383" s="52"/>
      <c r="I383" s="52"/>
      <c r="J383" s="15"/>
      <c r="K383" s="15"/>
      <c r="L383" s="15"/>
      <c r="M383" s="15"/>
      <c r="N383" s="15"/>
      <c r="O383" s="15"/>
      <c r="P383" s="15"/>
      <c r="Q383" s="15"/>
      <c r="R383" s="15"/>
      <c r="S383" s="15"/>
      <c r="T383" s="15"/>
      <c r="U383" s="15"/>
      <c r="V383" s="15"/>
      <c r="W383" s="15"/>
      <c r="X383" s="15"/>
      <c r="Y383" s="15"/>
      <c r="Z383" s="15"/>
    </row>
    <row r="384" spans="1:26" x14ac:dyDescent="0.3">
      <c r="A384" s="15"/>
      <c r="B384" s="15"/>
      <c r="C384" s="15"/>
      <c r="D384" s="15"/>
      <c r="E384" s="15"/>
      <c r="F384" s="15"/>
      <c r="G384" s="15"/>
      <c r="H384" s="52"/>
      <c r="I384" s="52"/>
      <c r="J384" s="15"/>
      <c r="K384" s="15"/>
      <c r="L384" s="15"/>
      <c r="M384" s="15"/>
      <c r="N384" s="15"/>
      <c r="O384" s="15"/>
      <c r="P384" s="15"/>
      <c r="Q384" s="15"/>
      <c r="R384" s="15"/>
      <c r="S384" s="15"/>
      <c r="T384" s="15"/>
      <c r="U384" s="15"/>
      <c r="V384" s="15"/>
      <c r="W384" s="15"/>
      <c r="X384" s="15"/>
      <c r="Y384" s="15"/>
      <c r="Z384" s="15"/>
    </row>
    <row r="385" spans="1:26" x14ac:dyDescent="0.3">
      <c r="A385" s="15"/>
      <c r="B385" s="15"/>
      <c r="C385" s="15"/>
      <c r="D385" s="15"/>
      <c r="E385" s="15"/>
      <c r="F385" s="15"/>
      <c r="G385" s="15"/>
      <c r="H385" s="52"/>
      <c r="I385" s="52"/>
      <c r="J385" s="15"/>
      <c r="K385" s="15"/>
      <c r="L385" s="15"/>
      <c r="M385" s="15"/>
      <c r="N385" s="15"/>
      <c r="O385" s="15"/>
      <c r="P385" s="15"/>
      <c r="Q385" s="15"/>
      <c r="R385" s="15"/>
      <c r="S385" s="15"/>
      <c r="T385" s="15"/>
      <c r="U385" s="15"/>
      <c r="V385" s="15"/>
      <c r="W385" s="15"/>
      <c r="X385" s="15"/>
      <c r="Y385" s="15"/>
      <c r="Z385" s="15"/>
    </row>
    <row r="386" spans="1:26" x14ac:dyDescent="0.3">
      <c r="A386" s="15"/>
      <c r="B386" s="15"/>
      <c r="C386" s="15"/>
      <c r="D386" s="15"/>
      <c r="E386" s="15"/>
      <c r="F386" s="15"/>
      <c r="G386" s="15"/>
      <c r="H386" s="52"/>
      <c r="I386" s="52"/>
      <c r="J386" s="15"/>
      <c r="K386" s="15"/>
      <c r="L386" s="15"/>
      <c r="M386" s="15"/>
      <c r="N386" s="15"/>
      <c r="O386" s="15"/>
      <c r="P386" s="15"/>
      <c r="Q386" s="15"/>
      <c r="R386" s="15"/>
      <c r="S386" s="15"/>
      <c r="T386" s="15"/>
      <c r="U386" s="15"/>
      <c r="V386" s="15"/>
      <c r="W386" s="15"/>
      <c r="X386" s="15"/>
      <c r="Y386" s="15"/>
      <c r="Z386" s="15"/>
    </row>
    <row r="387" spans="1:26" x14ac:dyDescent="0.3">
      <c r="A387" s="15"/>
      <c r="B387" s="15"/>
      <c r="C387" s="15"/>
      <c r="D387" s="15"/>
      <c r="E387" s="15"/>
      <c r="F387" s="15"/>
      <c r="G387" s="15"/>
      <c r="H387" s="52"/>
      <c r="I387" s="52"/>
      <c r="J387" s="15"/>
      <c r="K387" s="15"/>
      <c r="L387" s="15"/>
      <c r="M387" s="15"/>
      <c r="N387" s="15"/>
      <c r="O387" s="15"/>
      <c r="P387" s="15"/>
      <c r="Q387" s="15"/>
      <c r="R387" s="15"/>
      <c r="S387" s="15"/>
      <c r="T387" s="15"/>
      <c r="U387" s="15"/>
      <c r="V387" s="15"/>
      <c r="W387" s="15"/>
      <c r="X387" s="15"/>
      <c r="Y387" s="15"/>
      <c r="Z387" s="15"/>
    </row>
    <row r="388" spans="1:26" x14ac:dyDescent="0.3">
      <c r="A388" s="15"/>
      <c r="B388" s="15"/>
      <c r="C388" s="15"/>
      <c r="D388" s="15"/>
      <c r="E388" s="15"/>
      <c r="F388" s="15"/>
      <c r="G388" s="15"/>
      <c r="H388" s="52"/>
      <c r="I388" s="52"/>
      <c r="J388" s="15"/>
      <c r="K388" s="15"/>
      <c r="L388" s="15"/>
      <c r="M388" s="15"/>
      <c r="N388" s="15"/>
      <c r="O388" s="15"/>
      <c r="P388" s="15"/>
      <c r="Q388" s="15"/>
      <c r="R388" s="15"/>
      <c r="S388" s="15"/>
      <c r="T388" s="15"/>
      <c r="U388" s="15"/>
      <c r="V388" s="15"/>
      <c r="W388" s="15"/>
      <c r="X388" s="15"/>
      <c r="Y388" s="15"/>
      <c r="Z388" s="15"/>
    </row>
    <row r="389" spans="1:26" x14ac:dyDescent="0.3">
      <c r="A389" s="15"/>
      <c r="B389" s="15"/>
      <c r="C389" s="15"/>
      <c r="D389" s="15"/>
      <c r="E389" s="15"/>
      <c r="F389" s="15"/>
      <c r="G389" s="15"/>
      <c r="H389" s="52"/>
      <c r="I389" s="52"/>
      <c r="J389" s="15"/>
      <c r="K389" s="15"/>
      <c r="L389" s="15"/>
      <c r="M389" s="15"/>
      <c r="N389" s="15"/>
      <c r="O389" s="15"/>
      <c r="P389" s="15"/>
      <c r="Q389" s="15"/>
      <c r="R389" s="15"/>
      <c r="S389" s="15"/>
      <c r="T389" s="15"/>
      <c r="U389" s="15"/>
      <c r="V389" s="15"/>
      <c r="W389" s="15"/>
      <c r="X389" s="15"/>
      <c r="Y389" s="15"/>
      <c r="Z389" s="15"/>
    </row>
    <row r="390" spans="1:26" x14ac:dyDescent="0.3">
      <c r="A390" s="15"/>
      <c r="B390" s="15"/>
      <c r="C390" s="15"/>
      <c r="D390" s="15"/>
      <c r="E390" s="15"/>
      <c r="F390" s="15"/>
      <c r="G390" s="15"/>
      <c r="H390" s="52"/>
      <c r="I390" s="52"/>
      <c r="J390" s="15"/>
      <c r="K390" s="15"/>
      <c r="L390" s="15"/>
      <c r="M390" s="15"/>
      <c r="N390" s="15"/>
      <c r="O390" s="15"/>
      <c r="P390" s="15"/>
      <c r="Q390" s="15"/>
      <c r="R390" s="15"/>
      <c r="S390" s="15"/>
      <c r="T390" s="15"/>
      <c r="U390" s="15"/>
      <c r="V390" s="15"/>
      <c r="W390" s="15"/>
      <c r="X390" s="15"/>
      <c r="Y390" s="15"/>
      <c r="Z390" s="15"/>
    </row>
    <row r="391" spans="1:26" x14ac:dyDescent="0.3">
      <c r="A391" s="15"/>
      <c r="B391" s="15"/>
      <c r="C391" s="15"/>
      <c r="D391" s="15"/>
      <c r="E391" s="15"/>
      <c r="F391" s="15"/>
      <c r="G391" s="15"/>
      <c r="H391" s="52"/>
      <c r="I391" s="52"/>
      <c r="J391" s="15"/>
      <c r="K391" s="15"/>
      <c r="L391" s="15"/>
      <c r="M391" s="15"/>
      <c r="N391" s="15"/>
      <c r="O391" s="15"/>
      <c r="P391" s="15"/>
      <c r="Q391" s="15"/>
      <c r="R391" s="15"/>
      <c r="S391" s="15"/>
      <c r="T391" s="15"/>
      <c r="U391" s="15"/>
      <c r="V391" s="15"/>
      <c r="W391" s="15"/>
      <c r="X391" s="15"/>
      <c r="Y391" s="15"/>
      <c r="Z391" s="15"/>
    </row>
    <row r="392" spans="1:26" x14ac:dyDescent="0.3">
      <c r="A392" s="15"/>
      <c r="B392" s="15"/>
      <c r="C392" s="15"/>
      <c r="D392" s="15"/>
      <c r="E392" s="15"/>
      <c r="F392" s="15"/>
      <c r="G392" s="15"/>
      <c r="H392" s="52"/>
      <c r="I392" s="52"/>
      <c r="J392" s="15"/>
      <c r="K392" s="15"/>
      <c r="L392" s="15"/>
      <c r="M392" s="15"/>
      <c r="N392" s="15"/>
      <c r="O392" s="15"/>
      <c r="P392" s="15"/>
      <c r="Q392" s="15"/>
      <c r="R392" s="15"/>
      <c r="S392" s="15"/>
      <c r="T392" s="15"/>
      <c r="U392" s="15"/>
      <c r="V392" s="15"/>
      <c r="W392" s="15"/>
      <c r="X392" s="15"/>
      <c r="Y392" s="15"/>
      <c r="Z392" s="15"/>
    </row>
    <row r="393" spans="1:26" x14ac:dyDescent="0.3">
      <c r="A393" s="15"/>
      <c r="B393" s="15"/>
      <c r="C393" s="15"/>
      <c r="D393" s="15"/>
      <c r="E393" s="15"/>
      <c r="F393" s="15"/>
      <c r="G393" s="15"/>
      <c r="H393" s="52"/>
      <c r="I393" s="52"/>
      <c r="J393" s="15"/>
      <c r="K393" s="15"/>
      <c r="L393" s="15"/>
      <c r="M393" s="15"/>
      <c r="N393" s="15"/>
      <c r="O393" s="15"/>
      <c r="P393" s="15"/>
      <c r="Q393" s="15"/>
      <c r="R393" s="15"/>
      <c r="S393" s="15"/>
      <c r="T393" s="15"/>
      <c r="U393" s="15"/>
      <c r="V393" s="15"/>
      <c r="W393" s="15"/>
      <c r="X393" s="15"/>
      <c r="Y393" s="15"/>
      <c r="Z393" s="15"/>
    </row>
    <row r="394" spans="1:26" x14ac:dyDescent="0.3">
      <c r="A394" s="15"/>
      <c r="B394" s="15"/>
      <c r="C394" s="15"/>
      <c r="D394" s="15"/>
      <c r="E394" s="15"/>
      <c r="F394" s="15"/>
      <c r="G394" s="15"/>
      <c r="H394" s="52"/>
      <c r="I394" s="52"/>
      <c r="J394" s="15"/>
      <c r="K394" s="15"/>
      <c r="L394" s="15"/>
      <c r="M394" s="15"/>
      <c r="N394" s="15"/>
      <c r="O394" s="15"/>
      <c r="P394" s="15"/>
      <c r="Q394" s="15"/>
      <c r="R394" s="15"/>
      <c r="S394" s="15"/>
      <c r="T394" s="15"/>
      <c r="U394" s="15"/>
      <c r="V394" s="15"/>
      <c r="W394" s="15"/>
      <c r="X394" s="15"/>
      <c r="Y394" s="15"/>
      <c r="Z394" s="15"/>
    </row>
    <row r="395" spans="1:26" x14ac:dyDescent="0.3">
      <c r="A395" s="15"/>
      <c r="B395" s="15"/>
      <c r="C395" s="15"/>
      <c r="D395" s="15"/>
      <c r="E395" s="15"/>
      <c r="F395" s="15"/>
      <c r="G395" s="15"/>
      <c r="H395" s="52"/>
      <c r="I395" s="52"/>
      <c r="J395" s="15"/>
      <c r="K395" s="15"/>
      <c r="L395" s="15"/>
      <c r="M395" s="15"/>
      <c r="N395" s="15"/>
      <c r="O395" s="15"/>
      <c r="P395" s="15"/>
      <c r="Q395" s="15"/>
      <c r="R395" s="15"/>
      <c r="S395" s="15"/>
      <c r="T395" s="15"/>
      <c r="U395" s="15"/>
      <c r="V395" s="15"/>
      <c r="W395" s="15"/>
      <c r="X395" s="15"/>
      <c r="Y395" s="15"/>
      <c r="Z395" s="15"/>
    </row>
    <row r="396" spans="1:26" x14ac:dyDescent="0.3">
      <c r="A396" s="15"/>
      <c r="B396" s="15"/>
      <c r="C396" s="15"/>
      <c r="D396" s="15"/>
      <c r="E396" s="15"/>
      <c r="F396" s="15"/>
      <c r="G396" s="15"/>
      <c r="H396" s="52"/>
      <c r="I396" s="52"/>
      <c r="J396" s="15"/>
      <c r="K396" s="15"/>
      <c r="L396" s="15"/>
      <c r="M396" s="15"/>
      <c r="N396" s="15"/>
      <c r="O396" s="15"/>
      <c r="P396" s="15"/>
      <c r="Q396" s="15"/>
      <c r="R396" s="15"/>
      <c r="S396" s="15"/>
      <c r="T396" s="15"/>
      <c r="U396" s="15"/>
      <c r="V396" s="15"/>
      <c r="W396" s="15"/>
      <c r="X396" s="15"/>
      <c r="Y396" s="15"/>
      <c r="Z396" s="15"/>
    </row>
    <row r="397" spans="1:26" x14ac:dyDescent="0.3">
      <c r="A397" s="15"/>
      <c r="B397" s="15"/>
      <c r="C397" s="15"/>
      <c r="D397" s="15"/>
      <c r="E397" s="15"/>
      <c r="F397" s="15"/>
      <c r="G397" s="15"/>
      <c r="H397" s="52"/>
      <c r="I397" s="52"/>
      <c r="J397" s="15"/>
      <c r="K397" s="15"/>
      <c r="L397" s="15"/>
      <c r="M397" s="15"/>
      <c r="N397" s="15"/>
      <c r="O397" s="15"/>
      <c r="P397" s="15"/>
      <c r="Q397" s="15"/>
      <c r="R397" s="15"/>
      <c r="S397" s="15"/>
      <c r="T397" s="15"/>
      <c r="U397" s="15"/>
      <c r="V397" s="15"/>
      <c r="W397" s="15"/>
      <c r="X397" s="15"/>
      <c r="Y397" s="15"/>
      <c r="Z397" s="15"/>
    </row>
    <row r="398" spans="1:26" x14ac:dyDescent="0.3">
      <c r="A398" s="15"/>
      <c r="B398" s="15"/>
      <c r="C398" s="15"/>
      <c r="D398" s="15"/>
      <c r="E398" s="15"/>
      <c r="F398" s="15"/>
      <c r="G398" s="15"/>
      <c r="H398" s="52"/>
      <c r="I398" s="52"/>
      <c r="J398" s="15"/>
      <c r="K398" s="15"/>
      <c r="L398" s="15"/>
      <c r="M398" s="15"/>
      <c r="N398" s="15"/>
      <c r="O398" s="15"/>
      <c r="P398" s="15"/>
      <c r="Q398" s="15"/>
      <c r="R398" s="15"/>
      <c r="S398" s="15"/>
      <c r="T398" s="15"/>
      <c r="U398" s="15"/>
      <c r="V398" s="15"/>
      <c r="W398" s="15"/>
      <c r="X398" s="15"/>
      <c r="Y398" s="15"/>
      <c r="Z398" s="15"/>
    </row>
    <row r="399" spans="1:26" x14ac:dyDescent="0.3">
      <c r="A399" s="15"/>
      <c r="B399" s="15"/>
      <c r="C399" s="15"/>
      <c r="D399" s="15"/>
      <c r="E399" s="15"/>
      <c r="F399" s="15"/>
      <c r="G399" s="15"/>
      <c r="H399" s="52"/>
      <c r="I399" s="52"/>
      <c r="J399" s="15"/>
      <c r="K399" s="15"/>
      <c r="L399" s="15"/>
      <c r="M399" s="15"/>
      <c r="N399" s="15"/>
      <c r="O399" s="15"/>
      <c r="P399" s="15"/>
      <c r="Q399" s="15"/>
      <c r="R399" s="15"/>
      <c r="S399" s="15"/>
      <c r="T399" s="15"/>
      <c r="U399" s="15"/>
      <c r="V399" s="15"/>
      <c r="W399" s="15"/>
      <c r="X399" s="15"/>
      <c r="Y399" s="15"/>
      <c r="Z399" s="15"/>
    </row>
    <row r="400" spans="1:26" x14ac:dyDescent="0.3">
      <c r="A400" s="15"/>
      <c r="B400" s="15"/>
      <c r="C400" s="15"/>
      <c r="D400" s="15"/>
      <c r="E400" s="15"/>
      <c r="F400" s="15"/>
      <c r="G400" s="15"/>
      <c r="H400" s="52"/>
      <c r="I400" s="52"/>
      <c r="J400" s="15"/>
      <c r="K400" s="15"/>
      <c r="L400" s="15"/>
      <c r="M400" s="15"/>
      <c r="N400" s="15"/>
      <c r="O400" s="15"/>
      <c r="P400" s="15"/>
      <c r="Q400" s="15"/>
      <c r="R400" s="15"/>
      <c r="S400" s="15"/>
      <c r="T400" s="15"/>
      <c r="U400" s="15"/>
      <c r="V400" s="15"/>
      <c r="W400" s="15"/>
      <c r="X400" s="15"/>
      <c r="Y400" s="15"/>
      <c r="Z400" s="15"/>
    </row>
    <row r="401" spans="1:26" x14ac:dyDescent="0.3">
      <c r="A401" s="15"/>
      <c r="B401" s="15"/>
      <c r="C401" s="15"/>
      <c r="D401" s="15"/>
      <c r="E401" s="15"/>
      <c r="F401" s="15"/>
      <c r="G401" s="15"/>
      <c r="H401" s="52"/>
      <c r="I401" s="52"/>
      <c r="J401" s="15"/>
      <c r="K401" s="15"/>
      <c r="L401" s="15"/>
      <c r="M401" s="15"/>
      <c r="N401" s="15"/>
      <c r="O401" s="15"/>
      <c r="P401" s="15"/>
      <c r="Q401" s="15"/>
      <c r="R401" s="15"/>
      <c r="S401" s="15"/>
      <c r="T401" s="15"/>
      <c r="U401" s="15"/>
      <c r="V401" s="15"/>
      <c r="W401" s="15"/>
      <c r="X401" s="15"/>
      <c r="Y401" s="15"/>
      <c r="Z401" s="15"/>
    </row>
    <row r="402" spans="1:26" x14ac:dyDescent="0.3">
      <c r="A402" s="15"/>
      <c r="B402" s="15"/>
      <c r="C402" s="15"/>
      <c r="D402" s="15"/>
      <c r="E402" s="15"/>
      <c r="F402" s="15"/>
      <c r="G402" s="15"/>
      <c r="H402" s="52"/>
      <c r="I402" s="52"/>
      <c r="J402" s="15"/>
      <c r="K402" s="15"/>
      <c r="L402" s="15"/>
      <c r="M402" s="15"/>
      <c r="N402" s="15"/>
      <c r="O402" s="15"/>
      <c r="P402" s="15"/>
      <c r="Q402" s="15"/>
      <c r="R402" s="15"/>
      <c r="S402" s="15"/>
      <c r="T402" s="15"/>
      <c r="U402" s="15"/>
      <c r="V402" s="15"/>
      <c r="W402" s="15"/>
      <c r="X402" s="15"/>
      <c r="Y402" s="15"/>
      <c r="Z402" s="15"/>
    </row>
    <row r="403" spans="1:26" x14ac:dyDescent="0.3">
      <c r="A403" s="15"/>
      <c r="B403" s="15"/>
      <c r="C403" s="15"/>
      <c r="D403" s="15"/>
      <c r="E403" s="15"/>
      <c r="F403" s="15"/>
      <c r="G403" s="15"/>
      <c r="H403" s="52"/>
      <c r="I403" s="52"/>
      <c r="J403" s="15"/>
      <c r="K403" s="15"/>
      <c r="L403" s="15"/>
      <c r="M403" s="15"/>
      <c r="N403" s="15"/>
      <c r="O403" s="15"/>
      <c r="P403" s="15"/>
      <c r="Q403" s="15"/>
      <c r="R403" s="15"/>
      <c r="S403" s="15"/>
      <c r="T403" s="15"/>
      <c r="U403" s="15"/>
      <c r="V403" s="15"/>
      <c r="W403" s="15"/>
      <c r="X403" s="15"/>
      <c r="Y403" s="15"/>
      <c r="Z403" s="15"/>
    </row>
    <row r="404" spans="1:26" x14ac:dyDescent="0.3">
      <c r="A404" s="15"/>
      <c r="B404" s="15"/>
      <c r="C404" s="15"/>
      <c r="D404" s="15"/>
      <c r="E404" s="15"/>
      <c r="F404" s="15"/>
      <c r="G404" s="15"/>
      <c r="H404" s="52"/>
      <c r="I404" s="52"/>
      <c r="J404" s="15"/>
      <c r="K404" s="15"/>
      <c r="L404" s="15"/>
      <c r="M404" s="15"/>
      <c r="N404" s="15"/>
      <c r="O404" s="15"/>
      <c r="P404" s="15"/>
      <c r="Q404" s="15"/>
      <c r="R404" s="15"/>
      <c r="S404" s="15"/>
      <c r="T404" s="15"/>
      <c r="U404" s="15"/>
      <c r="V404" s="15"/>
      <c r="W404" s="15"/>
      <c r="X404" s="15"/>
      <c r="Y404" s="15"/>
      <c r="Z404" s="15"/>
    </row>
    <row r="405" spans="1:26" x14ac:dyDescent="0.3">
      <c r="A405" s="15"/>
      <c r="B405" s="15"/>
      <c r="C405" s="15"/>
      <c r="D405" s="15"/>
      <c r="E405" s="15"/>
      <c r="F405" s="15"/>
      <c r="G405" s="15"/>
      <c r="H405" s="52"/>
      <c r="I405" s="52"/>
      <c r="J405" s="15"/>
      <c r="K405" s="15"/>
      <c r="L405" s="15"/>
      <c r="M405" s="15"/>
      <c r="N405" s="15"/>
      <c r="O405" s="15"/>
      <c r="P405" s="15"/>
      <c r="Q405" s="15"/>
      <c r="R405" s="15"/>
      <c r="S405" s="15"/>
      <c r="T405" s="15"/>
      <c r="U405" s="15"/>
      <c r="V405" s="15"/>
      <c r="W405" s="15"/>
      <c r="X405" s="15"/>
      <c r="Y405" s="15"/>
      <c r="Z405" s="15"/>
    </row>
    <row r="406" spans="1:26" x14ac:dyDescent="0.3">
      <c r="A406" s="15"/>
      <c r="B406" s="15"/>
      <c r="C406" s="15"/>
      <c r="D406" s="15"/>
      <c r="E406" s="15"/>
      <c r="F406" s="15"/>
      <c r="G406" s="15"/>
      <c r="H406" s="52"/>
      <c r="I406" s="52"/>
      <c r="J406" s="15"/>
      <c r="K406" s="15"/>
      <c r="L406" s="15"/>
      <c r="M406" s="15"/>
      <c r="N406" s="15"/>
      <c r="O406" s="15"/>
      <c r="P406" s="15"/>
      <c r="Q406" s="15"/>
      <c r="R406" s="15"/>
      <c r="S406" s="15"/>
      <c r="T406" s="15"/>
      <c r="U406" s="15"/>
      <c r="V406" s="15"/>
      <c r="W406" s="15"/>
      <c r="X406" s="15"/>
      <c r="Y406" s="15"/>
      <c r="Z406" s="15"/>
    </row>
    <row r="407" spans="1:26" x14ac:dyDescent="0.3">
      <c r="A407" s="15"/>
      <c r="B407" s="15"/>
      <c r="C407" s="15"/>
      <c r="D407" s="15"/>
      <c r="E407" s="15"/>
      <c r="F407" s="15"/>
      <c r="G407" s="15"/>
      <c r="H407" s="52"/>
      <c r="I407" s="52"/>
      <c r="J407" s="15"/>
      <c r="K407" s="15"/>
      <c r="L407" s="15"/>
      <c r="M407" s="15"/>
      <c r="N407" s="15"/>
      <c r="O407" s="15"/>
      <c r="P407" s="15"/>
      <c r="Q407" s="15"/>
      <c r="R407" s="15"/>
      <c r="S407" s="15"/>
      <c r="T407" s="15"/>
      <c r="U407" s="15"/>
      <c r="V407" s="15"/>
      <c r="W407" s="15"/>
      <c r="X407" s="15"/>
      <c r="Y407" s="15"/>
      <c r="Z407" s="15"/>
    </row>
    <row r="408" spans="1:26" x14ac:dyDescent="0.3">
      <c r="A408" s="15"/>
      <c r="B408" s="15"/>
      <c r="C408" s="15"/>
      <c r="D408" s="15"/>
      <c r="E408" s="15"/>
      <c r="F408" s="15"/>
      <c r="G408" s="15"/>
      <c r="H408" s="52"/>
      <c r="I408" s="52"/>
      <c r="J408" s="15"/>
      <c r="K408" s="15"/>
      <c r="L408" s="15"/>
      <c r="M408" s="15"/>
      <c r="N408" s="15"/>
      <c r="O408" s="15"/>
      <c r="P408" s="15"/>
      <c r="Q408" s="15"/>
      <c r="R408" s="15"/>
      <c r="S408" s="15"/>
      <c r="T408" s="15"/>
      <c r="U408" s="15"/>
      <c r="V408" s="15"/>
      <c r="W408" s="15"/>
      <c r="X408" s="15"/>
      <c r="Y408" s="15"/>
      <c r="Z408" s="15"/>
    </row>
    <row r="409" spans="1:26" x14ac:dyDescent="0.3">
      <c r="A409" s="15"/>
      <c r="B409" s="15"/>
      <c r="C409" s="15"/>
      <c r="D409" s="15"/>
      <c r="E409" s="15"/>
      <c r="F409" s="15"/>
      <c r="G409" s="15"/>
      <c r="H409" s="52"/>
      <c r="I409" s="52"/>
      <c r="J409" s="15"/>
      <c r="K409" s="15"/>
      <c r="L409" s="15"/>
      <c r="M409" s="15"/>
      <c r="N409" s="15"/>
      <c r="O409" s="15"/>
      <c r="P409" s="15"/>
      <c r="Q409" s="15"/>
      <c r="R409" s="15"/>
      <c r="S409" s="15"/>
      <c r="T409" s="15"/>
      <c r="U409" s="15"/>
      <c r="V409" s="15"/>
      <c r="W409" s="15"/>
      <c r="X409" s="15"/>
      <c r="Y409" s="15"/>
      <c r="Z409" s="15"/>
    </row>
    <row r="410" spans="1:26" x14ac:dyDescent="0.3">
      <c r="A410" s="15"/>
      <c r="B410" s="15"/>
      <c r="C410" s="15"/>
      <c r="D410" s="15"/>
      <c r="E410" s="15"/>
      <c r="F410" s="15"/>
      <c r="G410" s="15"/>
      <c r="H410" s="52"/>
      <c r="I410" s="52"/>
      <c r="J410" s="15"/>
      <c r="K410" s="15"/>
      <c r="L410" s="15"/>
      <c r="M410" s="15"/>
      <c r="N410" s="15"/>
      <c r="O410" s="15"/>
      <c r="P410" s="15"/>
      <c r="Q410" s="15"/>
      <c r="R410" s="15"/>
      <c r="S410" s="15"/>
      <c r="T410" s="15"/>
      <c r="U410" s="15"/>
      <c r="V410" s="15"/>
      <c r="W410" s="15"/>
      <c r="X410" s="15"/>
      <c r="Y410" s="15"/>
      <c r="Z410" s="15"/>
    </row>
    <row r="411" spans="1:26" x14ac:dyDescent="0.3">
      <c r="A411" s="15"/>
      <c r="B411" s="15"/>
      <c r="C411" s="15"/>
      <c r="D411" s="15"/>
      <c r="E411" s="15"/>
      <c r="F411" s="15"/>
      <c r="G411" s="15"/>
      <c r="H411" s="52"/>
      <c r="I411" s="52"/>
      <c r="J411" s="15"/>
      <c r="K411" s="15"/>
      <c r="L411" s="15"/>
      <c r="M411" s="15"/>
      <c r="N411" s="15"/>
      <c r="O411" s="15"/>
      <c r="P411" s="15"/>
      <c r="Q411" s="15"/>
      <c r="R411" s="15"/>
      <c r="S411" s="15"/>
      <c r="T411" s="15"/>
      <c r="U411" s="15"/>
      <c r="V411" s="15"/>
      <c r="W411" s="15"/>
      <c r="X411" s="15"/>
      <c r="Y411" s="15"/>
      <c r="Z411" s="15"/>
    </row>
    <row r="412" spans="1:26" x14ac:dyDescent="0.3">
      <c r="A412" s="15"/>
      <c r="B412" s="15"/>
      <c r="C412" s="15"/>
      <c r="D412" s="15"/>
      <c r="E412" s="15"/>
      <c r="F412" s="15"/>
      <c r="G412" s="15"/>
      <c r="H412" s="52"/>
      <c r="I412" s="52"/>
      <c r="J412" s="15"/>
      <c r="K412" s="15"/>
      <c r="L412" s="15"/>
      <c r="M412" s="15"/>
      <c r="N412" s="15"/>
      <c r="O412" s="15"/>
      <c r="P412" s="15"/>
      <c r="Q412" s="15"/>
      <c r="R412" s="15"/>
      <c r="S412" s="15"/>
      <c r="T412" s="15"/>
      <c r="U412" s="15"/>
      <c r="V412" s="15"/>
      <c r="W412" s="15"/>
      <c r="X412" s="15"/>
      <c r="Y412" s="15"/>
      <c r="Z412" s="15"/>
    </row>
    <row r="413" spans="1:26" x14ac:dyDescent="0.3">
      <c r="A413" s="15"/>
      <c r="B413" s="15"/>
      <c r="C413" s="15"/>
      <c r="D413" s="15"/>
      <c r="E413" s="15"/>
      <c r="F413" s="15"/>
      <c r="G413" s="15"/>
      <c r="H413" s="52"/>
      <c r="I413" s="52"/>
      <c r="J413" s="15"/>
      <c r="K413" s="15"/>
      <c r="L413" s="15"/>
      <c r="M413" s="15"/>
      <c r="N413" s="15"/>
      <c r="O413" s="15"/>
      <c r="P413" s="15"/>
      <c r="Q413" s="15"/>
      <c r="R413" s="15"/>
      <c r="S413" s="15"/>
      <c r="T413" s="15"/>
      <c r="U413" s="15"/>
      <c r="V413" s="15"/>
      <c r="W413" s="15"/>
      <c r="X413" s="15"/>
      <c r="Y413" s="15"/>
      <c r="Z413" s="15"/>
    </row>
    <row r="414" spans="1:26" x14ac:dyDescent="0.3">
      <c r="A414" s="15"/>
      <c r="B414" s="15"/>
      <c r="C414" s="15"/>
      <c r="D414" s="15"/>
      <c r="E414" s="15"/>
      <c r="F414" s="15"/>
      <c r="G414" s="15"/>
      <c r="H414" s="52"/>
      <c r="I414" s="52"/>
      <c r="J414" s="15"/>
      <c r="K414" s="15"/>
      <c r="L414" s="15"/>
      <c r="M414" s="15"/>
      <c r="N414" s="15"/>
      <c r="O414" s="15"/>
      <c r="P414" s="15"/>
      <c r="Q414" s="15"/>
      <c r="R414" s="15"/>
      <c r="S414" s="15"/>
      <c r="T414" s="15"/>
      <c r="U414" s="15"/>
      <c r="V414" s="15"/>
      <c r="W414" s="15"/>
      <c r="X414" s="15"/>
      <c r="Y414" s="15"/>
      <c r="Z414" s="15"/>
    </row>
    <row r="415" spans="1:26" x14ac:dyDescent="0.3">
      <c r="A415" s="15"/>
      <c r="B415" s="15"/>
      <c r="C415" s="15"/>
      <c r="D415" s="15"/>
      <c r="E415" s="15"/>
      <c r="F415" s="15"/>
      <c r="G415" s="15"/>
      <c r="H415" s="52"/>
      <c r="I415" s="52"/>
      <c r="J415" s="15"/>
      <c r="K415" s="15"/>
      <c r="L415" s="15"/>
      <c r="M415" s="15"/>
      <c r="N415" s="15"/>
      <c r="O415" s="15"/>
      <c r="P415" s="15"/>
      <c r="Q415" s="15"/>
      <c r="R415" s="15"/>
      <c r="S415" s="15"/>
      <c r="T415" s="15"/>
      <c r="U415" s="15"/>
      <c r="V415" s="15"/>
      <c r="W415" s="15"/>
      <c r="X415" s="15"/>
      <c r="Y415" s="15"/>
      <c r="Z415" s="15"/>
    </row>
    <row r="416" spans="1:26" x14ac:dyDescent="0.3">
      <c r="A416" s="15"/>
      <c r="B416" s="15"/>
      <c r="C416" s="15"/>
      <c r="D416" s="15"/>
      <c r="E416" s="15"/>
      <c r="F416" s="15"/>
      <c r="G416" s="15"/>
      <c r="H416" s="52"/>
      <c r="I416" s="52"/>
      <c r="J416" s="15"/>
      <c r="K416" s="15"/>
      <c r="L416" s="15"/>
      <c r="M416" s="15"/>
      <c r="N416" s="15"/>
      <c r="O416" s="15"/>
      <c r="P416" s="15"/>
      <c r="Q416" s="15"/>
      <c r="R416" s="15"/>
      <c r="S416" s="15"/>
      <c r="T416" s="15"/>
      <c r="U416" s="15"/>
      <c r="V416" s="15"/>
      <c r="W416" s="15"/>
      <c r="X416" s="15"/>
      <c r="Y416" s="15"/>
      <c r="Z416" s="15"/>
    </row>
    <row r="417" spans="1:26" x14ac:dyDescent="0.3">
      <c r="A417" s="15"/>
      <c r="B417" s="15"/>
      <c r="C417" s="15"/>
      <c r="D417" s="15"/>
      <c r="E417" s="15"/>
      <c r="F417" s="15"/>
      <c r="G417" s="15"/>
      <c r="H417" s="52"/>
      <c r="I417" s="52"/>
      <c r="J417" s="15"/>
      <c r="K417" s="15"/>
      <c r="L417" s="15"/>
      <c r="M417" s="15"/>
      <c r="N417" s="15"/>
      <c r="O417" s="15"/>
      <c r="P417" s="15"/>
      <c r="Q417" s="15"/>
      <c r="R417" s="15"/>
      <c r="S417" s="15"/>
      <c r="T417" s="15"/>
      <c r="U417" s="15"/>
      <c r="V417" s="15"/>
      <c r="W417" s="15"/>
      <c r="X417" s="15"/>
      <c r="Y417" s="15"/>
      <c r="Z417" s="15"/>
    </row>
    <row r="418" spans="1:26" x14ac:dyDescent="0.3">
      <c r="A418" s="15"/>
      <c r="B418" s="15"/>
      <c r="C418" s="15"/>
      <c r="D418" s="15"/>
      <c r="E418" s="15"/>
      <c r="F418" s="15"/>
      <c r="G418" s="15"/>
      <c r="H418" s="52"/>
      <c r="I418" s="52"/>
      <c r="J418" s="15"/>
      <c r="K418" s="15"/>
      <c r="L418" s="15"/>
      <c r="M418" s="15"/>
      <c r="N418" s="15"/>
      <c r="O418" s="15"/>
      <c r="P418" s="15"/>
      <c r="Q418" s="15"/>
      <c r="R418" s="15"/>
      <c r="S418" s="15"/>
      <c r="T418" s="15"/>
      <c r="U418" s="15"/>
      <c r="V418" s="15"/>
      <c r="W418" s="15"/>
      <c r="X418" s="15"/>
      <c r="Y418" s="15"/>
      <c r="Z418" s="15"/>
    </row>
    <row r="419" spans="1:26" x14ac:dyDescent="0.3">
      <c r="A419" s="15"/>
      <c r="B419" s="15"/>
      <c r="C419" s="15"/>
      <c r="D419" s="15"/>
      <c r="E419" s="15"/>
      <c r="F419" s="15"/>
      <c r="G419" s="15"/>
      <c r="H419" s="52"/>
      <c r="I419" s="52"/>
      <c r="J419" s="15"/>
      <c r="K419" s="15"/>
      <c r="L419" s="15"/>
      <c r="M419" s="15"/>
      <c r="N419" s="15"/>
      <c r="O419" s="15"/>
      <c r="P419" s="15"/>
      <c r="Q419" s="15"/>
      <c r="R419" s="15"/>
      <c r="S419" s="15"/>
      <c r="T419" s="15"/>
      <c r="U419" s="15"/>
      <c r="V419" s="15"/>
      <c r="W419" s="15"/>
      <c r="X419" s="15"/>
      <c r="Y419" s="15"/>
      <c r="Z419" s="15"/>
    </row>
    <row r="420" spans="1:26" x14ac:dyDescent="0.3">
      <c r="A420" s="15"/>
      <c r="B420" s="15"/>
      <c r="C420" s="15"/>
      <c r="D420" s="15"/>
      <c r="E420" s="15"/>
      <c r="F420" s="15"/>
      <c r="G420" s="15"/>
      <c r="H420" s="52"/>
      <c r="I420" s="52"/>
      <c r="J420" s="15"/>
      <c r="K420" s="15"/>
      <c r="L420" s="15"/>
      <c r="M420" s="15"/>
      <c r="N420" s="15"/>
      <c r="O420" s="15"/>
      <c r="P420" s="15"/>
      <c r="Q420" s="15"/>
      <c r="R420" s="15"/>
      <c r="S420" s="15"/>
      <c r="T420" s="15"/>
      <c r="U420" s="15"/>
      <c r="V420" s="15"/>
      <c r="W420" s="15"/>
      <c r="X420" s="15"/>
      <c r="Y420" s="15"/>
      <c r="Z420" s="15"/>
    </row>
    <row r="421" spans="1:26" x14ac:dyDescent="0.3">
      <c r="A421" s="15"/>
      <c r="B421" s="15"/>
      <c r="C421" s="15"/>
      <c r="D421" s="15"/>
      <c r="E421" s="15"/>
      <c r="F421" s="15"/>
      <c r="G421" s="15"/>
      <c r="H421" s="52"/>
      <c r="I421" s="52"/>
      <c r="J421" s="15"/>
      <c r="K421" s="15"/>
      <c r="L421" s="15"/>
      <c r="M421" s="15"/>
      <c r="N421" s="15"/>
      <c r="O421" s="15"/>
      <c r="P421" s="15"/>
      <c r="Q421" s="15"/>
      <c r="R421" s="15"/>
      <c r="S421" s="15"/>
      <c r="T421" s="15"/>
      <c r="U421" s="15"/>
      <c r="V421" s="15"/>
      <c r="W421" s="15"/>
      <c r="X421" s="15"/>
      <c r="Y421" s="15"/>
      <c r="Z421" s="15"/>
    </row>
    <row r="422" spans="1:26" x14ac:dyDescent="0.3">
      <c r="A422" s="15"/>
      <c r="B422" s="15"/>
      <c r="C422" s="15"/>
      <c r="D422" s="15"/>
      <c r="E422" s="15"/>
      <c r="F422" s="15"/>
      <c r="G422" s="15"/>
      <c r="H422" s="52"/>
      <c r="I422" s="52"/>
      <c r="J422" s="15"/>
      <c r="K422" s="15"/>
      <c r="L422" s="15"/>
      <c r="M422" s="15"/>
      <c r="N422" s="15"/>
      <c r="O422" s="15"/>
      <c r="P422" s="15"/>
      <c r="Q422" s="15"/>
      <c r="R422" s="15"/>
      <c r="S422" s="15"/>
      <c r="T422" s="15"/>
      <c r="U422" s="15"/>
      <c r="V422" s="15"/>
      <c r="W422" s="15"/>
      <c r="X422" s="15"/>
      <c r="Y422" s="15"/>
      <c r="Z422" s="15"/>
    </row>
    <row r="423" spans="1:26" x14ac:dyDescent="0.3">
      <c r="A423" s="15"/>
      <c r="B423" s="15"/>
      <c r="C423" s="15"/>
      <c r="D423" s="15"/>
      <c r="E423" s="15"/>
      <c r="F423" s="15"/>
      <c r="G423" s="15"/>
      <c r="H423" s="52"/>
      <c r="I423" s="52"/>
      <c r="J423" s="15"/>
      <c r="K423" s="15"/>
      <c r="L423" s="15"/>
      <c r="M423" s="15"/>
      <c r="N423" s="15"/>
      <c r="O423" s="15"/>
      <c r="P423" s="15"/>
      <c r="Q423" s="15"/>
      <c r="R423" s="15"/>
      <c r="S423" s="15"/>
      <c r="T423" s="15"/>
      <c r="U423" s="15"/>
      <c r="V423" s="15"/>
      <c r="W423" s="15"/>
      <c r="X423" s="15"/>
      <c r="Y423" s="15"/>
      <c r="Z423" s="15"/>
    </row>
    <row r="424" spans="1:26" x14ac:dyDescent="0.3">
      <c r="A424" s="15"/>
      <c r="B424" s="15"/>
      <c r="C424" s="15"/>
      <c r="D424" s="15"/>
      <c r="E424" s="15"/>
      <c r="F424" s="15"/>
      <c r="G424" s="15"/>
      <c r="H424" s="52"/>
      <c r="I424" s="52"/>
      <c r="J424" s="15"/>
      <c r="K424" s="15"/>
      <c r="L424" s="15"/>
      <c r="M424" s="15"/>
      <c r="N424" s="15"/>
      <c r="O424" s="15"/>
      <c r="P424" s="15"/>
      <c r="Q424" s="15"/>
      <c r="R424" s="15"/>
      <c r="S424" s="15"/>
      <c r="T424" s="15"/>
      <c r="U424" s="15"/>
      <c r="V424" s="15"/>
      <c r="W424" s="15"/>
      <c r="X424" s="15"/>
      <c r="Y424" s="15"/>
      <c r="Z424" s="15"/>
    </row>
    <row r="425" spans="1:26" x14ac:dyDescent="0.3">
      <c r="A425" s="15"/>
      <c r="B425" s="15"/>
      <c r="C425" s="15"/>
      <c r="D425" s="15"/>
      <c r="E425" s="15"/>
      <c r="F425" s="15"/>
      <c r="G425" s="15"/>
      <c r="H425" s="52"/>
      <c r="I425" s="52"/>
      <c r="J425" s="15"/>
      <c r="K425" s="15"/>
      <c r="L425" s="15"/>
      <c r="M425" s="15"/>
      <c r="N425" s="15"/>
      <c r="O425" s="15"/>
      <c r="P425" s="15"/>
      <c r="Q425" s="15"/>
      <c r="R425" s="15"/>
      <c r="S425" s="15"/>
      <c r="T425" s="15"/>
      <c r="U425" s="15"/>
      <c r="V425" s="15"/>
      <c r="W425" s="15"/>
      <c r="X425" s="15"/>
      <c r="Y425" s="15"/>
      <c r="Z425" s="15"/>
    </row>
    <row r="426" spans="1:26" x14ac:dyDescent="0.3">
      <c r="A426" s="15"/>
      <c r="B426" s="15"/>
      <c r="C426" s="15"/>
      <c r="D426" s="15"/>
      <c r="E426" s="15"/>
      <c r="F426" s="15"/>
      <c r="G426" s="15"/>
      <c r="H426" s="52"/>
      <c r="I426" s="52"/>
      <c r="J426" s="15"/>
      <c r="K426" s="15"/>
      <c r="L426" s="15"/>
      <c r="M426" s="15"/>
      <c r="N426" s="15"/>
      <c r="O426" s="15"/>
      <c r="P426" s="15"/>
      <c r="Q426" s="15"/>
      <c r="R426" s="15"/>
      <c r="S426" s="15"/>
      <c r="T426" s="15"/>
      <c r="U426" s="15"/>
      <c r="V426" s="15"/>
      <c r="W426" s="15"/>
      <c r="X426" s="15"/>
      <c r="Y426" s="15"/>
      <c r="Z426" s="15"/>
    </row>
    <row r="427" spans="1:26" x14ac:dyDescent="0.3">
      <c r="A427" s="15"/>
      <c r="B427" s="15"/>
      <c r="C427" s="15"/>
      <c r="D427" s="15"/>
      <c r="E427" s="15"/>
      <c r="F427" s="15"/>
      <c r="G427" s="15"/>
      <c r="H427" s="52"/>
      <c r="I427" s="52"/>
      <c r="J427" s="15"/>
      <c r="K427" s="15"/>
      <c r="L427" s="15"/>
      <c r="M427" s="15"/>
      <c r="N427" s="15"/>
      <c r="O427" s="15"/>
      <c r="P427" s="15"/>
      <c r="Q427" s="15"/>
      <c r="R427" s="15"/>
      <c r="S427" s="15"/>
      <c r="T427" s="15"/>
      <c r="U427" s="15"/>
      <c r="V427" s="15"/>
      <c r="W427" s="15"/>
      <c r="X427" s="15"/>
      <c r="Y427" s="15"/>
      <c r="Z427" s="15"/>
    </row>
    <row r="428" spans="1:26" x14ac:dyDescent="0.3">
      <c r="A428" s="15"/>
      <c r="B428" s="15"/>
      <c r="C428" s="15"/>
      <c r="D428" s="15"/>
      <c r="E428" s="15"/>
      <c r="F428" s="15"/>
      <c r="G428" s="15"/>
      <c r="H428" s="52"/>
      <c r="I428" s="52"/>
      <c r="J428" s="15"/>
      <c r="K428" s="15"/>
      <c r="L428" s="15"/>
      <c r="M428" s="15"/>
      <c r="N428" s="15"/>
      <c r="O428" s="15"/>
      <c r="P428" s="15"/>
      <c r="Q428" s="15"/>
      <c r="R428" s="15"/>
      <c r="S428" s="15"/>
      <c r="T428" s="15"/>
      <c r="U428" s="15"/>
      <c r="V428" s="15"/>
      <c r="W428" s="15"/>
      <c r="X428" s="15"/>
      <c r="Y428" s="15"/>
      <c r="Z428" s="15"/>
    </row>
    <row r="429" spans="1:26" x14ac:dyDescent="0.3">
      <c r="A429" s="15"/>
      <c r="B429" s="15"/>
      <c r="C429" s="15"/>
      <c r="D429" s="15"/>
      <c r="E429" s="15"/>
      <c r="F429" s="15"/>
      <c r="G429" s="15"/>
      <c r="H429" s="52"/>
      <c r="I429" s="52"/>
      <c r="J429" s="15"/>
      <c r="K429" s="15"/>
      <c r="L429" s="15"/>
      <c r="M429" s="15"/>
      <c r="N429" s="15"/>
      <c r="O429" s="15"/>
      <c r="P429" s="15"/>
      <c r="Q429" s="15"/>
      <c r="R429" s="15"/>
      <c r="S429" s="15"/>
      <c r="T429" s="15"/>
      <c r="U429" s="15"/>
      <c r="V429" s="15"/>
      <c r="W429" s="15"/>
      <c r="X429" s="15"/>
      <c r="Y429" s="15"/>
      <c r="Z429" s="15"/>
    </row>
    <row r="430" spans="1:26" x14ac:dyDescent="0.3">
      <c r="A430" s="15"/>
      <c r="B430" s="15"/>
      <c r="C430" s="15"/>
      <c r="D430" s="15"/>
      <c r="E430" s="15"/>
      <c r="F430" s="15"/>
      <c r="G430" s="15"/>
      <c r="H430" s="52"/>
      <c r="I430" s="52"/>
      <c r="J430" s="15"/>
      <c r="K430" s="15"/>
      <c r="L430" s="15"/>
      <c r="M430" s="15"/>
      <c r="N430" s="15"/>
      <c r="O430" s="15"/>
      <c r="P430" s="15"/>
      <c r="Q430" s="15"/>
      <c r="R430" s="15"/>
      <c r="S430" s="15"/>
      <c r="T430" s="15"/>
      <c r="U430" s="15"/>
      <c r="V430" s="15"/>
      <c r="W430" s="15"/>
      <c r="X430" s="15"/>
      <c r="Y430" s="15"/>
      <c r="Z430" s="15"/>
    </row>
    <row r="431" spans="1:26" x14ac:dyDescent="0.3">
      <c r="A431" s="15"/>
      <c r="B431" s="15"/>
      <c r="C431" s="15"/>
      <c r="D431" s="15"/>
      <c r="E431" s="15"/>
      <c r="F431" s="15"/>
      <c r="G431" s="15"/>
      <c r="H431" s="52"/>
      <c r="I431" s="52"/>
      <c r="J431" s="15"/>
      <c r="K431" s="15"/>
      <c r="L431" s="15"/>
      <c r="M431" s="15"/>
      <c r="N431" s="15"/>
      <c r="O431" s="15"/>
      <c r="P431" s="15"/>
      <c r="Q431" s="15"/>
      <c r="R431" s="15"/>
      <c r="S431" s="15"/>
      <c r="T431" s="15"/>
      <c r="U431" s="15"/>
      <c r="V431" s="15"/>
      <c r="W431" s="15"/>
      <c r="X431" s="15"/>
      <c r="Y431" s="15"/>
      <c r="Z431" s="15"/>
    </row>
    <row r="432" spans="1:26" x14ac:dyDescent="0.3">
      <c r="A432" s="15"/>
      <c r="B432" s="15"/>
      <c r="C432" s="15"/>
      <c r="D432" s="15"/>
      <c r="E432" s="15"/>
      <c r="F432" s="15"/>
      <c r="G432" s="15"/>
      <c r="H432" s="52"/>
      <c r="I432" s="52"/>
      <c r="J432" s="15"/>
      <c r="K432" s="15"/>
      <c r="L432" s="15"/>
      <c r="M432" s="15"/>
      <c r="N432" s="15"/>
      <c r="O432" s="15"/>
      <c r="P432" s="15"/>
      <c r="Q432" s="15"/>
      <c r="R432" s="15"/>
      <c r="S432" s="15"/>
      <c r="T432" s="15"/>
      <c r="U432" s="15"/>
      <c r="V432" s="15"/>
      <c r="W432" s="15"/>
      <c r="X432" s="15"/>
      <c r="Y432" s="15"/>
      <c r="Z432" s="15"/>
    </row>
    <row r="433" spans="1:26" x14ac:dyDescent="0.3">
      <c r="A433" s="15"/>
      <c r="B433" s="15"/>
      <c r="C433" s="15"/>
      <c r="D433" s="15"/>
      <c r="E433" s="15"/>
      <c r="F433" s="15"/>
      <c r="G433" s="15"/>
      <c r="H433" s="52"/>
      <c r="I433" s="52"/>
      <c r="J433" s="15"/>
      <c r="K433" s="15"/>
      <c r="L433" s="15"/>
      <c r="M433" s="15"/>
      <c r="N433" s="15"/>
      <c r="O433" s="15"/>
      <c r="P433" s="15"/>
      <c r="Q433" s="15"/>
      <c r="R433" s="15"/>
      <c r="S433" s="15"/>
      <c r="T433" s="15"/>
      <c r="U433" s="15"/>
      <c r="V433" s="15"/>
      <c r="W433" s="15"/>
      <c r="X433" s="15"/>
      <c r="Y433" s="15"/>
      <c r="Z433" s="15"/>
    </row>
    <row r="434" spans="1:26" x14ac:dyDescent="0.3">
      <c r="A434" s="15"/>
      <c r="B434" s="15"/>
      <c r="C434" s="15"/>
      <c r="D434" s="15"/>
      <c r="E434" s="15"/>
      <c r="F434" s="15"/>
      <c r="G434" s="15"/>
      <c r="H434" s="52"/>
      <c r="I434" s="52"/>
      <c r="J434" s="15"/>
      <c r="K434" s="15"/>
      <c r="L434" s="15"/>
      <c r="M434" s="15"/>
      <c r="N434" s="15"/>
      <c r="O434" s="15"/>
      <c r="P434" s="15"/>
      <c r="Q434" s="15"/>
      <c r="R434" s="15"/>
      <c r="S434" s="15"/>
      <c r="T434" s="15"/>
      <c r="U434" s="15"/>
      <c r="V434" s="15"/>
      <c r="W434" s="15"/>
      <c r="X434" s="15"/>
      <c r="Y434" s="15"/>
      <c r="Z434" s="15"/>
    </row>
    <row r="435" spans="1:26" x14ac:dyDescent="0.3">
      <c r="A435" s="15"/>
      <c r="B435" s="15"/>
      <c r="C435" s="15"/>
      <c r="D435" s="15"/>
      <c r="E435" s="15"/>
      <c r="F435" s="15"/>
      <c r="G435" s="15"/>
      <c r="H435" s="52"/>
      <c r="I435" s="52"/>
      <c r="J435" s="15"/>
      <c r="K435" s="15"/>
      <c r="L435" s="15"/>
      <c r="M435" s="15"/>
      <c r="N435" s="15"/>
      <c r="O435" s="15"/>
      <c r="P435" s="15"/>
      <c r="Q435" s="15"/>
      <c r="R435" s="15"/>
      <c r="S435" s="15"/>
      <c r="T435" s="15"/>
      <c r="U435" s="15"/>
      <c r="V435" s="15"/>
      <c r="W435" s="15"/>
      <c r="X435" s="15"/>
      <c r="Y435" s="15"/>
      <c r="Z435" s="15"/>
    </row>
    <row r="436" spans="1:26" x14ac:dyDescent="0.3">
      <c r="A436" s="15"/>
      <c r="B436" s="15"/>
      <c r="C436" s="15"/>
      <c r="D436" s="15"/>
      <c r="E436" s="15"/>
      <c r="F436" s="15"/>
      <c r="G436" s="15"/>
      <c r="H436" s="52"/>
      <c r="I436" s="52"/>
      <c r="J436" s="15"/>
      <c r="K436" s="15"/>
      <c r="L436" s="15"/>
      <c r="M436" s="15"/>
      <c r="N436" s="15"/>
      <c r="O436" s="15"/>
      <c r="P436" s="15"/>
      <c r="Q436" s="15"/>
      <c r="R436" s="15"/>
      <c r="S436" s="15"/>
      <c r="T436" s="15"/>
      <c r="U436" s="15"/>
      <c r="V436" s="15"/>
      <c r="W436" s="15"/>
      <c r="X436" s="15"/>
      <c r="Y436" s="15"/>
      <c r="Z436" s="15"/>
    </row>
    <row r="437" spans="1:26" x14ac:dyDescent="0.3">
      <c r="A437" s="15"/>
      <c r="B437" s="15"/>
      <c r="C437" s="15"/>
      <c r="D437" s="15"/>
      <c r="E437" s="15"/>
      <c r="F437" s="15"/>
      <c r="G437" s="15"/>
      <c r="H437" s="52"/>
      <c r="I437" s="52"/>
      <c r="J437" s="15"/>
      <c r="K437" s="15"/>
      <c r="L437" s="15"/>
      <c r="M437" s="15"/>
      <c r="N437" s="15"/>
      <c r="O437" s="15"/>
      <c r="P437" s="15"/>
      <c r="Q437" s="15"/>
      <c r="R437" s="15"/>
      <c r="S437" s="15"/>
      <c r="T437" s="15"/>
      <c r="U437" s="15"/>
      <c r="V437" s="15"/>
      <c r="W437" s="15"/>
      <c r="X437" s="15"/>
      <c r="Y437" s="15"/>
      <c r="Z437" s="15"/>
    </row>
    <row r="438" spans="1:26" x14ac:dyDescent="0.3">
      <c r="A438" s="15"/>
      <c r="B438" s="15"/>
      <c r="C438" s="15"/>
      <c r="D438" s="15"/>
      <c r="E438" s="15"/>
      <c r="F438" s="15"/>
      <c r="G438" s="15"/>
      <c r="H438" s="52"/>
      <c r="I438" s="52"/>
      <c r="J438" s="15"/>
      <c r="K438" s="15"/>
      <c r="L438" s="15"/>
      <c r="M438" s="15"/>
      <c r="N438" s="15"/>
      <c r="O438" s="15"/>
      <c r="P438" s="15"/>
      <c r="Q438" s="15"/>
      <c r="R438" s="15"/>
      <c r="S438" s="15"/>
      <c r="T438" s="15"/>
      <c r="U438" s="15"/>
      <c r="V438" s="15"/>
      <c r="W438" s="15"/>
      <c r="X438" s="15"/>
      <c r="Y438" s="15"/>
      <c r="Z438" s="15"/>
    </row>
    <row r="439" spans="1:26" x14ac:dyDescent="0.3">
      <c r="A439" s="15"/>
      <c r="B439" s="15"/>
      <c r="C439" s="15"/>
      <c r="D439" s="15"/>
      <c r="E439" s="15"/>
      <c r="F439" s="15"/>
      <c r="G439" s="15"/>
      <c r="H439" s="52"/>
      <c r="I439" s="52"/>
      <c r="J439" s="15"/>
      <c r="K439" s="15"/>
      <c r="L439" s="15"/>
      <c r="M439" s="15"/>
      <c r="N439" s="15"/>
      <c r="O439" s="15"/>
      <c r="P439" s="15"/>
      <c r="Q439" s="15"/>
      <c r="R439" s="15"/>
      <c r="S439" s="15"/>
      <c r="T439" s="15"/>
      <c r="U439" s="15"/>
      <c r="V439" s="15"/>
      <c r="W439" s="15"/>
      <c r="X439" s="15"/>
      <c r="Y439" s="15"/>
      <c r="Z439" s="15"/>
    </row>
    <row r="440" spans="1:26" x14ac:dyDescent="0.3">
      <c r="A440" s="15"/>
      <c r="B440" s="15"/>
      <c r="C440" s="15"/>
      <c r="D440" s="15"/>
      <c r="E440" s="15"/>
      <c r="F440" s="15"/>
      <c r="G440" s="15"/>
      <c r="H440" s="52"/>
      <c r="I440" s="52"/>
      <c r="J440" s="15"/>
      <c r="K440" s="15"/>
      <c r="L440" s="15"/>
      <c r="M440" s="15"/>
      <c r="N440" s="15"/>
      <c r="O440" s="15"/>
      <c r="P440" s="15"/>
      <c r="Q440" s="15"/>
      <c r="R440" s="15"/>
      <c r="S440" s="15"/>
      <c r="T440" s="15"/>
      <c r="U440" s="15"/>
      <c r="V440" s="15"/>
      <c r="W440" s="15"/>
      <c r="X440" s="15"/>
      <c r="Y440" s="15"/>
      <c r="Z440" s="15"/>
    </row>
    <row r="441" spans="1:26" x14ac:dyDescent="0.3">
      <c r="A441" s="15"/>
      <c r="B441" s="15"/>
      <c r="C441" s="15"/>
      <c r="D441" s="15"/>
      <c r="E441" s="15"/>
      <c r="F441" s="15"/>
      <c r="G441" s="15"/>
      <c r="H441" s="52"/>
      <c r="I441" s="52"/>
      <c r="J441" s="15"/>
      <c r="K441" s="15"/>
      <c r="L441" s="15"/>
      <c r="M441" s="15"/>
      <c r="N441" s="15"/>
      <c r="O441" s="15"/>
      <c r="P441" s="15"/>
      <c r="Q441" s="15"/>
      <c r="R441" s="15"/>
      <c r="S441" s="15"/>
      <c r="T441" s="15"/>
      <c r="U441" s="15"/>
      <c r="V441" s="15"/>
      <c r="W441" s="15"/>
      <c r="X441" s="15"/>
      <c r="Y441" s="15"/>
      <c r="Z441" s="15"/>
    </row>
    <row r="442" spans="1:26" x14ac:dyDescent="0.3">
      <c r="A442" s="15"/>
      <c r="B442" s="15"/>
      <c r="C442" s="15"/>
      <c r="D442" s="15"/>
      <c r="E442" s="15"/>
      <c r="F442" s="15"/>
      <c r="G442" s="15"/>
      <c r="H442" s="52"/>
      <c r="I442" s="52"/>
      <c r="J442" s="15"/>
      <c r="K442" s="15"/>
      <c r="L442" s="15"/>
      <c r="M442" s="15"/>
      <c r="N442" s="15"/>
      <c r="O442" s="15"/>
      <c r="P442" s="15"/>
      <c r="Q442" s="15"/>
      <c r="R442" s="15"/>
      <c r="S442" s="15"/>
      <c r="T442" s="15"/>
      <c r="U442" s="15"/>
      <c r="V442" s="15"/>
      <c r="W442" s="15"/>
      <c r="X442" s="15"/>
      <c r="Y442" s="15"/>
      <c r="Z442" s="15"/>
    </row>
    <row r="443" spans="1:26" x14ac:dyDescent="0.3">
      <c r="A443" s="15"/>
      <c r="B443" s="15"/>
      <c r="C443" s="15"/>
      <c r="D443" s="15"/>
      <c r="E443" s="15"/>
      <c r="F443" s="15"/>
      <c r="G443" s="15"/>
      <c r="H443" s="52"/>
      <c r="I443" s="52"/>
      <c r="J443" s="15"/>
      <c r="K443" s="15"/>
      <c r="L443" s="15"/>
      <c r="M443" s="15"/>
      <c r="N443" s="15"/>
      <c r="O443" s="15"/>
      <c r="P443" s="15"/>
      <c r="Q443" s="15"/>
      <c r="R443" s="15"/>
      <c r="S443" s="15"/>
      <c r="T443" s="15"/>
      <c r="U443" s="15"/>
      <c r="V443" s="15"/>
      <c r="W443" s="15"/>
      <c r="X443" s="15"/>
      <c r="Y443" s="15"/>
      <c r="Z443" s="15"/>
    </row>
    <row r="444" spans="1:26" x14ac:dyDescent="0.3">
      <c r="A444" s="15"/>
      <c r="B444" s="15"/>
      <c r="C444" s="15"/>
      <c r="D444" s="15"/>
      <c r="E444" s="15"/>
      <c r="F444" s="15"/>
      <c r="G444" s="15"/>
      <c r="H444" s="52"/>
      <c r="I444" s="52"/>
      <c r="J444" s="15"/>
      <c r="K444" s="15"/>
      <c r="L444" s="15"/>
      <c r="M444" s="15"/>
      <c r="N444" s="15"/>
      <c r="O444" s="15"/>
      <c r="P444" s="15"/>
      <c r="Q444" s="15"/>
      <c r="R444" s="15"/>
      <c r="S444" s="15"/>
      <c r="T444" s="15"/>
      <c r="U444" s="15"/>
      <c r="V444" s="15"/>
      <c r="W444" s="15"/>
      <c r="X444" s="15"/>
      <c r="Y444" s="15"/>
      <c r="Z444" s="15"/>
    </row>
    <row r="445" spans="1:26" x14ac:dyDescent="0.3">
      <c r="A445" s="15"/>
      <c r="B445" s="15"/>
      <c r="C445" s="15"/>
      <c r="D445" s="15"/>
      <c r="E445" s="15"/>
      <c r="F445" s="15"/>
      <c r="G445" s="15"/>
      <c r="H445" s="52"/>
      <c r="I445" s="52"/>
      <c r="J445" s="15"/>
      <c r="K445" s="15"/>
      <c r="L445" s="15"/>
      <c r="M445" s="15"/>
      <c r="N445" s="15"/>
      <c r="O445" s="15"/>
      <c r="P445" s="15"/>
      <c r="Q445" s="15"/>
      <c r="R445" s="15"/>
      <c r="S445" s="15"/>
      <c r="T445" s="15"/>
      <c r="U445" s="15"/>
      <c r="V445" s="15"/>
      <c r="W445" s="15"/>
      <c r="X445" s="15"/>
      <c r="Y445" s="15"/>
      <c r="Z445" s="15"/>
    </row>
    <row r="446" spans="1:26" x14ac:dyDescent="0.3">
      <c r="A446" s="15"/>
      <c r="B446" s="15"/>
      <c r="C446" s="15"/>
      <c r="D446" s="15"/>
      <c r="E446" s="15"/>
      <c r="F446" s="15"/>
      <c r="G446" s="15"/>
      <c r="H446" s="52"/>
      <c r="I446" s="52"/>
      <c r="J446" s="15"/>
      <c r="K446" s="15"/>
      <c r="L446" s="15"/>
      <c r="M446" s="15"/>
      <c r="N446" s="15"/>
      <c r="O446" s="15"/>
      <c r="P446" s="15"/>
      <c r="Q446" s="15"/>
      <c r="R446" s="15"/>
      <c r="S446" s="15"/>
      <c r="T446" s="15"/>
      <c r="U446" s="15"/>
      <c r="V446" s="15"/>
      <c r="W446" s="15"/>
      <c r="X446" s="15"/>
      <c r="Y446" s="15"/>
      <c r="Z446" s="15"/>
    </row>
    <row r="447" spans="1:26" x14ac:dyDescent="0.3">
      <c r="A447" s="15"/>
      <c r="B447" s="15"/>
      <c r="C447" s="15"/>
      <c r="D447" s="15"/>
      <c r="E447" s="15"/>
      <c r="F447" s="15"/>
      <c r="G447" s="15"/>
      <c r="H447" s="52"/>
      <c r="I447" s="52"/>
      <c r="J447" s="15"/>
      <c r="K447" s="15"/>
      <c r="L447" s="15"/>
      <c r="M447" s="15"/>
      <c r="N447" s="15"/>
      <c r="O447" s="15"/>
      <c r="P447" s="15"/>
      <c r="Q447" s="15"/>
      <c r="R447" s="15"/>
      <c r="S447" s="15"/>
      <c r="T447" s="15"/>
      <c r="U447" s="15"/>
      <c r="V447" s="15"/>
      <c r="W447" s="15"/>
      <c r="X447" s="15"/>
      <c r="Y447" s="15"/>
      <c r="Z447" s="15"/>
    </row>
    <row r="448" spans="1:26" x14ac:dyDescent="0.3">
      <c r="A448" s="15"/>
      <c r="B448" s="15"/>
      <c r="C448" s="15"/>
      <c r="D448" s="15"/>
      <c r="E448" s="15"/>
      <c r="F448" s="15"/>
      <c r="G448" s="15"/>
      <c r="H448" s="52"/>
      <c r="I448" s="52"/>
      <c r="J448" s="15"/>
      <c r="K448" s="15"/>
      <c r="L448" s="15"/>
      <c r="M448" s="15"/>
      <c r="N448" s="15"/>
      <c r="O448" s="15"/>
      <c r="P448" s="15"/>
      <c r="Q448" s="15"/>
      <c r="R448" s="15"/>
      <c r="S448" s="15"/>
      <c r="T448" s="15"/>
      <c r="U448" s="15"/>
      <c r="V448" s="15"/>
      <c r="W448" s="15"/>
      <c r="X448" s="15"/>
      <c r="Y448" s="15"/>
      <c r="Z448" s="15"/>
    </row>
    <row r="449" spans="1:26" x14ac:dyDescent="0.3">
      <c r="A449" s="15"/>
      <c r="B449" s="15"/>
      <c r="C449" s="15"/>
      <c r="D449" s="15"/>
      <c r="E449" s="15"/>
      <c r="F449" s="15"/>
      <c r="G449" s="15"/>
      <c r="H449" s="52"/>
      <c r="I449" s="52"/>
      <c r="J449" s="15"/>
      <c r="K449" s="15"/>
      <c r="L449" s="15"/>
      <c r="M449" s="15"/>
      <c r="N449" s="15"/>
      <c r="O449" s="15"/>
      <c r="P449" s="15"/>
      <c r="Q449" s="15"/>
      <c r="R449" s="15"/>
      <c r="S449" s="15"/>
      <c r="T449" s="15"/>
      <c r="U449" s="15"/>
      <c r="V449" s="15"/>
      <c r="W449" s="15"/>
      <c r="X449" s="15"/>
      <c r="Y449" s="15"/>
      <c r="Z449" s="15"/>
    </row>
    <row r="450" spans="1:26" x14ac:dyDescent="0.3">
      <c r="A450" s="15"/>
      <c r="B450" s="15"/>
      <c r="C450" s="15"/>
      <c r="D450" s="15"/>
      <c r="E450" s="15"/>
      <c r="F450" s="15"/>
      <c r="G450" s="15"/>
      <c r="H450" s="52"/>
      <c r="I450" s="52"/>
      <c r="J450" s="15"/>
      <c r="K450" s="15"/>
      <c r="L450" s="15"/>
      <c r="M450" s="15"/>
      <c r="N450" s="15"/>
      <c r="O450" s="15"/>
      <c r="P450" s="15"/>
      <c r="Q450" s="15"/>
      <c r="R450" s="15"/>
      <c r="S450" s="15"/>
      <c r="T450" s="15"/>
      <c r="U450" s="15"/>
      <c r="V450" s="15"/>
      <c r="W450" s="15"/>
      <c r="X450" s="15"/>
      <c r="Y450" s="15"/>
      <c r="Z450" s="15"/>
    </row>
    <row r="451" spans="1:26" x14ac:dyDescent="0.3">
      <c r="A451" s="15"/>
      <c r="B451" s="15"/>
      <c r="C451" s="15"/>
      <c r="D451" s="15"/>
      <c r="E451" s="15"/>
      <c r="F451" s="15"/>
      <c r="G451" s="15"/>
      <c r="H451" s="52"/>
      <c r="I451" s="52"/>
      <c r="J451" s="15"/>
      <c r="K451" s="15"/>
      <c r="L451" s="15"/>
      <c r="M451" s="15"/>
      <c r="N451" s="15"/>
      <c r="O451" s="15"/>
      <c r="P451" s="15"/>
      <c r="Q451" s="15"/>
      <c r="R451" s="15"/>
      <c r="S451" s="15"/>
      <c r="T451" s="15"/>
      <c r="U451" s="15"/>
      <c r="V451" s="15"/>
      <c r="W451" s="15"/>
      <c r="X451" s="15"/>
      <c r="Y451" s="15"/>
      <c r="Z451" s="15"/>
    </row>
    <row r="452" spans="1:26" x14ac:dyDescent="0.3">
      <c r="A452" s="15"/>
      <c r="B452" s="15"/>
      <c r="C452" s="15"/>
      <c r="D452" s="15"/>
      <c r="E452" s="15"/>
      <c r="F452" s="15"/>
      <c r="G452" s="15"/>
      <c r="H452" s="52"/>
      <c r="I452" s="52"/>
      <c r="J452" s="15"/>
      <c r="K452" s="15"/>
      <c r="L452" s="15"/>
      <c r="M452" s="15"/>
      <c r="N452" s="15"/>
      <c r="O452" s="15"/>
      <c r="P452" s="15"/>
      <c r="Q452" s="15"/>
      <c r="R452" s="15"/>
      <c r="S452" s="15"/>
      <c r="T452" s="15"/>
      <c r="U452" s="15"/>
      <c r="V452" s="15"/>
      <c r="W452" s="15"/>
      <c r="X452" s="15"/>
      <c r="Y452" s="15"/>
      <c r="Z452" s="15"/>
    </row>
    <row r="453" spans="1:26" x14ac:dyDescent="0.3">
      <c r="A453" s="15"/>
      <c r="B453" s="15"/>
      <c r="C453" s="15"/>
      <c r="D453" s="15"/>
      <c r="E453" s="15"/>
      <c r="F453" s="15"/>
      <c r="G453" s="15"/>
      <c r="H453" s="52"/>
      <c r="I453" s="52"/>
      <c r="J453" s="15"/>
      <c r="K453" s="15"/>
      <c r="L453" s="15"/>
      <c r="M453" s="15"/>
      <c r="N453" s="15"/>
      <c r="O453" s="15"/>
      <c r="P453" s="15"/>
      <c r="Q453" s="15"/>
      <c r="R453" s="15"/>
      <c r="S453" s="15"/>
      <c r="T453" s="15"/>
      <c r="U453" s="15"/>
      <c r="V453" s="15"/>
      <c r="W453" s="15"/>
      <c r="X453" s="15"/>
      <c r="Y453" s="15"/>
      <c r="Z453" s="15"/>
    </row>
    <row r="454" spans="1:26" x14ac:dyDescent="0.3">
      <c r="A454" s="15"/>
      <c r="B454" s="15"/>
      <c r="C454" s="15"/>
      <c r="D454" s="15"/>
      <c r="E454" s="15"/>
      <c r="F454" s="15"/>
      <c r="G454" s="15"/>
      <c r="H454" s="52"/>
      <c r="I454" s="52"/>
      <c r="J454" s="15"/>
      <c r="K454" s="15"/>
      <c r="L454" s="15"/>
      <c r="M454" s="15"/>
      <c r="N454" s="15"/>
      <c r="O454" s="15"/>
      <c r="P454" s="15"/>
      <c r="Q454" s="15"/>
      <c r="R454" s="15"/>
      <c r="S454" s="15"/>
      <c r="T454" s="15"/>
      <c r="U454" s="15"/>
      <c r="V454" s="15"/>
      <c r="W454" s="15"/>
      <c r="X454" s="15"/>
      <c r="Y454" s="15"/>
      <c r="Z454" s="15"/>
    </row>
    <row r="455" spans="1:26" x14ac:dyDescent="0.3">
      <c r="A455" s="15"/>
      <c r="B455" s="15"/>
      <c r="C455" s="15"/>
      <c r="D455" s="15"/>
      <c r="E455" s="15"/>
      <c r="F455" s="15"/>
      <c r="G455" s="15"/>
      <c r="H455" s="52"/>
      <c r="I455" s="52"/>
      <c r="J455" s="15"/>
      <c r="K455" s="15"/>
      <c r="L455" s="15"/>
      <c r="M455" s="15"/>
      <c r="N455" s="15"/>
      <c r="O455" s="15"/>
      <c r="P455" s="15"/>
      <c r="Q455" s="15"/>
      <c r="R455" s="15"/>
      <c r="S455" s="15"/>
      <c r="T455" s="15"/>
      <c r="U455" s="15"/>
      <c r="V455" s="15"/>
      <c r="W455" s="15"/>
      <c r="X455" s="15"/>
      <c r="Y455" s="15"/>
      <c r="Z455" s="15"/>
    </row>
    <row r="456" spans="1:26" x14ac:dyDescent="0.3">
      <c r="A456" s="15"/>
      <c r="B456" s="15"/>
      <c r="C456" s="15"/>
      <c r="D456" s="15"/>
      <c r="E456" s="15"/>
      <c r="F456" s="15"/>
      <c r="G456" s="15"/>
      <c r="H456" s="52"/>
      <c r="I456" s="52"/>
      <c r="J456" s="15"/>
      <c r="K456" s="15"/>
      <c r="L456" s="15"/>
      <c r="M456" s="15"/>
      <c r="N456" s="15"/>
      <c r="O456" s="15"/>
      <c r="P456" s="15"/>
      <c r="Q456" s="15"/>
      <c r="R456" s="15"/>
      <c r="S456" s="15"/>
      <c r="T456" s="15"/>
      <c r="U456" s="15"/>
      <c r="V456" s="15"/>
      <c r="W456" s="15"/>
      <c r="X456" s="15"/>
      <c r="Y456" s="15"/>
      <c r="Z456" s="15"/>
    </row>
    <row r="457" spans="1:26" x14ac:dyDescent="0.3">
      <c r="A457" s="15"/>
      <c r="B457" s="15"/>
      <c r="C457" s="15"/>
      <c r="D457" s="15"/>
      <c r="E457" s="15"/>
      <c r="F457" s="15"/>
      <c r="G457" s="15"/>
      <c r="H457" s="52"/>
      <c r="I457" s="52"/>
      <c r="J457" s="15"/>
      <c r="K457" s="15"/>
      <c r="L457" s="15"/>
      <c r="M457" s="15"/>
      <c r="N457" s="15"/>
      <c r="O457" s="15"/>
      <c r="P457" s="15"/>
      <c r="Q457" s="15"/>
      <c r="R457" s="15"/>
      <c r="S457" s="15"/>
      <c r="T457" s="15"/>
      <c r="U457" s="15"/>
      <c r="V457" s="15"/>
      <c r="W457" s="15"/>
      <c r="X457" s="15"/>
      <c r="Y457" s="15"/>
      <c r="Z457" s="15"/>
    </row>
    <row r="458" spans="1:26" x14ac:dyDescent="0.3">
      <c r="A458" s="15"/>
      <c r="B458" s="15"/>
      <c r="C458" s="15"/>
      <c r="D458" s="15"/>
      <c r="E458" s="15"/>
      <c r="F458" s="15"/>
      <c r="G458" s="15"/>
      <c r="H458" s="52"/>
      <c r="I458" s="52"/>
      <c r="J458" s="15"/>
      <c r="K458" s="15"/>
      <c r="L458" s="15"/>
      <c r="M458" s="15"/>
      <c r="N458" s="15"/>
      <c r="O458" s="15"/>
      <c r="P458" s="15"/>
      <c r="Q458" s="15"/>
      <c r="R458" s="15"/>
      <c r="S458" s="15"/>
      <c r="T458" s="15"/>
      <c r="U458" s="15"/>
      <c r="V458" s="15"/>
      <c r="W458" s="15"/>
      <c r="X458" s="15"/>
      <c r="Y458" s="15"/>
      <c r="Z458" s="15"/>
    </row>
    <row r="459" spans="1:26" x14ac:dyDescent="0.3">
      <c r="A459" s="15"/>
      <c r="B459" s="15"/>
      <c r="C459" s="15"/>
      <c r="D459" s="15"/>
      <c r="E459" s="15"/>
      <c r="F459" s="15"/>
      <c r="G459" s="15"/>
      <c r="H459" s="52"/>
      <c r="I459" s="52"/>
      <c r="J459" s="15"/>
      <c r="K459" s="15"/>
      <c r="L459" s="15"/>
      <c r="M459" s="15"/>
      <c r="N459" s="15"/>
      <c r="O459" s="15"/>
      <c r="P459" s="15"/>
      <c r="Q459" s="15"/>
      <c r="R459" s="15"/>
      <c r="S459" s="15"/>
      <c r="T459" s="15"/>
      <c r="U459" s="15"/>
      <c r="V459" s="15"/>
      <c r="W459" s="15"/>
      <c r="X459" s="15"/>
      <c r="Y459" s="15"/>
      <c r="Z459" s="15"/>
    </row>
    <row r="460" spans="1:26" x14ac:dyDescent="0.3">
      <c r="A460" s="15"/>
      <c r="B460" s="15"/>
      <c r="C460" s="15"/>
      <c r="D460" s="15"/>
      <c r="E460" s="15"/>
      <c r="F460" s="15"/>
      <c r="G460" s="15"/>
      <c r="H460" s="52"/>
      <c r="I460" s="52"/>
      <c r="J460" s="15"/>
      <c r="K460" s="15"/>
      <c r="L460" s="15"/>
      <c r="M460" s="15"/>
      <c r="N460" s="15"/>
      <c r="O460" s="15"/>
      <c r="P460" s="15"/>
      <c r="Q460" s="15"/>
      <c r="R460" s="15"/>
      <c r="S460" s="15"/>
      <c r="T460" s="15"/>
      <c r="U460" s="15"/>
      <c r="V460" s="15"/>
      <c r="W460" s="15"/>
      <c r="X460" s="15"/>
      <c r="Y460" s="15"/>
      <c r="Z460" s="15"/>
    </row>
    <row r="461" spans="1:26" x14ac:dyDescent="0.3">
      <c r="A461" s="15"/>
      <c r="B461" s="15"/>
      <c r="C461" s="15"/>
      <c r="D461" s="15"/>
      <c r="E461" s="15"/>
      <c r="F461" s="15"/>
      <c r="G461" s="15"/>
      <c r="H461" s="52"/>
      <c r="I461" s="52"/>
      <c r="J461" s="15"/>
      <c r="K461" s="15"/>
      <c r="L461" s="15"/>
      <c r="M461" s="15"/>
      <c r="N461" s="15"/>
      <c r="O461" s="15"/>
      <c r="P461" s="15"/>
      <c r="Q461" s="15"/>
      <c r="R461" s="15"/>
      <c r="S461" s="15"/>
      <c r="T461" s="15"/>
      <c r="U461" s="15"/>
      <c r="V461" s="15"/>
      <c r="W461" s="15"/>
      <c r="X461" s="15"/>
      <c r="Y461" s="15"/>
      <c r="Z461" s="15"/>
    </row>
    <row r="462" spans="1:26" x14ac:dyDescent="0.3">
      <c r="A462" s="15"/>
      <c r="B462" s="15"/>
      <c r="C462" s="15"/>
      <c r="D462" s="15"/>
      <c r="E462" s="15"/>
      <c r="F462" s="15"/>
      <c r="G462" s="15"/>
      <c r="H462" s="52"/>
      <c r="I462" s="52"/>
      <c r="J462" s="15"/>
      <c r="K462" s="15"/>
      <c r="L462" s="15"/>
      <c r="M462" s="15"/>
      <c r="N462" s="15"/>
      <c r="O462" s="15"/>
      <c r="P462" s="15"/>
      <c r="Q462" s="15"/>
      <c r="R462" s="15"/>
      <c r="S462" s="15"/>
      <c r="T462" s="15"/>
      <c r="U462" s="15"/>
      <c r="V462" s="15"/>
      <c r="W462" s="15"/>
      <c r="X462" s="15"/>
      <c r="Y462" s="15"/>
      <c r="Z462" s="15"/>
    </row>
    <row r="463" spans="1:26" x14ac:dyDescent="0.3">
      <c r="A463" s="15"/>
      <c r="B463" s="15"/>
      <c r="C463" s="15"/>
      <c r="D463" s="15"/>
      <c r="E463" s="15"/>
      <c r="F463" s="15"/>
      <c r="G463" s="15"/>
      <c r="H463" s="52"/>
      <c r="I463" s="52"/>
      <c r="J463" s="15"/>
      <c r="K463" s="15"/>
      <c r="L463" s="15"/>
      <c r="M463" s="15"/>
      <c r="N463" s="15"/>
      <c r="O463" s="15"/>
      <c r="P463" s="15"/>
      <c r="Q463" s="15"/>
      <c r="R463" s="15"/>
      <c r="S463" s="15"/>
      <c r="T463" s="15"/>
      <c r="U463" s="15"/>
      <c r="V463" s="15"/>
      <c r="W463" s="15"/>
      <c r="X463" s="15"/>
      <c r="Y463" s="15"/>
      <c r="Z463" s="15"/>
    </row>
    <row r="464" spans="1:26" x14ac:dyDescent="0.3">
      <c r="A464" s="15"/>
      <c r="B464" s="15"/>
      <c r="C464" s="15"/>
      <c r="D464" s="15"/>
      <c r="E464" s="15"/>
      <c r="F464" s="15"/>
      <c r="G464" s="15"/>
      <c r="H464" s="52"/>
      <c r="I464" s="52"/>
      <c r="J464" s="15"/>
      <c r="K464" s="15"/>
      <c r="L464" s="15"/>
      <c r="M464" s="15"/>
      <c r="N464" s="15"/>
      <c r="O464" s="15"/>
      <c r="P464" s="15"/>
      <c r="Q464" s="15"/>
      <c r="R464" s="15"/>
      <c r="S464" s="15"/>
      <c r="T464" s="15"/>
      <c r="U464" s="15"/>
      <c r="V464" s="15"/>
      <c r="W464" s="15"/>
      <c r="X464" s="15"/>
      <c r="Y464" s="15"/>
      <c r="Z464" s="15"/>
    </row>
    <row r="465" spans="1:26" x14ac:dyDescent="0.3">
      <c r="A465" s="15"/>
      <c r="B465" s="15"/>
      <c r="C465" s="15"/>
      <c r="D465" s="15"/>
      <c r="E465" s="15"/>
      <c r="F465" s="15"/>
      <c r="G465" s="15"/>
      <c r="H465" s="52"/>
      <c r="I465" s="52"/>
      <c r="J465" s="15"/>
      <c r="K465" s="15"/>
      <c r="L465" s="15"/>
      <c r="M465" s="15"/>
      <c r="N465" s="15"/>
      <c r="O465" s="15"/>
      <c r="P465" s="15"/>
      <c r="Q465" s="15"/>
      <c r="R465" s="15"/>
      <c r="S465" s="15"/>
      <c r="T465" s="15"/>
      <c r="U465" s="15"/>
      <c r="V465" s="15"/>
      <c r="W465" s="15"/>
      <c r="X465" s="15"/>
      <c r="Y465" s="15"/>
      <c r="Z465" s="15"/>
    </row>
    <row r="466" spans="1:26" x14ac:dyDescent="0.3">
      <c r="A466" s="15"/>
      <c r="B466" s="15"/>
      <c r="C466" s="15"/>
      <c r="D466" s="15"/>
      <c r="E466" s="15"/>
      <c r="F466" s="15"/>
      <c r="G466" s="15"/>
      <c r="H466" s="52"/>
      <c r="I466" s="52"/>
      <c r="J466" s="15"/>
      <c r="K466" s="15"/>
      <c r="L466" s="15"/>
      <c r="M466" s="15"/>
      <c r="N466" s="15"/>
      <c r="O466" s="15"/>
      <c r="P466" s="15"/>
      <c r="Q466" s="15"/>
      <c r="R466" s="15"/>
      <c r="S466" s="15"/>
      <c r="T466" s="15"/>
      <c r="U466" s="15"/>
      <c r="V466" s="15"/>
      <c r="W466" s="15"/>
      <c r="X466" s="15"/>
      <c r="Y466" s="15"/>
      <c r="Z466" s="15"/>
    </row>
    <row r="467" spans="1:26" x14ac:dyDescent="0.3">
      <c r="A467" s="15"/>
      <c r="B467" s="15"/>
      <c r="C467" s="15"/>
      <c r="D467" s="15"/>
      <c r="E467" s="15"/>
      <c r="F467" s="15"/>
      <c r="G467" s="15"/>
      <c r="H467" s="52"/>
      <c r="I467" s="52"/>
      <c r="J467" s="15"/>
      <c r="K467" s="15"/>
      <c r="L467" s="15"/>
      <c r="M467" s="15"/>
      <c r="N467" s="15"/>
      <c r="O467" s="15"/>
      <c r="P467" s="15"/>
      <c r="Q467" s="15"/>
      <c r="R467" s="15"/>
      <c r="S467" s="15"/>
      <c r="T467" s="15"/>
      <c r="U467" s="15"/>
      <c r="V467" s="15"/>
      <c r="W467" s="15"/>
      <c r="X467" s="15"/>
      <c r="Y467" s="15"/>
      <c r="Z467" s="15"/>
    </row>
    <row r="468" spans="1:26" x14ac:dyDescent="0.3">
      <c r="A468" s="15"/>
      <c r="B468" s="15"/>
      <c r="C468" s="15"/>
      <c r="D468" s="15"/>
      <c r="E468" s="15"/>
      <c r="F468" s="15"/>
      <c r="G468" s="15"/>
      <c r="H468" s="52"/>
      <c r="I468" s="52"/>
      <c r="J468" s="15"/>
      <c r="K468" s="15"/>
      <c r="L468" s="15"/>
      <c r="M468" s="15"/>
      <c r="N468" s="15"/>
      <c r="O468" s="15"/>
      <c r="P468" s="15"/>
      <c r="Q468" s="15"/>
      <c r="R468" s="15"/>
      <c r="S468" s="15"/>
      <c r="T468" s="15"/>
      <c r="U468" s="15"/>
      <c r="V468" s="15"/>
      <c r="W468" s="15"/>
      <c r="X468" s="15"/>
      <c r="Y468" s="15"/>
      <c r="Z468" s="15"/>
    </row>
    <row r="469" spans="1:26" x14ac:dyDescent="0.3">
      <c r="A469" s="15"/>
      <c r="B469" s="15"/>
      <c r="C469" s="15"/>
      <c r="D469" s="15"/>
      <c r="E469" s="15"/>
      <c r="F469" s="15"/>
      <c r="G469" s="15"/>
      <c r="H469" s="52"/>
      <c r="I469" s="52"/>
      <c r="J469" s="15"/>
      <c r="K469" s="15"/>
      <c r="L469" s="15"/>
      <c r="M469" s="15"/>
      <c r="N469" s="15"/>
      <c r="O469" s="15"/>
      <c r="P469" s="15"/>
      <c r="Q469" s="15"/>
      <c r="R469" s="15"/>
      <c r="S469" s="15"/>
      <c r="T469" s="15"/>
      <c r="U469" s="15"/>
      <c r="V469" s="15"/>
      <c r="W469" s="15"/>
      <c r="X469" s="15"/>
      <c r="Y469" s="15"/>
      <c r="Z469" s="15"/>
    </row>
    <row r="470" spans="1:26" x14ac:dyDescent="0.3">
      <c r="A470" s="15"/>
      <c r="B470" s="15"/>
      <c r="C470" s="15"/>
      <c r="D470" s="15"/>
      <c r="E470" s="15"/>
      <c r="F470" s="15"/>
      <c r="G470" s="15"/>
      <c r="H470" s="52"/>
      <c r="I470" s="52"/>
      <c r="J470" s="15"/>
      <c r="K470" s="15"/>
      <c r="L470" s="15"/>
      <c r="M470" s="15"/>
      <c r="N470" s="15"/>
      <c r="O470" s="15"/>
      <c r="P470" s="15"/>
      <c r="Q470" s="15"/>
      <c r="R470" s="15"/>
      <c r="S470" s="15"/>
      <c r="T470" s="15"/>
      <c r="U470" s="15"/>
      <c r="V470" s="15"/>
      <c r="W470" s="15"/>
      <c r="X470" s="15"/>
      <c r="Y470" s="15"/>
      <c r="Z470" s="15"/>
    </row>
    <row r="471" spans="1:26" x14ac:dyDescent="0.3">
      <c r="A471" s="15"/>
      <c r="B471" s="15"/>
      <c r="C471" s="15"/>
      <c r="D471" s="15"/>
      <c r="E471" s="15"/>
      <c r="F471" s="15"/>
      <c r="G471" s="15"/>
      <c r="H471" s="52"/>
      <c r="I471" s="52"/>
      <c r="J471" s="15"/>
      <c r="K471" s="15"/>
      <c r="L471" s="15"/>
      <c r="M471" s="15"/>
      <c r="N471" s="15"/>
      <c r="O471" s="15"/>
      <c r="P471" s="15"/>
      <c r="Q471" s="15"/>
      <c r="R471" s="15"/>
      <c r="S471" s="15"/>
      <c r="T471" s="15"/>
      <c r="U471" s="15"/>
      <c r="V471" s="15"/>
      <c r="W471" s="15"/>
      <c r="X471" s="15"/>
      <c r="Y471" s="15"/>
      <c r="Z471" s="15"/>
    </row>
    <row r="472" spans="1:26" x14ac:dyDescent="0.3">
      <c r="A472" s="15"/>
      <c r="B472" s="15"/>
      <c r="C472" s="15"/>
      <c r="D472" s="15"/>
      <c r="E472" s="15"/>
      <c r="F472" s="15"/>
      <c r="G472" s="15"/>
      <c r="H472" s="52"/>
      <c r="I472" s="52"/>
      <c r="J472" s="15"/>
      <c r="K472" s="15"/>
      <c r="L472" s="15"/>
      <c r="M472" s="15"/>
      <c r="N472" s="15"/>
      <c r="O472" s="15"/>
      <c r="P472" s="15"/>
      <c r="Q472" s="15"/>
      <c r="R472" s="15"/>
      <c r="S472" s="15"/>
      <c r="T472" s="15"/>
      <c r="U472" s="15"/>
      <c r="V472" s="15"/>
      <c r="W472" s="15"/>
      <c r="X472" s="15"/>
      <c r="Y472" s="15"/>
      <c r="Z472" s="15"/>
    </row>
    <row r="473" spans="1:26" x14ac:dyDescent="0.3">
      <c r="A473" s="15"/>
      <c r="B473" s="15"/>
      <c r="C473" s="15"/>
      <c r="D473" s="15"/>
      <c r="E473" s="15"/>
      <c r="F473" s="15"/>
      <c r="G473" s="15"/>
      <c r="H473" s="52"/>
      <c r="I473" s="52"/>
      <c r="J473" s="15"/>
      <c r="K473" s="15"/>
      <c r="L473" s="15"/>
      <c r="M473" s="15"/>
      <c r="N473" s="15"/>
      <c r="O473" s="15"/>
      <c r="P473" s="15"/>
      <c r="Q473" s="15"/>
      <c r="R473" s="15"/>
      <c r="S473" s="15"/>
      <c r="T473" s="15"/>
      <c r="U473" s="15"/>
      <c r="V473" s="15"/>
      <c r="W473" s="15"/>
      <c r="X473" s="15"/>
      <c r="Y473" s="15"/>
      <c r="Z473" s="15"/>
    </row>
    <row r="474" spans="1:26" x14ac:dyDescent="0.3">
      <c r="A474" s="15"/>
      <c r="B474" s="15"/>
      <c r="C474" s="15"/>
      <c r="D474" s="15"/>
      <c r="E474" s="15"/>
      <c r="F474" s="15"/>
      <c r="G474" s="15"/>
      <c r="H474" s="52"/>
      <c r="I474" s="52"/>
      <c r="J474" s="15"/>
      <c r="K474" s="15"/>
      <c r="L474" s="15"/>
      <c r="M474" s="15"/>
      <c r="N474" s="15"/>
      <c r="O474" s="15"/>
      <c r="P474" s="15"/>
      <c r="Q474" s="15"/>
      <c r="R474" s="15"/>
      <c r="S474" s="15"/>
      <c r="T474" s="15"/>
      <c r="U474" s="15"/>
      <c r="V474" s="15"/>
      <c r="W474" s="15"/>
      <c r="X474" s="15"/>
      <c r="Y474" s="15"/>
      <c r="Z474" s="15"/>
    </row>
    <row r="475" spans="1:26" x14ac:dyDescent="0.3">
      <c r="A475" s="15"/>
      <c r="B475" s="15"/>
      <c r="C475" s="15"/>
      <c r="D475" s="15"/>
      <c r="E475" s="15"/>
      <c r="F475" s="15"/>
      <c r="G475" s="15"/>
      <c r="H475" s="52"/>
      <c r="I475" s="52"/>
      <c r="J475" s="15"/>
      <c r="K475" s="15"/>
      <c r="L475" s="15"/>
      <c r="M475" s="15"/>
      <c r="N475" s="15"/>
      <c r="O475" s="15"/>
      <c r="P475" s="15"/>
      <c r="Q475" s="15"/>
      <c r="R475" s="15"/>
      <c r="S475" s="15"/>
      <c r="T475" s="15"/>
      <c r="U475" s="15"/>
      <c r="V475" s="15"/>
      <c r="W475" s="15"/>
      <c r="X475" s="15"/>
      <c r="Y475" s="15"/>
      <c r="Z475" s="15"/>
    </row>
    <row r="476" spans="1:26" x14ac:dyDescent="0.3">
      <c r="A476" s="15"/>
      <c r="B476" s="15"/>
      <c r="C476" s="15"/>
      <c r="D476" s="15"/>
      <c r="E476" s="15"/>
      <c r="F476" s="15"/>
      <c r="G476" s="15"/>
      <c r="H476" s="52"/>
      <c r="I476" s="52"/>
      <c r="J476" s="15"/>
      <c r="K476" s="15"/>
      <c r="L476" s="15"/>
      <c r="M476" s="15"/>
      <c r="N476" s="15"/>
      <c r="O476" s="15"/>
      <c r="P476" s="15"/>
      <c r="Q476" s="15"/>
      <c r="R476" s="15"/>
      <c r="S476" s="15"/>
      <c r="T476" s="15"/>
      <c r="U476" s="15"/>
      <c r="V476" s="15"/>
      <c r="W476" s="15"/>
      <c r="X476" s="15"/>
      <c r="Y476" s="15"/>
      <c r="Z476" s="15"/>
    </row>
    <row r="477" spans="1:26" x14ac:dyDescent="0.3">
      <c r="A477" s="15"/>
      <c r="B477" s="15"/>
      <c r="C477" s="15"/>
      <c r="D477" s="15"/>
      <c r="E477" s="15"/>
      <c r="F477" s="15"/>
      <c r="G477" s="15"/>
      <c r="H477" s="52"/>
      <c r="I477" s="52"/>
      <c r="J477" s="15"/>
      <c r="K477" s="15"/>
      <c r="L477" s="15"/>
      <c r="M477" s="15"/>
      <c r="N477" s="15"/>
      <c r="O477" s="15"/>
      <c r="P477" s="15"/>
      <c r="Q477" s="15"/>
      <c r="R477" s="15"/>
      <c r="S477" s="15"/>
      <c r="T477" s="15"/>
      <c r="U477" s="15"/>
      <c r="V477" s="15"/>
      <c r="W477" s="15"/>
      <c r="X477" s="15"/>
      <c r="Y477" s="15"/>
      <c r="Z477" s="15"/>
    </row>
    <row r="478" spans="1:26" x14ac:dyDescent="0.3">
      <c r="A478" s="15"/>
      <c r="B478" s="15"/>
      <c r="C478" s="15"/>
      <c r="D478" s="15"/>
      <c r="E478" s="15"/>
      <c r="F478" s="15"/>
      <c r="G478" s="15"/>
      <c r="H478" s="52"/>
      <c r="I478" s="52"/>
      <c r="J478" s="15"/>
      <c r="K478" s="15"/>
      <c r="L478" s="15"/>
      <c r="M478" s="15"/>
      <c r="N478" s="15"/>
      <c r="O478" s="15"/>
      <c r="P478" s="15"/>
      <c r="Q478" s="15"/>
      <c r="R478" s="15"/>
      <c r="S478" s="15"/>
      <c r="T478" s="15"/>
      <c r="U478" s="15"/>
      <c r="V478" s="15"/>
      <c r="W478" s="15"/>
      <c r="X478" s="15"/>
      <c r="Y478" s="15"/>
      <c r="Z478" s="15"/>
    </row>
    <row r="479" spans="1:26" x14ac:dyDescent="0.3">
      <c r="A479" s="15"/>
      <c r="B479" s="15"/>
      <c r="C479" s="15"/>
      <c r="D479" s="15"/>
      <c r="E479" s="15"/>
      <c r="F479" s="15"/>
      <c r="G479" s="15"/>
      <c r="H479" s="52"/>
      <c r="I479" s="52"/>
      <c r="J479" s="15"/>
      <c r="K479" s="15"/>
      <c r="L479" s="15"/>
      <c r="M479" s="15"/>
      <c r="N479" s="15"/>
      <c r="O479" s="15"/>
      <c r="P479" s="15"/>
      <c r="Q479" s="15"/>
      <c r="R479" s="15"/>
      <c r="S479" s="15"/>
      <c r="T479" s="15"/>
      <c r="U479" s="15"/>
      <c r="V479" s="15"/>
      <c r="W479" s="15"/>
      <c r="X479" s="15"/>
      <c r="Y479" s="15"/>
      <c r="Z479" s="15"/>
    </row>
    <row r="480" spans="1:26" x14ac:dyDescent="0.3">
      <c r="A480" s="15"/>
      <c r="B480" s="15"/>
      <c r="C480" s="15"/>
      <c r="D480" s="15"/>
      <c r="E480" s="15"/>
      <c r="F480" s="15"/>
      <c r="G480" s="15"/>
      <c r="H480" s="52"/>
      <c r="I480" s="52"/>
      <c r="J480" s="15"/>
      <c r="K480" s="15"/>
      <c r="L480" s="15"/>
      <c r="M480" s="15"/>
      <c r="N480" s="15"/>
      <c r="O480" s="15"/>
      <c r="P480" s="15"/>
      <c r="Q480" s="15"/>
      <c r="R480" s="15"/>
      <c r="S480" s="15"/>
      <c r="T480" s="15"/>
      <c r="U480" s="15"/>
      <c r="V480" s="15"/>
      <c r="W480" s="15"/>
      <c r="X480" s="15"/>
      <c r="Y480" s="15"/>
      <c r="Z480" s="15"/>
    </row>
    <row r="481" spans="1:26" x14ac:dyDescent="0.3">
      <c r="A481" s="15"/>
      <c r="B481" s="15"/>
      <c r="C481" s="15"/>
      <c r="D481" s="15"/>
      <c r="E481" s="15"/>
      <c r="F481" s="15"/>
      <c r="G481" s="15"/>
      <c r="H481" s="52"/>
      <c r="I481" s="52"/>
      <c r="J481" s="15"/>
      <c r="K481" s="15"/>
      <c r="L481" s="15"/>
      <c r="M481" s="15"/>
      <c r="N481" s="15"/>
      <c r="O481" s="15"/>
      <c r="P481" s="15"/>
      <c r="Q481" s="15"/>
      <c r="R481" s="15"/>
      <c r="S481" s="15"/>
      <c r="T481" s="15"/>
      <c r="U481" s="15"/>
      <c r="V481" s="15"/>
      <c r="W481" s="15"/>
      <c r="X481" s="15"/>
      <c r="Y481" s="15"/>
      <c r="Z481" s="15"/>
    </row>
    <row r="482" spans="1:26" x14ac:dyDescent="0.3">
      <c r="A482" s="15"/>
      <c r="B482" s="15"/>
      <c r="C482" s="15"/>
      <c r="D482" s="15"/>
      <c r="E482" s="15"/>
      <c r="F482" s="15"/>
      <c r="G482" s="15"/>
      <c r="H482" s="52"/>
      <c r="I482" s="52"/>
      <c r="J482" s="15"/>
      <c r="K482" s="15"/>
      <c r="L482" s="15"/>
      <c r="M482" s="15"/>
      <c r="N482" s="15"/>
      <c r="O482" s="15"/>
      <c r="P482" s="15"/>
      <c r="Q482" s="15"/>
      <c r="R482" s="15"/>
      <c r="S482" s="15"/>
      <c r="T482" s="15"/>
      <c r="U482" s="15"/>
      <c r="V482" s="15"/>
      <c r="W482" s="15"/>
      <c r="X482" s="15"/>
      <c r="Y482" s="15"/>
      <c r="Z482" s="15"/>
    </row>
    <row r="483" spans="1:26" x14ac:dyDescent="0.3">
      <c r="A483" s="15"/>
      <c r="B483" s="15"/>
      <c r="C483" s="15"/>
      <c r="D483" s="15"/>
      <c r="E483" s="15"/>
      <c r="F483" s="15"/>
      <c r="G483" s="15"/>
      <c r="H483" s="52"/>
      <c r="I483" s="52"/>
      <c r="J483" s="15"/>
      <c r="K483" s="15"/>
      <c r="L483" s="15"/>
      <c r="M483" s="15"/>
      <c r="N483" s="15"/>
      <c r="O483" s="15"/>
      <c r="P483" s="15"/>
      <c r="Q483" s="15"/>
      <c r="R483" s="15"/>
      <c r="S483" s="15"/>
      <c r="T483" s="15"/>
      <c r="U483" s="15"/>
      <c r="V483" s="15"/>
      <c r="W483" s="15"/>
      <c r="X483" s="15"/>
      <c r="Y483" s="15"/>
      <c r="Z483" s="15"/>
    </row>
    <row r="484" spans="1:26" x14ac:dyDescent="0.3">
      <c r="A484" s="15"/>
      <c r="B484" s="15"/>
      <c r="C484" s="15"/>
      <c r="D484" s="15"/>
      <c r="E484" s="15"/>
      <c r="F484" s="15"/>
      <c r="G484" s="15"/>
      <c r="H484" s="52"/>
      <c r="I484" s="52"/>
      <c r="J484" s="15"/>
      <c r="K484" s="15"/>
      <c r="L484" s="15"/>
      <c r="M484" s="15"/>
      <c r="N484" s="15"/>
      <c r="O484" s="15"/>
      <c r="P484" s="15"/>
      <c r="Q484" s="15"/>
      <c r="R484" s="15"/>
      <c r="S484" s="15"/>
      <c r="T484" s="15"/>
      <c r="U484" s="15"/>
      <c r="V484" s="15"/>
      <c r="W484" s="15"/>
      <c r="X484" s="15"/>
      <c r="Y484" s="15"/>
      <c r="Z484" s="15"/>
    </row>
    <row r="485" spans="1:26" x14ac:dyDescent="0.3">
      <c r="A485" s="15"/>
      <c r="B485" s="15"/>
      <c r="C485" s="15"/>
      <c r="D485" s="15"/>
      <c r="E485" s="15"/>
      <c r="F485" s="15"/>
      <c r="G485" s="15"/>
      <c r="H485" s="52"/>
      <c r="I485" s="52"/>
      <c r="J485" s="15"/>
      <c r="K485" s="15"/>
      <c r="L485" s="15"/>
      <c r="M485" s="15"/>
      <c r="N485" s="15"/>
      <c r="O485" s="15"/>
      <c r="P485" s="15"/>
      <c r="Q485" s="15"/>
      <c r="R485" s="15"/>
      <c r="S485" s="15"/>
      <c r="T485" s="15"/>
      <c r="U485" s="15"/>
      <c r="V485" s="15"/>
      <c r="W485" s="15"/>
      <c r="X485" s="15"/>
      <c r="Y485" s="15"/>
      <c r="Z485" s="15"/>
    </row>
    <row r="486" spans="1:26" x14ac:dyDescent="0.3">
      <c r="A486" s="15"/>
      <c r="B486" s="15"/>
      <c r="C486" s="15"/>
      <c r="D486" s="15"/>
      <c r="E486" s="15"/>
      <c r="F486" s="15"/>
      <c r="G486" s="15"/>
      <c r="H486" s="52"/>
      <c r="I486" s="52"/>
      <c r="J486" s="15"/>
      <c r="K486" s="15"/>
      <c r="L486" s="15"/>
      <c r="M486" s="15"/>
      <c r="N486" s="15"/>
      <c r="O486" s="15"/>
      <c r="P486" s="15"/>
      <c r="Q486" s="15"/>
      <c r="R486" s="15"/>
      <c r="S486" s="15"/>
      <c r="T486" s="15"/>
      <c r="U486" s="15"/>
      <c r="V486" s="15"/>
      <c r="W486" s="15"/>
      <c r="X486" s="15"/>
      <c r="Y486" s="15"/>
      <c r="Z486" s="15"/>
    </row>
    <row r="487" spans="1:26" x14ac:dyDescent="0.3">
      <c r="A487" s="15"/>
      <c r="B487" s="15"/>
      <c r="C487" s="15"/>
      <c r="D487" s="15"/>
      <c r="E487" s="15"/>
      <c r="F487" s="15"/>
      <c r="G487" s="15"/>
      <c r="H487" s="52"/>
      <c r="I487" s="52"/>
      <c r="J487" s="15"/>
      <c r="K487" s="15"/>
      <c r="L487" s="15"/>
      <c r="M487" s="15"/>
      <c r="N487" s="15"/>
      <c r="O487" s="15"/>
      <c r="P487" s="15"/>
      <c r="Q487" s="15"/>
      <c r="R487" s="15"/>
      <c r="S487" s="15"/>
      <c r="T487" s="15"/>
      <c r="U487" s="15"/>
      <c r="V487" s="15"/>
      <c r="W487" s="15"/>
      <c r="X487" s="15"/>
      <c r="Y487" s="15"/>
      <c r="Z487" s="15"/>
    </row>
    <row r="488" spans="1:26" x14ac:dyDescent="0.3">
      <c r="A488" s="15"/>
      <c r="B488" s="15"/>
      <c r="C488" s="15"/>
      <c r="D488" s="15"/>
      <c r="E488" s="15"/>
      <c r="F488" s="15"/>
      <c r="G488" s="15"/>
      <c r="H488" s="52"/>
      <c r="I488" s="52"/>
      <c r="J488" s="15"/>
      <c r="K488" s="15"/>
      <c r="L488" s="15"/>
      <c r="M488" s="15"/>
      <c r="N488" s="15"/>
      <c r="O488" s="15"/>
      <c r="P488" s="15"/>
      <c r="Q488" s="15"/>
      <c r="R488" s="15"/>
      <c r="S488" s="15"/>
      <c r="T488" s="15"/>
      <c r="U488" s="15"/>
      <c r="V488" s="15"/>
      <c r="W488" s="15"/>
      <c r="X488" s="15"/>
      <c r="Y488" s="15"/>
      <c r="Z488" s="15"/>
    </row>
    <row r="489" spans="1:26" x14ac:dyDescent="0.3">
      <c r="A489" s="15"/>
      <c r="B489" s="15"/>
      <c r="C489" s="15"/>
      <c r="D489" s="15"/>
      <c r="E489" s="15"/>
      <c r="F489" s="15"/>
      <c r="G489" s="15"/>
      <c r="H489" s="52"/>
      <c r="I489" s="52"/>
      <c r="J489" s="15"/>
      <c r="K489" s="15"/>
      <c r="L489" s="15"/>
      <c r="M489" s="15"/>
      <c r="N489" s="15"/>
      <c r="O489" s="15"/>
      <c r="P489" s="15"/>
      <c r="Q489" s="15"/>
      <c r="R489" s="15"/>
      <c r="S489" s="15"/>
      <c r="T489" s="15"/>
      <c r="U489" s="15"/>
      <c r="V489" s="15"/>
      <c r="W489" s="15"/>
      <c r="X489" s="15"/>
      <c r="Y489" s="15"/>
      <c r="Z489" s="15"/>
    </row>
    <row r="490" spans="1:26" x14ac:dyDescent="0.3">
      <c r="A490" s="15"/>
      <c r="B490" s="15"/>
      <c r="C490" s="15"/>
      <c r="D490" s="15"/>
      <c r="E490" s="15"/>
      <c r="F490" s="15"/>
      <c r="G490" s="15"/>
      <c r="H490" s="52"/>
      <c r="I490" s="52"/>
      <c r="J490" s="15"/>
      <c r="K490" s="15"/>
      <c r="L490" s="15"/>
      <c r="M490" s="15"/>
      <c r="N490" s="15"/>
      <c r="O490" s="15"/>
      <c r="P490" s="15"/>
      <c r="Q490" s="15"/>
      <c r="R490" s="15"/>
      <c r="S490" s="15"/>
      <c r="T490" s="15"/>
      <c r="U490" s="15"/>
      <c r="V490" s="15"/>
      <c r="W490" s="15"/>
      <c r="X490" s="15"/>
      <c r="Y490" s="15"/>
      <c r="Z490" s="15"/>
    </row>
    <row r="491" spans="1:26" x14ac:dyDescent="0.3">
      <c r="A491" s="15"/>
      <c r="B491" s="15"/>
      <c r="C491" s="15"/>
      <c r="D491" s="15"/>
      <c r="E491" s="15"/>
      <c r="F491" s="15"/>
      <c r="G491" s="15"/>
      <c r="H491" s="52"/>
      <c r="I491" s="52"/>
      <c r="J491" s="15"/>
      <c r="K491" s="15"/>
      <c r="L491" s="15"/>
      <c r="M491" s="15"/>
      <c r="N491" s="15"/>
      <c r="O491" s="15"/>
      <c r="P491" s="15"/>
      <c r="Q491" s="15"/>
      <c r="R491" s="15"/>
      <c r="S491" s="15"/>
      <c r="T491" s="15"/>
      <c r="U491" s="15"/>
      <c r="V491" s="15"/>
      <c r="W491" s="15"/>
      <c r="X491" s="15"/>
      <c r="Y491" s="15"/>
      <c r="Z491" s="15"/>
    </row>
    <row r="492" spans="1:26" x14ac:dyDescent="0.3">
      <c r="A492" s="15"/>
      <c r="B492" s="15"/>
      <c r="C492" s="15"/>
      <c r="D492" s="15"/>
      <c r="E492" s="15"/>
      <c r="F492" s="15"/>
      <c r="G492" s="15"/>
      <c r="H492" s="52"/>
      <c r="I492" s="52"/>
      <c r="J492" s="15"/>
      <c r="K492" s="15"/>
      <c r="L492" s="15"/>
      <c r="M492" s="15"/>
      <c r="N492" s="15"/>
      <c r="O492" s="15"/>
      <c r="P492" s="15"/>
      <c r="Q492" s="15"/>
      <c r="R492" s="15"/>
      <c r="S492" s="15"/>
      <c r="T492" s="15"/>
      <c r="U492" s="15"/>
      <c r="V492" s="15"/>
      <c r="W492" s="15"/>
      <c r="X492" s="15"/>
      <c r="Y492" s="15"/>
      <c r="Z492" s="15"/>
    </row>
    <row r="493" spans="1:26" x14ac:dyDescent="0.3">
      <c r="A493" s="15"/>
      <c r="B493" s="15"/>
      <c r="C493" s="15"/>
      <c r="D493" s="15"/>
      <c r="E493" s="15"/>
      <c r="F493" s="15"/>
      <c r="G493" s="15"/>
      <c r="H493" s="52"/>
      <c r="I493" s="52"/>
      <c r="J493" s="15"/>
      <c r="K493" s="15"/>
      <c r="L493" s="15"/>
      <c r="M493" s="15"/>
      <c r="N493" s="15"/>
      <c r="O493" s="15"/>
      <c r="P493" s="15"/>
      <c r="Q493" s="15"/>
      <c r="R493" s="15"/>
      <c r="S493" s="15"/>
      <c r="T493" s="15"/>
      <c r="U493" s="15"/>
      <c r="V493" s="15"/>
      <c r="W493" s="15"/>
      <c r="X493" s="15"/>
      <c r="Y493" s="15"/>
      <c r="Z493" s="15"/>
    </row>
    <row r="494" spans="1:26" x14ac:dyDescent="0.3">
      <c r="A494" s="15"/>
      <c r="B494" s="15"/>
      <c r="C494" s="15"/>
      <c r="D494" s="15"/>
      <c r="E494" s="15"/>
      <c r="F494" s="15"/>
      <c r="G494" s="15"/>
      <c r="H494" s="52"/>
      <c r="I494" s="52"/>
      <c r="J494" s="15"/>
      <c r="K494" s="15"/>
      <c r="L494" s="15"/>
      <c r="M494" s="15"/>
      <c r="N494" s="15"/>
      <c r="O494" s="15"/>
      <c r="P494" s="15"/>
      <c r="Q494" s="15"/>
      <c r="R494" s="15"/>
      <c r="S494" s="15"/>
      <c r="T494" s="15"/>
      <c r="U494" s="15"/>
      <c r="V494" s="15"/>
      <c r="W494" s="15"/>
      <c r="X494" s="15"/>
      <c r="Y494" s="15"/>
      <c r="Z494" s="15"/>
    </row>
    <row r="495" spans="1:26" x14ac:dyDescent="0.3">
      <c r="A495" s="15"/>
      <c r="B495" s="15"/>
      <c r="C495" s="15"/>
      <c r="D495" s="15"/>
      <c r="E495" s="15"/>
      <c r="F495" s="15"/>
      <c r="G495" s="15"/>
      <c r="H495" s="52"/>
      <c r="I495" s="52"/>
      <c r="J495" s="15"/>
      <c r="K495" s="15"/>
      <c r="L495" s="15"/>
      <c r="M495" s="15"/>
      <c r="N495" s="15"/>
      <c r="O495" s="15"/>
      <c r="P495" s="15"/>
      <c r="Q495" s="15"/>
      <c r="R495" s="15"/>
      <c r="S495" s="15"/>
      <c r="T495" s="15"/>
      <c r="U495" s="15"/>
      <c r="V495" s="15"/>
      <c r="W495" s="15"/>
      <c r="X495" s="15"/>
      <c r="Y495" s="15"/>
      <c r="Z495" s="15"/>
    </row>
    <row r="496" spans="1:26" x14ac:dyDescent="0.3">
      <c r="A496" s="15"/>
      <c r="B496" s="15"/>
      <c r="C496" s="15"/>
      <c r="D496" s="15"/>
      <c r="E496" s="15"/>
      <c r="F496" s="15"/>
      <c r="G496" s="15"/>
      <c r="H496" s="52"/>
      <c r="I496" s="52"/>
      <c r="J496" s="15"/>
      <c r="K496" s="15"/>
      <c r="L496" s="15"/>
      <c r="M496" s="15"/>
      <c r="N496" s="15"/>
      <c r="O496" s="15"/>
      <c r="P496" s="15"/>
      <c r="Q496" s="15"/>
      <c r="R496" s="15"/>
      <c r="S496" s="15"/>
      <c r="T496" s="15"/>
      <c r="U496" s="15"/>
      <c r="V496" s="15"/>
      <c r="W496" s="15"/>
      <c r="X496" s="15"/>
      <c r="Y496" s="15"/>
      <c r="Z496" s="15"/>
    </row>
    <row r="497" spans="1:26" x14ac:dyDescent="0.3">
      <c r="A497" s="15"/>
      <c r="B497" s="15"/>
      <c r="C497" s="15"/>
      <c r="D497" s="15"/>
      <c r="E497" s="15"/>
      <c r="F497" s="15"/>
      <c r="G497" s="15"/>
      <c r="H497" s="52"/>
      <c r="I497" s="52"/>
      <c r="J497" s="15"/>
      <c r="K497" s="15"/>
      <c r="L497" s="15"/>
      <c r="M497" s="15"/>
      <c r="N497" s="15"/>
      <c r="O497" s="15"/>
      <c r="P497" s="15"/>
      <c r="Q497" s="15"/>
      <c r="R497" s="15"/>
      <c r="S497" s="15"/>
      <c r="T497" s="15"/>
      <c r="U497" s="15"/>
      <c r="V497" s="15"/>
      <c r="W497" s="15"/>
      <c r="X497" s="15"/>
      <c r="Y497" s="15"/>
      <c r="Z497" s="15"/>
    </row>
    <row r="498" spans="1:26" x14ac:dyDescent="0.3">
      <c r="A498" s="15"/>
      <c r="B498" s="15"/>
      <c r="C498" s="15"/>
      <c r="D498" s="15"/>
      <c r="E498" s="15"/>
      <c r="F498" s="15"/>
      <c r="G498" s="15"/>
      <c r="H498" s="52"/>
      <c r="I498" s="52"/>
      <c r="J498" s="15"/>
      <c r="K498" s="15"/>
      <c r="L498" s="15"/>
      <c r="M498" s="15"/>
      <c r="N498" s="15"/>
      <c r="O498" s="15"/>
      <c r="P498" s="15"/>
      <c r="Q498" s="15"/>
      <c r="R498" s="15"/>
      <c r="S498" s="15"/>
      <c r="T498" s="15"/>
      <c r="U498" s="15"/>
      <c r="V498" s="15"/>
      <c r="W498" s="15"/>
      <c r="X498" s="15"/>
      <c r="Y498" s="15"/>
      <c r="Z498" s="15"/>
    </row>
    <row r="499" spans="1:26" x14ac:dyDescent="0.3">
      <c r="A499" s="15"/>
      <c r="B499" s="15"/>
      <c r="C499" s="15"/>
      <c r="D499" s="15"/>
      <c r="E499" s="15"/>
      <c r="F499" s="15"/>
      <c r="G499" s="15"/>
      <c r="H499" s="52"/>
      <c r="I499" s="52"/>
      <c r="J499" s="15"/>
      <c r="K499" s="15"/>
      <c r="L499" s="15"/>
      <c r="M499" s="15"/>
      <c r="N499" s="15"/>
      <c r="O499" s="15"/>
      <c r="P499" s="15"/>
      <c r="Q499" s="15"/>
      <c r="R499" s="15"/>
      <c r="S499" s="15"/>
      <c r="T499" s="15"/>
      <c r="U499" s="15"/>
      <c r="V499" s="15"/>
      <c r="W499" s="15"/>
      <c r="X499" s="15"/>
      <c r="Y499" s="15"/>
      <c r="Z499" s="15"/>
    </row>
    <row r="500" spans="1:26" x14ac:dyDescent="0.3">
      <c r="A500" s="15"/>
      <c r="B500" s="15"/>
      <c r="C500" s="15"/>
      <c r="D500" s="15"/>
      <c r="E500" s="15"/>
      <c r="F500" s="15"/>
      <c r="G500" s="15"/>
      <c r="H500" s="52"/>
      <c r="I500" s="52"/>
      <c r="J500" s="15"/>
      <c r="K500" s="15"/>
      <c r="L500" s="15"/>
      <c r="M500" s="15"/>
      <c r="N500" s="15"/>
      <c r="O500" s="15"/>
      <c r="P500" s="15"/>
      <c r="Q500" s="15"/>
      <c r="R500" s="15"/>
      <c r="S500" s="15"/>
      <c r="T500" s="15"/>
      <c r="U500" s="15"/>
      <c r="V500" s="15"/>
      <c r="W500" s="15"/>
      <c r="X500" s="15"/>
      <c r="Y500" s="15"/>
      <c r="Z500" s="15"/>
    </row>
    <row r="501" spans="1:26" x14ac:dyDescent="0.3">
      <c r="A501" s="15"/>
      <c r="B501" s="15"/>
      <c r="C501" s="15"/>
      <c r="D501" s="15"/>
      <c r="E501" s="15"/>
      <c r="F501" s="15"/>
      <c r="G501" s="15"/>
      <c r="H501" s="52"/>
      <c r="I501" s="52"/>
      <c r="J501" s="15"/>
      <c r="K501" s="15"/>
      <c r="L501" s="15"/>
      <c r="M501" s="15"/>
      <c r="N501" s="15"/>
      <c r="O501" s="15"/>
      <c r="P501" s="15"/>
      <c r="Q501" s="15"/>
      <c r="R501" s="15"/>
      <c r="S501" s="15"/>
      <c r="T501" s="15"/>
      <c r="U501" s="15"/>
      <c r="V501" s="15"/>
      <c r="W501" s="15"/>
      <c r="X501" s="15"/>
      <c r="Y501" s="15"/>
      <c r="Z501" s="15"/>
    </row>
    <row r="502" spans="1:26" x14ac:dyDescent="0.3">
      <c r="A502" s="15"/>
      <c r="B502" s="15"/>
      <c r="C502" s="15"/>
      <c r="D502" s="15"/>
      <c r="E502" s="15"/>
      <c r="F502" s="15"/>
      <c r="G502" s="15"/>
      <c r="H502" s="52"/>
      <c r="I502" s="52"/>
      <c r="J502" s="15"/>
      <c r="K502" s="15"/>
      <c r="L502" s="15"/>
      <c r="M502" s="15"/>
      <c r="N502" s="15"/>
      <c r="O502" s="15"/>
      <c r="P502" s="15"/>
      <c r="Q502" s="15"/>
      <c r="R502" s="15"/>
      <c r="S502" s="15"/>
      <c r="T502" s="15"/>
      <c r="U502" s="15"/>
      <c r="V502" s="15"/>
      <c r="W502" s="15"/>
      <c r="X502" s="15"/>
      <c r="Y502" s="15"/>
      <c r="Z502" s="15"/>
    </row>
    <row r="503" spans="1:26" x14ac:dyDescent="0.3">
      <c r="A503" s="15"/>
      <c r="B503" s="15"/>
      <c r="C503" s="15"/>
      <c r="D503" s="15"/>
      <c r="E503" s="15"/>
      <c r="F503" s="15"/>
      <c r="G503" s="15"/>
      <c r="H503" s="52"/>
      <c r="I503" s="52"/>
      <c r="J503" s="15"/>
      <c r="K503" s="15"/>
      <c r="L503" s="15"/>
      <c r="M503" s="15"/>
      <c r="N503" s="15"/>
      <c r="O503" s="15"/>
      <c r="P503" s="15"/>
      <c r="Q503" s="15"/>
      <c r="R503" s="15"/>
      <c r="S503" s="15"/>
      <c r="T503" s="15"/>
      <c r="U503" s="15"/>
      <c r="V503" s="15"/>
      <c r="W503" s="15"/>
      <c r="X503" s="15"/>
      <c r="Y503" s="15"/>
      <c r="Z503" s="15"/>
    </row>
    <row r="504" spans="1:26" x14ac:dyDescent="0.3">
      <c r="A504" s="15"/>
      <c r="B504" s="15"/>
      <c r="C504" s="15"/>
      <c r="D504" s="15"/>
      <c r="E504" s="15"/>
      <c r="F504" s="15"/>
      <c r="G504" s="15"/>
      <c r="H504" s="52"/>
      <c r="I504" s="52"/>
      <c r="J504" s="15"/>
      <c r="K504" s="15"/>
      <c r="L504" s="15"/>
      <c r="M504" s="15"/>
      <c r="N504" s="15"/>
      <c r="O504" s="15"/>
      <c r="P504" s="15"/>
      <c r="Q504" s="15"/>
      <c r="R504" s="15"/>
      <c r="S504" s="15"/>
      <c r="T504" s="15"/>
      <c r="U504" s="15"/>
      <c r="V504" s="15"/>
      <c r="W504" s="15"/>
      <c r="X504" s="15"/>
      <c r="Y504" s="15"/>
      <c r="Z504" s="15"/>
    </row>
    <row r="505" spans="1:26" x14ac:dyDescent="0.3">
      <c r="A505" s="15"/>
      <c r="B505" s="15"/>
      <c r="C505" s="15"/>
      <c r="D505" s="15"/>
      <c r="E505" s="15"/>
      <c r="F505" s="15"/>
      <c r="G505" s="15"/>
      <c r="H505" s="52"/>
      <c r="I505" s="52"/>
      <c r="J505" s="15"/>
      <c r="K505" s="15"/>
      <c r="L505" s="15"/>
      <c r="M505" s="15"/>
      <c r="N505" s="15"/>
      <c r="O505" s="15"/>
      <c r="P505" s="15"/>
      <c r="Q505" s="15"/>
      <c r="R505" s="15"/>
      <c r="S505" s="15"/>
      <c r="T505" s="15"/>
      <c r="U505" s="15"/>
      <c r="V505" s="15"/>
      <c r="W505" s="15"/>
      <c r="X505" s="15"/>
      <c r="Y505" s="15"/>
      <c r="Z505" s="15"/>
    </row>
    <row r="506" spans="1:26" x14ac:dyDescent="0.3">
      <c r="A506" s="15"/>
      <c r="B506" s="15"/>
      <c r="C506" s="15"/>
      <c r="D506" s="15"/>
      <c r="E506" s="15"/>
      <c r="F506" s="15"/>
      <c r="G506" s="15"/>
      <c r="H506" s="52"/>
      <c r="I506" s="52"/>
      <c r="J506" s="15"/>
      <c r="K506" s="15"/>
      <c r="L506" s="15"/>
      <c r="M506" s="15"/>
      <c r="N506" s="15"/>
      <c r="O506" s="15"/>
      <c r="P506" s="15"/>
      <c r="Q506" s="15"/>
      <c r="R506" s="15"/>
      <c r="S506" s="15"/>
      <c r="T506" s="15"/>
      <c r="U506" s="15"/>
      <c r="V506" s="15"/>
      <c r="W506" s="15"/>
      <c r="X506" s="15"/>
      <c r="Y506" s="15"/>
      <c r="Z506" s="15"/>
    </row>
    <row r="507" spans="1:26" x14ac:dyDescent="0.3">
      <c r="A507" s="15"/>
      <c r="B507" s="15"/>
      <c r="C507" s="15"/>
      <c r="D507" s="15"/>
      <c r="E507" s="15"/>
      <c r="F507" s="15"/>
      <c r="G507" s="15"/>
      <c r="H507" s="52"/>
      <c r="I507" s="52"/>
      <c r="J507" s="15"/>
      <c r="K507" s="15"/>
      <c r="L507" s="15"/>
      <c r="M507" s="15"/>
      <c r="N507" s="15"/>
      <c r="O507" s="15"/>
      <c r="P507" s="15"/>
      <c r="Q507" s="15"/>
      <c r="R507" s="15"/>
      <c r="S507" s="15"/>
      <c r="T507" s="15"/>
      <c r="U507" s="15"/>
      <c r="V507" s="15"/>
      <c r="W507" s="15"/>
      <c r="X507" s="15"/>
      <c r="Y507" s="15"/>
      <c r="Z507" s="15"/>
    </row>
    <row r="508" spans="1:26" x14ac:dyDescent="0.3">
      <c r="A508" s="15"/>
      <c r="B508" s="15"/>
      <c r="C508" s="15"/>
      <c r="D508" s="15"/>
      <c r="E508" s="15"/>
      <c r="F508" s="15"/>
      <c r="G508" s="15"/>
      <c r="H508" s="52"/>
      <c r="I508" s="52"/>
      <c r="J508" s="15"/>
      <c r="K508" s="15"/>
      <c r="L508" s="15"/>
      <c r="M508" s="15"/>
      <c r="N508" s="15"/>
      <c r="O508" s="15"/>
      <c r="P508" s="15"/>
      <c r="Q508" s="15"/>
      <c r="R508" s="15"/>
      <c r="S508" s="15"/>
      <c r="T508" s="15"/>
      <c r="U508" s="15"/>
      <c r="V508" s="15"/>
      <c r="W508" s="15"/>
      <c r="X508" s="15"/>
      <c r="Y508" s="15"/>
      <c r="Z508" s="15"/>
    </row>
    <row r="509" spans="1:26" x14ac:dyDescent="0.3">
      <c r="A509" s="15"/>
      <c r="B509" s="15"/>
      <c r="C509" s="15"/>
      <c r="D509" s="15"/>
      <c r="E509" s="15"/>
      <c r="F509" s="15"/>
      <c r="G509" s="15"/>
      <c r="H509" s="52"/>
      <c r="I509" s="52"/>
      <c r="J509" s="15"/>
      <c r="K509" s="15"/>
      <c r="L509" s="15"/>
      <c r="M509" s="15"/>
      <c r="N509" s="15"/>
      <c r="O509" s="15"/>
      <c r="P509" s="15"/>
      <c r="Q509" s="15"/>
      <c r="R509" s="15"/>
      <c r="S509" s="15"/>
      <c r="T509" s="15"/>
      <c r="U509" s="15"/>
      <c r="V509" s="15"/>
      <c r="W509" s="15"/>
      <c r="X509" s="15"/>
      <c r="Y509" s="15"/>
      <c r="Z509" s="15"/>
    </row>
    <row r="510" spans="1:26" x14ac:dyDescent="0.3">
      <c r="A510" s="15"/>
      <c r="B510" s="15"/>
      <c r="C510" s="15"/>
      <c r="D510" s="15"/>
      <c r="E510" s="15"/>
      <c r="F510" s="15"/>
      <c r="G510" s="15"/>
      <c r="H510" s="52"/>
      <c r="I510" s="52"/>
      <c r="J510" s="15"/>
      <c r="K510" s="15"/>
      <c r="L510" s="15"/>
      <c r="M510" s="15"/>
      <c r="N510" s="15"/>
      <c r="O510" s="15"/>
      <c r="P510" s="15"/>
      <c r="Q510" s="15"/>
      <c r="R510" s="15"/>
      <c r="S510" s="15"/>
      <c r="T510" s="15"/>
      <c r="U510" s="15"/>
      <c r="V510" s="15"/>
      <c r="W510" s="15"/>
      <c r="X510" s="15"/>
      <c r="Y510" s="15"/>
      <c r="Z510" s="15"/>
    </row>
    <row r="511" spans="1:26" x14ac:dyDescent="0.3">
      <c r="A511" s="15"/>
      <c r="B511" s="15"/>
      <c r="C511" s="15"/>
      <c r="D511" s="15"/>
      <c r="E511" s="15"/>
      <c r="F511" s="15"/>
      <c r="G511" s="15"/>
      <c r="H511" s="52"/>
      <c r="I511" s="52"/>
      <c r="J511" s="15"/>
      <c r="K511" s="15"/>
      <c r="L511" s="15"/>
      <c r="M511" s="15"/>
      <c r="N511" s="15"/>
      <c r="O511" s="15"/>
      <c r="P511" s="15"/>
      <c r="Q511" s="15"/>
      <c r="R511" s="15"/>
      <c r="S511" s="15"/>
      <c r="T511" s="15"/>
      <c r="U511" s="15"/>
      <c r="V511" s="15"/>
      <c r="W511" s="15"/>
      <c r="X511" s="15"/>
      <c r="Y511" s="15"/>
      <c r="Z511" s="15"/>
    </row>
    <row r="512" spans="1:26" x14ac:dyDescent="0.3">
      <c r="A512" s="15"/>
      <c r="B512" s="15"/>
      <c r="C512" s="15"/>
      <c r="D512" s="15"/>
      <c r="E512" s="15"/>
      <c r="F512" s="15"/>
      <c r="G512" s="15"/>
      <c r="H512" s="52"/>
      <c r="I512" s="52"/>
      <c r="J512" s="15"/>
      <c r="K512" s="15"/>
      <c r="L512" s="15"/>
      <c r="M512" s="15"/>
      <c r="N512" s="15"/>
      <c r="O512" s="15"/>
      <c r="P512" s="15"/>
      <c r="Q512" s="15"/>
      <c r="R512" s="15"/>
      <c r="S512" s="15"/>
      <c r="T512" s="15"/>
      <c r="U512" s="15"/>
      <c r="V512" s="15"/>
      <c r="W512" s="15"/>
      <c r="X512" s="15"/>
      <c r="Y512" s="15"/>
      <c r="Z512" s="15"/>
    </row>
    <row r="513" spans="1:26" x14ac:dyDescent="0.3">
      <c r="A513" s="15"/>
      <c r="B513" s="15"/>
      <c r="C513" s="15"/>
      <c r="D513" s="15"/>
      <c r="E513" s="15"/>
      <c r="F513" s="15"/>
      <c r="G513" s="15"/>
      <c r="H513" s="52"/>
      <c r="I513" s="52"/>
      <c r="J513" s="15"/>
      <c r="K513" s="15"/>
      <c r="L513" s="15"/>
      <c r="M513" s="15"/>
      <c r="N513" s="15"/>
      <c r="O513" s="15"/>
      <c r="P513" s="15"/>
      <c r="Q513" s="15"/>
      <c r="R513" s="15"/>
      <c r="S513" s="15"/>
      <c r="T513" s="15"/>
      <c r="U513" s="15"/>
      <c r="V513" s="15"/>
      <c r="W513" s="15"/>
      <c r="X513" s="15"/>
      <c r="Y513" s="15"/>
      <c r="Z513" s="15"/>
    </row>
    <row r="514" spans="1:26" x14ac:dyDescent="0.3">
      <c r="A514" s="15"/>
      <c r="B514" s="15"/>
      <c r="C514" s="15"/>
      <c r="D514" s="15"/>
      <c r="E514" s="15"/>
      <c r="F514" s="15"/>
      <c r="G514" s="15"/>
      <c r="H514" s="52"/>
      <c r="I514" s="52"/>
      <c r="J514" s="15"/>
      <c r="K514" s="15"/>
      <c r="L514" s="15"/>
      <c r="M514" s="15"/>
      <c r="N514" s="15"/>
      <c r="O514" s="15"/>
      <c r="P514" s="15"/>
      <c r="Q514" s="15"/>
      <c r="R514" s="15"/>
      <c r="S514" s="15"/>
      <c r="T514" s="15"/>
      <c r="U514" s="15"/>
      <c r="V514" s="15"/>
      <c r="W514" s="15"/>
      <c r="X514" s="15"/>
      <c r="Y514" s="15"/>
      <c r="Z514" s="15"/>
    </row>
    <row r="515" spans="1:26" x14ac:dyDescent="0.3">
      <c r="A515" s="15"/>
      <c r="B515" s="15"/>
      <c r="C515" s="15"/>
      <c r="D515" s="15"/>
      <c r="E515" s="15"/>
      <c r="F515" s="15"/>
      <c r="G515" s="15"/>
      <c r="H515" s="52"/>
      <c r="I515" s="52"/>
      <c r="J515" s="15"/>
      <c r="K515" s="15"/>
      <c r="L515" s="15"/>
      <c r="M515" s="15"/>
      <c r="N515" s="15"/>
      <c r="O515" s="15"/>
      <c r="P515" s="15"/>
      <c r="Q515" s="15"/>
      <c r="R515" s="15"/>
      <c r="S515" s="15"/>
      <c r="T515" s="15"/>
      <c r="U515" s="15"/>
      <c r="V515" s="15"/>
      <c r="W515" s="15"/>
      <c r="X515" s="15"/>
      <c r="Y515" s="15"/>
      <c r="Z515" s="15"/>
    </row>
    <row r="516" spans="1:26" x14ac:dyDescent="0.3">
      <c r="A516" s="15"/>
      <c r="B516" s="15"/>
      <c r="C516" s="15"/>
      <c r="D516" s="15"/>
      <c r="E516" s="15"/>
      <c r="F516" s="15"/>
      <c r="G516" s="15"/>
      <c r="H516" s="52"/>
      <c r="I516" s="52"/>
      <c r="J516" s="15"/>
      <c r="K516" s="15"/>
      <c r="L516" s="15"/>
      <c r="M516" s="15"/>
      <c r="N516" s="15"/>
      <c r="O516" s="15"/>
      <c r="P516" s="15"/>
      <c r="Q516" s="15"/>
      <c r="R516" s="15"/>
      <c r="S516" s="15"/>
      <c r="T516" s="15"/>
      <c r="U516" s="15"/>
      <c r="V516" s="15"/>
      <c r="W516" s="15"/>
      <c r="X516" s="15"/>
      <c r="Y516" s="15"/>
      <c r="Z516" s="15"/>
    </row>
    <row r="517" spans="1:26" x14ac:dyDescent="0.3">
      <c r="A517" s="15"/>
      <c r="B517" s="15"/>
      <c r="C517" s="15"/>
      <c r="D517" s="15"/>
      <c r="E517" s="15"/>
      <c r="F517" s="15"/>
      <c r="G517" s="15"/>
      <c r="H517" s="52"/>
      <c r="I517" s="52"/>
      <c r="J517" s="15"/>
      <c r="K517" s="15"/>
      <c r="L517" s="15"/>
      <c r="M517" s="15"/>
      <c r="N517" s="15"/>
      <c r="O517" s="15"/>
      <c r="P517" s="15"/>
      <c r="Q517" s="15"/>
      <c r="R517" s="15"/>
      <c r="S517" s="15"/>
      <c r="T517" s="15"/>
      <c r="U517" s="15"/>
      <c r="V517" s="15"/>
      <c r="W517" s="15"/>
      <c r="X517" s="15"/>
      <c r="Y517" s="15"/>
      <c r="Z517" s="15"/>
    </row>
    <row r="518" spans="1:26" x14ac:dyDescent="0.3">
      <c r="A518" s="15"/>
      <c r="B518" s="15"/>
      <c r="C518" s="15"/>
      <c r="D518" s="15"/>
      <c r="E518" s="15"/>
      <c r="F518" s="15"/>
      <c r="G518" s="15"/>
      <c r="H518" s="52"/>
      <c r="I518" s="52"/>
      <c r="J518" s="15"/>
      <c r="K518" s="15"/>
      <c r="L518" s="15"/>
      <c r="M518" s="15"/>
      <c r="N518" s="15"/>
      <c r="O518" s="15"/>
      <c r="P518" s="15"/>
      <c r="Q518" s="15"/>
      <c r="R518" s="15"/>
      <c r="S518" s="15"/>
      <c r="T518" s="15"/>
      <c r="U518" s="15"/>
      <c r="V518" s="15"/>
      <c r="W518" s="15"/>
      <c r="X518" s="15"/>
      <c r="Y518" s="15"/>
      <c r="Z518" s="15"/>
    </row>
    <row r="519" spans="1:26" x14ac:dyDescent="0.3">
      <c r="A519" s="15"/>
      <c r="B519" s="15"/>
      <c r="C519" s="15"/>
      <c r="D519" s="15"/>
      <c r="E519" s="15"/>
      <c r="F519" s="15"/>
      <c r="G519" s="15"/>
      <c r="H519" s="52"/>
      <c r="I519" s="52"/>
      <c r="J519" s="15"/>
      <c r="K519" s="15"/>
      <c r="L519" s="15"/>
      <c r="M519" s="15"/>
      <c r="N519" s="15"/>
      <c r="O519" s="15"/>
      <c r="P519" s="15"/>
      <c r="Q519" s="15"/>
      <c r="R519" s="15"/>
      <c r="S519" s="15"/>
      <c r="T519" s="15"/>
      <c r="U519" s="15"/>
      <c r="V519" s="15"/>
      <c r="W519" s="15"/>
      <c r="X519" s="15"/>
      <c r="Y519" s="15"/>
      <c r="Z519" s="15"/>
    </row>
    <row r="520" spans="1:26" x14ac:dyDescent="0.3">
      <c r="A520" s="15"/>
      <c r="B520" s="15"/>
      <c r="C520" s="15"/>
      <c r="D520" s="15"/>
      <c r="E520" s="15"/>
      <c r="F520" s="15"/>
      <c r="G520" s="15"/>
      <c r="H520" s="52"/>
      <c r="I520" s="52"/>
      <c r="J520" s="15"/>
      <c r="K520" s="15"/>
      <c r="L520" s="15"/>
      <c r="M520" s="15"/>
      <c r="N520" s="15"/>
      <c r="O520" s="15"/>
      <c r="P520" s="15"/>
      <c r="Q520" s="15"/>
      <c r="R520" s="15"/>
      <c r="S520" s="15"/>
      <c r="T520" s="15"/>
      <c r="U520" s="15"/>
      <c r="V520" s="15"/>
      <c r="W520" s="15"/>
      <c r="X520" s="15"/>
      <c r="Y520" s="15"/>
      <c r="Z520" s="15"/>
    </row>
    <row r="521" spans="1:26" x14ac:dyDescent="0.3">
      <c r="A521" s="15"/>
      <c r="B521" s="15"/>
      <c r="C521" s="15"/>
      <c r="D521" s="15"/>
      <c r="E521" s="15"/>
      <c r="F521" s="15"/>
      <c r="G521" s="15"/>
      <c r="H521" s="52"/>
      <c r="I521" s="52"/>
      <c r="J521" s="15"/>
      <c r="K521" s="15"/>
      <c r="L521" s="15"/>
      <c r="M521" s="15"/>
      <c r="N521" s="15"/>
      <c r="O521" s="15"/>
      <c r="P521" s="15"/>
      <c r="Q521" s="15"/>
      <c r="R521" s="15"/>
      <c r="S521" s="15"/>
      <c r="T521" s="15"/>
      <c r="U521" s="15"/>
      <c r="V521" s="15"/>
      <c r="W521" s="15"/>
      <c r="X521" s="15"/>
      <c r="Y521" s="15"/>
      <c r="Z521" s="15"/>
    </row>
    <row r="522" spans="1:26" x14ac:dyDescent="0.3">
      <c r="A522" s="15"/>
      <c r="B522" s="15"/>
      <c r="C522" s="15"/>
      <c r="D522" s="15"/>
      <c r="E522" s="15"/>
      <c r="F522" s="15"/>
      <c r="G522" s="15"/>
      <c r="H522" s="52"/>
      <c r="I522" s="52"/>
      <c r="J522" s="15"/>
      <c r="K522" s="15"/>
      <c r="L522" s="15"/>
      <c r="M522" s="15"/>
      <c r="N522" s="15"/>
      <c r="O522" s="15"/>
      <c r="P522" s="15"/>
      <c r="Q522" s="15"/>
      <c r="R522" s="15"/>
      <c r="S522" s="15"/>
      <c r="T522" s="15"/>
      <c r="U522" s="15"/>
      <c r="V522" s="15"/>
      <c r="W522" s="15"/>
      <c r="X522" s="15"/>
      <c r="Y522" s="15"/>
      <c r="Z522" s="15"/>
    </row>
    <row r="523" spans="1:26" x14ac:dyDescent="0.3">
      <c r="A523" s="15"/>
      <c r="B523" s="15"/>
      <c r="C523" s="15"/>
      <c r="D523" s="15"/>
      <c r="E523" s="15"/>
      <c r="F523" s="15"/>
      <c r="G523" s="15"/>
      <c r="H523" s="52"/>
      <c r="I523" s="52"/>
      <c r="J523" s="15"/>
      <c r="K523" s="15"/>
      <c r="L523" s="15"/>
      <c r="M523" s="15"/>
      <c r="N523" s="15"/>
      <c r="O523" s="15"/>
      <c r="P523" s="15"/>
      <c r="Q523" s="15"/>
      <c r="R523" s="15"/>
      <c r="S523" s="15"/>
      <c r="T523" s="15"/>
      <c r="U523" s="15"/>
      <c r="V523" s="15"/>
      <c r="W523" s="15"/>
      <c r="X523" s="15"/>
      <c r="Y523" s="15"/>
      <c r="Z523" s="15"/>
    </row>
    <row r="524" spans="1:26" x14ac:dyDescent="0.3">
      <c r="A524" s="15"/>
      <c r="B524" s="15"/>
      <c r="C524" s="15"/>
      <c r="D524" s="15"/>
      <c r="E524" s="15"/>
      <c r="F524" s="15"/>
      <c r="G524" s="15"/>
      <c r="H524" s="52"/>
      <c r="I524" s="52"/>
      <c r="J524" s="15"/>
      <c r="K524" s="15"/>
      <c r="L524" s="15"/>
      <c r="M524" s="15"/>
      <c r="N524" s="15"/>
      <c r="O524" s="15"/>
      <c r="P524" s="15"/>
      <c r="Q524" s="15"/>
      <c r="R524" s="15"/>
      <c r="S524" s="15"/>
      <c r="T524" s="15"/>
      <c r="U524" s="15"/>
      <c r="V524" s="15"/>
      <c r="W524" s="15"/>
      <c r="X524" s="15"/>
      <c r="Y524" s="15"/>
      <c r="Z524" s="15"/>
    </row>
    <row r="525" spans="1:26" x14ac:dyDescent="0.3">
      <c r="A525" s="15"/>
      <c r="B525" s="15"/>
      <c r="C525" s="15"/>
      <c r="D525" s="15"/>
      <c r="E525" s="15"/>
      <c r="F525" s="15"/>
      <c r="G525" s="15"/>
      <c r="H525" s="52"/>
      <c r="I525" s="52"/>
      <c r="J525" s="15"/>
      <c r="K525" s="15"/>
      <c r="L525" s="15"/>
      <c r="M525" s="15"/>
      <c r="N525" s="15"/>
      <c r="O525" s="15"/>
      <c r="P525" s="15"/>
      <c r="Q525" s="15"/>
      <c r="R525" s="15"/>
      <c r="S525" s="15"/>
      <c r="T525" s="15"/>
      <c r="U525" s="15"/>
      <c r="V525" s="15"/>
      <c r="W525" s="15"/>
      <c r="X525" s="15"/>
      <c r="Y525" s="15"/>
      <c r="Z525" s="15"/>
    </row>
    <row r="526" spans="1:26" x14ac:dyDescent="0.3">
      <c r="A526" s="15"/>
      <c r="B526" s="15"/>
      <c r="C526" s="15"/>
      <c r="D526" s="15"/>
      <c r="E526" s="15"/>
      <c r="F526" s="15"/>
      <c r="G526" s="15"/>
      <c r="H526" s="52"/>
      <c r="I526" s="52"/>
      <c r="J526" s="15"/>
      <c r="K526" s="15"/>
      <c r="L526" s="15"/>
      <c r="M526" s="15"/>
      <c r="N526" s="15"/>
      <c r="O526" s="15"/>
      <c r="P526" s="15"/>
      <c r="Q526" s="15"/>
      <c r="R526" s="15"/>
      <c r="S526" s="15"/>
      <c r="T526" s="15"/>
      <c r="U526" s="15"/>
      <c r="V526" s="15"/>
      <c r="W526" s="15"/>
      <c r="X526" s="15"/>
      <c r="Y526" s="15"/>
      <c r="Z526" s="15"/>
    </row>
    <row r="527" spans="1:26" x14ac:dyDescent="0.3">
      <c r="A527" s="15"/>
      <c r="B527" s="15"/>
      <c r="C527" s="15"/>
      <c r="D527" s="15"/>
      <c r="E527" s="15"/>
      <c r="F527" s="15"/>
      <c r="G527" s="15"/>
      <c r="H527" s="52"/>
      <c r="I527" s="52"/>
      <c r="J527" s="15"/>
      <c r="K527" s="15"/>
      <c r="L527" s="15"/>
      <c r="M527" s="15"/>
      <c r="N527" s="15"/>
      <c r="O527" s="15"/>
      <c r="P527" s="15"/>
      <c r="Q527" s="15"/>
      <c r="R527" s="15"/>
      <c r="S527" s="15"/>
      <c r="T527" s="15"/>
      <c r="U527" s="15"/>
      <c r="V527" s="15"/>
      <c r="W527" s="15"/>
      <c r="X527" s="15"/>
      <c r="Y527" s="15"/>
      <c r="Z527" s="15"/>
    </row>
    <row r="528" spans="1:26" x14ac:dyDescent="0.3">
      <c r="A528" s="15"/>
      <c r="B528" s="15"/>
      <c r="C528" s="15"/>
      <c r="D528" s="15"/>
      <c r="E528" s="15"/>
      <c r="F528" s="15"/>
      <c r="G528" s="15"/>
      <c r="H528" s="52"/>
      <c r="I528" s="52"/>
      <c r="J528" s="15"/>
      <c r="K528" s="15"/>
      <c r="L528" s="15"/>
      <c r="M528" s="15"/>
      <c r="N528" s="15"/>
      <c r="O528" s="15"/>
      <c r="P528" s="15"/>
      <c r="Q528" s="15"/>
      <c r="R528" s="15"/>
      <c r="S528" s="15"/>
      <c r="T528" s="15"/>
      <c r="U528" s="15"/>
      <c r="V528" s="15"/>
      <c r="W528" s="15"/>
      <c r="X528" s="15"/>
      <c r="Y528" s="15"/>
      <c r="Z528" s="15"/>
    </row>
    <row r="529" spans="1:26" x14ac:dyDescent="0.3">
      <c r="A529" s="15"/>
      <c r="B529" s="15"/>
      <c r="C529" s="15"/>
      <c r="D529" s="15"/>
      <c r="E529" s="15"/>
      <c r="F529" s="15"/>
      <c r="G529" s="15"/>
      <c r="H529" s="52"/>
      <c r="I529" s="52"/>
      <c r="J529" s="15"/>
      <c r="K529" s="15"/>
      <c r="L529" s="15"/>
      <c r="M529" s="15"/>
      <c r="N529" s="15"/>
      <c r="O529" s="15"/>
      <c r="P529" s="15"/>
      <c r="Q529" s="15"/>
      <c r="R529" s="15"/>
      <c r="S529" s="15"/>
      <c r="T529" s="15"/>
      <c r="U529" s="15"/>
      <c r="V529" s="15"/>
      <c r="W529" s="15"/>
      <c r="X529" s="15"/>
      <c r="Y529" s="15"/>
      <c r="Z529" s="15"/>
    </row>
    <row r="530" spans="1:26" x14ac:dyDescent="0.3">
      <c r="A530" s="15"/>
      <c r="B530" s="15"/>
      <c r="C530" s="15"/>
      <c r="D530" s="15"/>
      <c r="E530" s="15"/>
      <c r="F530" s="15"/>
      <c r="G530" s="15"/>
      <c r="H530" s="52"/>
      <c r="I530" s="52"/>
      <c r="J530" s="15"/>
      <c r="K530" s="15"/>
      <c r="L530" s="15"/>
      <c r="M530" s="15"/>
      <c r="N530" s="15"/>
      <c r="O530" s="15"/>
      <c r="P530" s="15"/>
      <c r="Q530" s="15"/>
      <c r="R530" s="15"/>
      <c r="S530" s="15"/>
      <c r="T530" s="15"/>
      <c r="U530" s="15"/>
      <c r="V530" s="15"/>
      <c r="W530" s="15"/>
      <c r="X530" s="15"/>
      <c r="Y530" s="15"/>
      <c r="Z530" s="15"/>
    </row>
    <row r="531" spans="1:26" x14ac:dyDescent="0.3">
      <c r="A531" s="15"/>
      <c r="B531" s="15"/>
      <c r="C531" s="15"/>
      <c r="D531" s="15"/>
      <c r="E531" s="15"/>
      <c r="F531" s="15"/>
      <c r="G531" s="15"/>
      <c r="H531" s="52"/>
      <c r="I531" s="52"/>
      <c r="J531" s="15"/>
      <c r="K531" s="15"/>
      <c r="L531" s="15"/>
      <c r="M531" s="15"/>
      <c r="N531" s="15"/>
      <c r="O531" s="15"/>
      <c r="P531" s="15"/>
      <c r="Q531" s="15"/>
      <c r="R531" s="15"/>
      <c r="S531" s="15"/>
      <c r="T531" s="15"/>
      <c r="U531" s="15"/>
      <c r="V531" s="15"/>
      <c r="W531" s="15"/>
      <c r="X531" s="15"/>
      <c r="Y531" s="15"/>
      <c r="Z531" s="15"/>
    </row>
    <row r="532" spans="1:26" x14ac:dyDescent="0.3">
      <c r="A532" s="15"/>
      <c r="B532" s="15"/>
      <c r="C532" s="15"/>
      <c r="D532" s="15"/>
      <c r="E532" s="15"/>
      <c r="F532" s="15"/>
      <c r="G532" s="15"/>
      <c r="H532" s="52"/>
      <c r="I532" s="52"/>
      <c r="J532" s="15"/>
      <c r="K532" s="15"/>
      <c r="L532" s="15"/>
      <c r="M532" s="15"/>
      <c r="N532" s="15"/>
      <c r="O532" s="15"/>
      <c r="P532" s="15"/>
      <c r="Q532" s="15"/>
      <c r="R532" s="15"/>
      <c r="S532" s="15"/>
      <c r="T532" s="15"/>
      <c r="U532" s="15"/>
      <c r="V532" s="15"/>
      <c r="W532" s="15"/>
      <c r="X532" s="15"/>
      <c r="Y532" s="15"/>
      <c r="Z532" s="15"/>
    </row>
    <row r="533" spans="1:26" x14ac:dyDescent="0.3">
      <c r="A533" s="15"/>
      <c r="B533" s="15"/>
      <c r="C533" s="15"/>
      <c r="D533" s="15"/>
      <c r="E533" s="15"/>
      <c r="F533" s="15"/>
      <c r="G533" s="15"/>
      <c r="H533" s="52"/>
      <c r="I533" s="52"/>
      <c r="J533" s="15"/>
      <c r="K533" s="15"/>
      <c r="L533" s="15"/>
      <c r="M533" s="15"/>
      <c r="N533" s="15"/>
      <c r="O533" s="15"/>
      <c r="P533" s="15"/>
      <c r="Q533" s="15"/>
      <c r="R533" s="15"/>
      <c r="S533" s="15"/>
      <c r="T533" s="15"/>
      <c r="U533" s="15"/>
      <c r="V533" s="15"/>
      <c r="W533" s="15"/>
      <c r="X533" s="15"/>
      <c r="Y533" s="15"/>
      <c r="Z533" s="15"/>
    </row>
    <row r="534" spans="1:26" x14ac:dyDescent="0.3">
      <c r="A534" s="15"/>
      <c r="B534" s="15"/>
      <c r="C534" s="15"/>
      <c r="D534" s="15"/>
      <c r="E534" s="15"/>
      <c r="F534" s="15"/>
      <c r="G534" s="15"/>
      <c r="H534" s="52"/>
      <c r="I534" s="52"/>
      <c r="J534" s="15"/>
      <c r="K534" s="15"/>
      <c r="L534" s="15"/>
      <c r="M534" s="15"/>
      <c r="N534" s="15"/>
      <c r="O534" s="15"/>
      <c r="P534" s="15"/>
      <c r="Q534" s="15"/>
      <c r="R534" s="15"/>
      <c r="S534" s="15"/>
      <c r="T534" s="15"/>
      <c r="U534" s="15"/>
      <c r="V534" s="15"/>
      <c r="W534" s="15"/>
      <c r="X534" s="15"/>
      <c r="Y534" s="15"/>
      <c r="Z534" s="15"/>
    </row>
    <row r="535" spans="1:26" x14ac:dyDescent="0.3">
      <c r="A535" s="15"/>
      <c r="B535" s="15"/>
      <c r="C535" s="15"/>
      <c r="D535" s="15"/>
      <c r="E535" s="15"/>
      <c r="F535" s="15"/>
      <c r="G535" s="15"/>
      <c r="H535" s="52"/>
      <c r="I535" s="52"/>
      <c r="J535" s="15"/>
      <c r="K535" s="15"/>
      <c r="L535" s="15"/>
      <c r="M535" s="15"/>
      <c r="N535" s="15"/>
      <c r="O535" s="15"/>
      <c r="P535" s="15"/>
      <c r="Q535" s="15"/>
      <c r="R535" s="15"/>
      <c r="S535" s="15"/>
      <c r="T535" s="15"/>
      <c r="U535" s="15"/>
      <c r="V535" s="15"/>
      <c r="W535" s="15"/>
      <c r="X535" s="15"/>
      <c r="Y535" s="15"/>
      <c r="Z535" s="15"/>
    </row>
    <row r="536" spans="1:26" x14ac:dyDescent="0.3">
      <c r="A536" s="15"/>
      <c r="B536" s="15"/>
      <c r="C536" s="15"/>
      <c r="D536" s="15"/>
      <c r="E536" s="15"/>
      <c r="F536" s="15"/>
      <c r="G536" s="15"/>
      <c r="H536" s="52"/>
      <c r="I536" s="52"/>
      <c r="J536" s="15"/>
      <c r="K536" s="15"/>
      <c r="L536" s="15"/>
      <c r="M536" s="15"/>
      <c r="N536" s="15"/>
      <c r="O536" s="15"/>
      <c r="P536" s="15"/>
      <c r="Q536" s="15"/>
      <c r="R536" s="15"/>
      <c r="S536" s="15"/>
      <c r="T536" s="15"/>
      <c r="U536" s="15"/>
      <c r="V536" s="15"/>
      <c r="W536" s="15"/>
      <c r="X536" s="15"/>
      <c r="Y536" s="15"/>
      <c r="Z536" s="15"/>
    </row>
    <row r="537" spans="1:26" x14ac:dyDescent="0.3">
      <c r="A537" s="15"/>
      <c r="B537" s="15"/>
      <c r="C537" s="15"/>
      <c r="D537" s="15"/>
      <c r="E537" s="15"/>
      <c r="F537" s="15"/>
      <c r="G537" s="15"/>
      <c r="H537" s="52"/>
      <c r="I537" s="52"/>
      <c r="J537" s="15"/>
      <c r="K537" s="15"/>
      <c r="L537" s="15"/>
      <c r="M537" s="15"/>
      <c r="N537" s="15"/>
      <c r="O537" s="15"/>
      <c r="P537" s="15"/>
      <c r="Q537" s="15"/>
      <c r="R537" s="15"/>
      <c r="S537" s="15"/>
      <c r="T537" s="15"/>
      <c r="U537" s="15"/>
      <c r="V537" s="15"/>
      <c r="W537" s="15"/>
      <c r="X537" s="15"/>
      <c r="Y537" s="15"/>
      <c r="Z537" s="15"/>
    </row>
    <row r="538" spans="1:26" x14ac:dyDescent="0.3">
      <c r="A538" s="15"/>
      <c r="B538" s="15"/>
      <c r="C538" s="15"/>
      <c r="D538" s="15"/>
      <c r="E538" s="15"/>
      <c r="F538" s="15"/>
      <c r="G538" s="15"/>
      <c r="H538" s="52"/>
      <c r="I538" s="52"/>
      <c r="J538" s="15"/>
      <c r="K538" s="15"/>
      <c r="L538" s="15"/>
      <c r="M538" s="15"/>
      <c r="N538" s="15"/>
      <c r="O538" s="15"/>
      <c r="P538" s="15"/>
      <c r="Q538" s="15"/>
      <c r="R538" s="15"/>
      <c r="S538" s="15"/>
      <c r="T538" s="15"/>
      <c r="U538" s="15"/>
      <c r="V538" s="15"/>
      <c r="W538" s="15"/>
      <c r="X538" s="15"/>
      <c r="Y538" s="15"/>
      <c r="Z538" s="15"/>
    </row>
    <row r="539" spans="1:26" x14ac:dyDescent="0.3">
      <c r="A539" s="15"/>
      <c r="B539" s="15"/>
      <c r="C539" s="15"/>
      <c r="D539" s="15"/>
      <c r="E539" s="15"/>
      <c r="F539" s="15"/>
      <c r="G539" s="15"/>
      <c r="H539" s="52"/>
      <c r="I539" s="52"/>
      <c r="J539" s="15"/>
      <c r="K539" s="15"/>
      <c r="L539" s="15"/>
      <c r="M539" s="15"/>
      <c r="N539" s="15"/>
      <c r="O539" s="15"/>
      <c r="P539" s="15"/>
      <c r="Q539" s="15"/>
      <c r="R539" s="15"/>
      <c r="S539" s="15"/>
      <c r="T539" s="15"/>
      <c r="U539" s="15"/>
      <c r="V539" s="15"/>
      <c r="W539" s="15"/>
      <c r="X539" s="15"/>
      <c r="Y539" s="15"/>
      <c r="Z539" s="15"/>
    </row>
    <row r="540" spans="1:26" x14ac:dyDescent="0.3">
      <c r="A540" s="15"/>
      <c r="B540" s="15"/>
      <c r="C540" s="15"/>
      <c r="D540" s="15"/>
      <c r="E540" s="15"/>
      <c r="F540" s="15"/>
      <c r="G540" s="15"/>
      <c r="H540" s="52"/>
      <c r="I540" s="52"/>
      <c r="J540" s="15"/>
      <c r="K540" s="15"/>
      <c r="L540" s="15"/>
      <c r="M540" s="15"/>
      <c r="N540" s="15"/>
      <c r="O540" s="15"/>
      <c r="P540" s="15"/>
      <c r="Q540" s="15"/>
      <c r="R540" s="15"/>
      <c r="S540" s="15"/>
      <c r="T540" s="15"/>
      <c r="U540" s="15"/>
      <c r="V540" s="15"/>
      <c r="W540" s="15"/>
      <c r="X540" s="15"/>
      <c r="Y540" s="15"/>
      <c r="Z540" s="15"/>
    </row>
    <row r="541" spans="1:26" x14ac:dyDescent="0.3">
      <c r="A541" s="15"/>
      <c r="B541" s="15"/>
      <c r="C541" s="15"/>
      <c r="D541" s="15"/>
      <c r="E541" s="15"/>
      <c r="F541" s="15"/>
      <c r="G541" s="15"/>
      <c r="H541" s="52"/>
      <c r="I541" s="52"/>
      <c r="J541" s="15"/>
      <c r="K541" s="15"/>
      <c r="L541" s="15"/>
      <c r="M541" s="15"/>
      <c r="N541" s="15"/>
      <c r="O541" s="15"/>
      <c r="P541" s="15"/>
      <c r="Q541" s="15"/>
      <c r="R541" s="15"/>
      <c r="S541" s="15"/>
      <c r="T541" s="15"/>
      <c r="U541" s="15"/>
      <c r="V541" s="15"/>
      <c r="W541" s="15"/>
      <c r="X541" s="15"/>
      <c r="Y541" s="15"/>
      <c r="Z541" s="15"/>
    </row>
    <row r="542" spans="1:26" x14ac:dyDescent="0.3">
      <c r="A542" s="15"/>
      <c r="B542" s="15"/>
      <c r="C542" s="15"/>
      <c r="D542" s="15"/>
      <c r="E542" s="15"/>
      <c r="F542" s="15"/>
      <c r="G542" s="15"/>
      <c r="H542" s="52"/>
      <c r="I542" s="52"/>
      <c r="J542" s="15"/>
      <c r="K542" s="15"/>
      <c r="L542" s="15"/>
      <c r="M542" s="15"/>
      <c r="N542" s="15"/>
      <c r="O542" s="15"/>
      <c r="P542" s="15"/>
      <c r="Q542" s="15"/>
      <c r="R542" s="15"/>
      <c r="S542" s="15"/>
      <c r="T542" s="15"/>
      <c r="U542" s="15"/>
      <c r="V542" s="15"/>
      <c r="W542" s="15"/>
      <c r="X542" s="15"/>
      <c r="Y542" s="15"/>
      <c r="Z542" s="15"/>
    </row>
    <row r="543" spans="1:26" x14ac:dyDescent="0.3">
      <c r="A543" s="15"/>
      <c r="B543" s="15"/>
      <c r="C543" s="15"/>
      <c r="D543" s="15"/>
      <c r="E543" s="15"/>
      <c r="F543" s="15"/>
      <c r="G543" s="15"/>
      <c r="H543" s="52"/>
      <c r="I543" s="52"/>
      <c r="J543" s="15"/>
      <c r="K543" s="15"/>
      <c r="L543" s="15"/>
      <c r="M543" s="15"/>
      <c r="N543" s="15"/>
      <c r="O543" s="15"/>
      <c r="P543" s="15"/>
      <c r="Q543" s="15"/>
      <c r="R543" s="15"/>
      <c r="S543" s="15"/>
      <c r="T543" s="15"/>
      <c r="U543" s="15"/>
      <c r="V543" s="15"/>
      <c r="W543" s="15"/>
      <c r="X543" s="15"/>
      <c r="Y543" s="15"/>
      <c r="Z543" s="15"/>
    </row>
    <row r="544" spans="1:26" x14ac:dyDescent="0.3">
      <c r="A544" s="15"/>
      <c r="B544" s="15"/>
      <c r="C544" s="15"/>
      <c r="D544" s="15"/>
      <c r="E544" s="15"/>
      <c r="F544" s="15"/>
      <c r="G544" s="15"/>
      <c r="H544" s="52"/>
      <c r="I544" s="52"/>
      <c r="J544" s="15"/>
      <c r="K544" s="15"/>
      <c r="L544" s="15"/>
      <c r="M544" s="15"/>
      <c r="N544" s="15"/>
      <c r="O544" s="15"/>
      <c r="P544" s="15"/>
      <c r="Q544" s="15"/>
      <c r="R544" s="15"/>
      <c r="S544" s="15"/>
      <c r="T544" s="15"/>
      <c r="U544" s="15"/>
      <c r="V544" s="15"/>
      <c r="W544" s="15"/>
      <c r="X544" s="15"/>
      <c r="Y544" s="15"/>
      <c r="Z544" s="15"/>
    </row>
    <row r="545" spans="1:26" x14ac:dyDescent="0.3">
      <c r="A545" s="15"/>
      <c r="B545" s="15"/>
      <c r="C545" s="15"/>
      <c r="D545" s="15"/>
      <c r="E545" s="15"/>
      <c r="F545" s="15"/>
      <c r="G545" s="15"/>
      <c r="H545" s="52"/>
      <c r="I545" s="52"/>
      <c r="J545" s="15"/>
      <c r="K545" s="15"/>
      <c r="L545" s="15"/>
      <c r="M545" s="15"/>
      <c r="N545" s="15"/>
      <c r="O545" s="15"/>
      <c r="P545" s="15"/>
      <c r="Q545" s="15"/>
      <c r="R545" s="15"/>
      <c r="S545" s="15"/>
      <c r="T545" s="15"/>
      <c r="U545" s="15"/>
      <c r="V545" s="15"/>
      <c r="W545" s="15"/>
      <c r="X545" s="15"/>
      <c r="Y545" s="15"/>
      <c r="Z545" s="15"/>
    </row>
    <row r="546" spans="1:26" x14ac:dyDescent="0.3">
      <c r="A546" s="15"/>
      <c r="B546" s="15"/>
      <c r="C546" s="15"/>
      <c r="D546" s="15"/>
      <c r="E546" s="15"/>
      <c r="F546" s="15"/>
      <c r="G546" s="15"/>
      <c r="H546" s="52"/>
      <c r="I546" s="52"/>
      <c r="J546" s="15"/>
      <c r="K546" s="15"/>
      <c r="L546" s="15"/>
      <c r="M546" s="15"/>
      <c r="N546" s="15"/>
      <c r="O546" s="15"/>
      <c r="P546" s="15"/>
      <c r="Q546" s="15"/>
      <c r="R546" s="15"/>
      <c r="S546" s="15"/>
      <c r="T546" s="15"/>
      <c r="U546" s="15"/>
      <c r="V546" s="15"/>
      <c r="W546" s="15"/>
      <c r="X546" s="15"/>
      <c r="Y546" s="15"/>
      <c r="Z546" s="15"/>
    </row>
    <row r="547" spans="1:26" x14ac:dyDescent="0.3">
      <c r="A547" s="15"/>
      <c r="B547" s="15"/>
      <c r="C547" s="15"/>
      <c r="D547" s="15"/>
      <c r="E547" s="15"/>
      <c r="F547" s="15"/>
      <c r="G547" s="15"/>
      <c r="H547" s="52"/>
      <c r="I547" s="52"/>
      <c r="J547" s="15"/>
      <c r="K547" s="15"/>
      <c r="L547" s="15"/>
      <c r="M547" s="15"/>
      <c r="N547" s="15"/>
      <c r="O547" s="15"/>
      <c r="P547" s="15"/>
      <c r="Q547" s="15"/>
      <c r="R547" s="15"/>
      <c r="S547" s="15"/>
      <c r="T547" s="15"/>
      <c r="U547" s="15"/>
      <c r="V547" s="15"/>
      <c r="W547" s="15"/>
      <c r="X547" s="15"/>
      <c r="Y547" s="15"/>
      <c r="Z547" s="15"/>
    </row>
    <row r="548" spans="1:26" x14ac:dyDescent="0.3">
      <c r="A548" s="15"/>
      <c r="B548" s="15"/>
      <c r="C548" s="15"/>
      <c r="D548" s="15"/>
      <c r="E548" s="15"/>
      <c r="F548" s="15"/>
      <c r="G548" s="15"/>
      <c r="H548" s="52"/>
      <c r="I548" s="52"/>
      <c r="J548" s="15"/>
      <c r="K548" s="15"/>
      <c r="L548" s="15"/>
      <c r="M548" s="15"/>
      <c r="N548" s="15"/>
      <c r="O548" s="15"/>
      <c r="P548" s="15"/>
      <c r="Q548" s="15"/>
      <c r="R548" s="15"/>
      <c r="S548" s="15"/>
      <c r="T548" s="15"/>
      <c r="U548" s="15"/>
      <c r="V548" s="15"/>
      <c r="W548" s="15"/>
      <c r="X548" s="15"/>
      <c r="Y548" s="15"/>
      <c r="Z548" s="15"/>
    </row>
    <row r="549" spans="1:26" x14ac:dyDescent="0.3">
      <c r="A549" s="15"/>
      <c r="B549" s="15"/>
      <c r="C549" s="15"/>
      <c r="D549" s="15"/>
      <c r="E549" s="15"/>
      <c r="F549" s="15"/>
      <c r="G549" s="15"/>
      <c r="H549" s="52"/>
      <c r="I549" s="52"/>
      <c r="J549" s="15"/>
      <c r="K549" s="15"/>
      <c r="L549" s="15"/>
      <c r="M549" s="15"/>
      <c r="N549" s="15"/>
      <c r="O549" s="15"/>
      <c r="P549" s="15"/>
      <c r="Q549" s="15"/>
      <c r="R549" s="15"/>
      <c r="S549" s="15"/>
      <c r="T549" s="15"/>
      <c r="U549" s="15"/>
      <c r="V549" s="15"/>
      <c r="W549" s="15"/>
      <c r="X549" s="15"/>
      <c r="Y549" s="15"/>
      <c r="Z549" s="15"/>
    </row>
    <row r="550" spans="1:26" x14ac:dyDescent="0.3">
      <c r="A550" s="15"/>
      <c r="B550" s="15"/>
      <c r="C550" s="15"/>
      <c r="D550" s="15"/>
      <c r="E550" s="15"/>
      <c r="F550" s="15"/>
      <c r="G550" s="15"/>
      <c r="H550" s="52"/>
      <c r="I550" s="52"/>
      <c r="J550" s="15"/>
      <c r="K550" s="15"/>
      <c r="L550" s="15"/>
      <c r="M550" s="15"/>
      <c r="N550" s="15"/>
      <c r="O550" s="15"/>
      <c r="P550" s="15"/>
      <c r="Q550" s="15"/>
      <c r="R550" s="15"/>
      <c r="S550" s="15"/>
      <c r="T550" s="15"/>
      <c r="U550" s="15"/>
      <c r="V550" s="15"/>
      <c r="W550" s="15"/>
      <c r="X550" s="15"/>
      <c r="Y550" s="15"/>
      <c r="Z550" s="15"/>
    </row>
    <row r="551" spans="1:26" x14ac:dyDescent="0.3">
      <c r="A551" s="15"/>
      <c r="B551" s="15"/>
      <c r="C551" s="15"/>
      <c r="D551" s="15"/>
      <c r="E551" s="15"/>
      <c r="F551" s="15"/>
      <c r="G551" s="15"/>
      <c r="H551" s="52"/>
      <c r="I551" s="52"/>
      <c r="J551" s="15"/>
      <c r="K551" s="15"/>
      <c r="L551" s="15"/>
      <c r="M551" s="15"/>
      <c r="N551" s="15"/>
      <c r="O551" s="15"/>
      <c r="P551" s="15"/>
      <c r="Q551" s="15"/>
      <c r="R551" s="15"/>
      <c r="S551" s="15"/>
      <c r="T551" s="15"/>
      <c r="U551" s="15"/>
      <c r="V551" s="15"/>
      <c r="W551" s="15"/>
      <c r="X551" s="15"/>
      <c r="Y551" s="15"/>
      <c r="Z551" s="15"/>
    </row>
    <row r="552" spans="1:26" x14ac:dyDescent="0.3">
      <c r="A552" s="15"/>
      <c r="B552" s="15"/>
      <c r="C552" s="15"/>
      <c r="D552" s="15"/>
      <c r="E552" s="15"/>
      <c r="F552" s="15"/>
      <c r="G552" s="15"/>
      <c r="H552" s="52"/>
      <c r="I552" s="52"/>
      <c r="J552" s="15"/>
      <c r="K552" s="15"/>
      <c r="L552" s="15"/>
      <c r="M552" s="15"/>
      <c r="N552" s="15"/>
      <c r="O552" s="15"/>
      <c r="P552" s="15"/>
      <c r="Q552" s="15"/>
      <c r="R552" s="15"/>
      <c r="S552" s="15"/>
      <c r="T552" s="15"/>
      <c r="U552" s="15"/>
      <c r="V552" s="15"/>
      <c r="W552" s="15"/>
      <c r="X552" s="15"/>
      <c r="Y552" s="15"/>
      <c r="Z552" s="15"/>
    </row>
    <row r="553" spans="1:26" x14ac:dyDescent="0.3">
      <c r="A553" s="15"/>
      <c r="B553" s="15"/>
      <c r="C553" s="15"/>
      <c r="D553" s="15"/>
      <c r="E553" s="15"/>
      <c r="F553" s="15"/>
      <c r="G553" s="15"/>
      <c r="H553" s="52"/>
      <c r="I553" s="52"/>
      <c r="J553" s="15"/>
      <c r="K553" s="15"/>
      <c r="L553" s="15"/>
      <c r="M553" s="15"/>
      <c r="N553" s="15"/>
      <c r="O553" s="15"/>
      <c r="P553" s="15"/>
      <c r="Q553" s="15"/>
      <c r="R553" s="15"/>
      <c r="S553" s="15"/>
      <c r="T553" s="15"/>
      <c r="U553" s="15"/>
      <c r="V553" s="15"/>
      <c r="W553" s="15"/>
      <c r="X553" s="15"/>
      <c r="Y553" s="15"/>
      <c r="Z553" s="15"/>
    </row>
    <row r="554" spans="1:26" x14ac:dyDescent="0.3">
      <c r="A554" s="15"/>
      <c r="B554" s="15"/>
      <c r="C554" s="15"/>
      <c r="D554" s="15"/>
      <c r="E554" s="15"/>
      <c r="F554" s="15"/>
      <c r="G554" s="15"/>
      <c r="H554" s="52"/>
      <c r="I554" s="52"/>
      <c r="J554" s="15"/>
      <c r="K554" s="15"/>
      <c r="L554" s="15"/>
      <c r="M554" s="15"/>
      <c r="N554" s="15"/>
      <c r="O554" s="15"/>
      <c r="P554" s="15"/>
      <c r="Q554" s="15"/>
      <c r="R554" s="15"/>
      <c r="S554" s="15"/>
      <c r="T554" s="15"/>
      <c r="U554" s="15"/>
      <c r="V554" s="15"/>
      <c r="W554" s="15"/>
      <c r="X554" s="15"/>
      <c r="Y554" s="15"/>
      <c r="Z554" s="15"/>
    </row>
    <row r="555" spans="1:26" x14ac:dyDescent="0.3">
      <c r="A555" s="15"/>
      <c r="B555" s="15"/>
      <c r="C555" s="15"/>
      <c r="D555" s="15"/>
      <c r="E555" s="15"/>
      <c r="F555" s="15"/>
      <c r="G555" s="15"/>
      <c r="H555" s="52"/>
      <c r="I555" s="52"/>
      <c r="J555" s="15"/>
      <c r="K555" s="15"/>
      <c r="L555" s="15"/>
      <c r="M555" s="15"/>
      <c r="N555" s="15"/>
      <c r="O555" s="15"/>
      <c r="P555" s="15"/>
      <c r="Q555" s="15"/>
      <c r="R555" s="15"/>
      <c r="S555" s="15"/>
      <c r="T555" s="15"/>
      <c r="U555" s="15"/>
      <c r="V555" s="15"/>
      <c r="W555" s="15"/>
      <c r="X555" s="15"/>
      <c r="Y555" s="15"/>
      <c r="Z555" s="15"/>
    </row>
    <row r="556" spans="1:26" x14ac:dyDescent="0.3">
      <c r="A556" s="15"/>
      <c r="B556" s="15"/>
      <c r="C556" s="15"/>
      <c r="D556" s="15"/>
      <c r="E556" s="15"/>
      <c r="F556" s="15"/>
      <c r="G556" s="15"/>
      <c r="H556" s="52"/>
      <c r="I556" s="52"/>
      <c r="J556" s="15"/>
      <c r="K556" s="15"/>
      <c r="L556" s="15"/>
      <c r="M556" s="15"/>
      <c r="N556" s="15"/>
      <c r="O556" s="15"/>
      <c r="P556" s="15"/>
      <c r="Q556" s="15"/>
      <c r="R556" s="15"/>
      <c r="S556" s="15"/>
      <c r="T556" s="15"/>
      <c r="U556" s="15"/>
      <c r="V556" s="15"/>
      <c r="W556" s="15"/>
      <c r="X556" s="15"/>
      <c r="Y556" s="15"/>
      <c r="Z556" s="15"/>
    </row>
    <row r="557" spans="1:26" x14ac:dyDescent="0.3">
      <c r="A557" s="15"/>
      <c r="B557" s="15"/>
      <c r="C557" s="15"/>
      <c r="D557" s="15"/>
      <c r="E557" s="15"/>
      <c r="F557" s="15"/>
      <c r="G557" s="15"/>
      <c r="H557" s="52"/>
      <c r="I557" s="52"/>
      <c r="J557" s="15"/>
      <c r="K557" s="15"/>
      <c r="L557" s="15"/>
      <c r="M557" s="15"/>
      <c r="N557" s="15"/>
      <c r="O557" s="15"/>
      <c r="P557" s="15"/>
      <c r="Q557" s="15"/>
      <c r="R557" s="15"/>
      <c r="S557" s="15"/>
      <c r="T557" s="15"/>
      <c r="U557" s="15"/>
      <c r="V557" s="15"/>
      <c r="W557" s="15"/>
      <c r="X557" s="15"/>
      <c r="Y557" s="15"/>
      <c r="Z557" s="15"/>
    </row>
    <row r="558" spans="1:26" x14ac:dyDescent="0.3">
      <c r="A558" s="15"/>
      <c r="B558" s="15"/>
      <c r="C558" s="15"/>
      <c r="D558" s="15"/>
      <c r="E558" s="15"/>
      <c r="F558" s="15"/>
      <c r="G558" s="15"/>
      <c r="H558" s="52"/>
      <c r="I558" s="52"/>
      <c r="J558" s="15"/>
      <c r="K558" s="15"/>
      <c r="L558" s="15"/>
      <c r="M558" s="15"/>
      <c r="N558" s="15"/>
      <c r="O558" s="15"/>
      <c r="P558" s="15"/>
      <c r="Q558" s="15"/>
      <c r="R558" s="15"/>
      <c r="S558" s="15"/>
      <c r="T558" s="15"/>
      <c r="U558" s="15"/>
      <c r="V558" s="15"/>
      <c r="W558" s="15"/>
      <c r="X558" s="15"/>
      <c r="Y558" s="15"/>
      <c r="Z558" s="15"/>
    </row>
    <row r="559" spans="1:26" x14ac:dyDescent="0.3">
      <c r="A559" s="15"/>
      <c r="B559" s="15"/>
      <c r="C559" s="15"/>
      <c r="D559" s="15"/>
      <c r="E559" s="15"/>
      <c r="F559" s="15"/>
      <c r="G559" s="15"/>
      <c r="H559" s="52"/>
      <c r="I559" s="52"/>
      <c r="J559" s="15"/>
      <c r="K559" s="15"/>
      <c r="L559" s="15"/>
      <c r="M559" s="15"/>
      <c r="N559" s="15"/>
      <c r="O559" s="15"/>
      <c r="P559" s="15"/>
      <c r="Q559" s="15"/>
      <c r="R559" s="15"/>
      <c r="S559" s="15"/>
      <c r="T559" s="15"/>
      <c r="U559" s="15"/>
      <c r="V559" s="15"/>
      <c r="W559" s="15"/>
      <c r="X559" s="15"/>
      <c r="Y559" s="15"/>
      <c r="Z559" s="15"/>
    </row>
    <row r="560" spans="1:26" x14ac:dyDescent="0.3">
      <c r="A560" s="15"/>
      <c r="B560" s="15"/>
      <c r="C560" s="15"/>
      <c r="D560" s="15"/>
      <c r="E560" s="15"/>
      <c r="F560" s="15"/>
      <c r="G560" s="15"/>
      <c r="H560" s="52"/>
      <c r="I560" s="52"/>
      <c r="J560" s="15"/>
      <c r="K560" s="15"/>
      <c r="L560" s="15"/>
      <c r="M560" s="15"/>
      <c r="N560" s="15"/>
      <c r="O560" s="15"/>
      <c r="P560" s="15"/>
      <c r="Q560" s="15"/>
      <c r="R560" s="15"/>
      <c r="S560" s="15"/>
      <c r="T560" s="15"/>
      <c r="U560" s="15"/>
      <c r="V560" s="15"/>
      <c r="W560" s="15"/>
      <c r="X560" s="15"/>
      <c r="Y560" s="15"/>
      <c r="Z560" s="15"/>
    </row>
    <row r="561" spans="1:26" x14ac:dyDescent="0.3">
      <c r="A561" s="15"/>
      <c r="B561" s="15"/>
      <c r="C561" s="15"/>
      <c r="D561" s="15"/>
      <c r="E561" s="15"/>
      <c r="F561" s="15"/>
      <c r="G561" s="15"/>
      <c r="H561" s="52"/>
      <c r="I561" s="52"/>
      <c r="J561" s="15"/>
      <c r="K561" s="15"/>
      <c r="L561" s="15"/>
      <c r="M561" s="15"/>
      <c r="N561" s="15"/>
      <c r="O561" s="15"/>
      <c r="P561" s="15"/>
      <c r="Q561" s="15"/>
      <c r="R561" s="15"/>
      <c r="S561" s="15"/>
      <c r="T561" s="15"/>
      <c r="U561" s="15"/>
      <c r="V561" s="15"/>
      <c r="W561" s="15"/>
      <c r="X561" s="15"/>
      <c r="Y561" s="15"/>
      <c r="Z561" s="15"/>
    </row>
    <row r="562" spans="1:26" x14ac:dyDescent="0.3">
      <c r="A562" s="15"/>
      <c r="B562" s="15"/>
      <c r="C562" s="15"/>
      <c r="D562" s="15"/>
      <c r="E562" s="15"/>
      <c r="F562" s="15"/>
      <c r="G562" s="15"/>
      <c r="H562" s="52"/>
      <c r="I562" s="52"/>
      <c r="J562" s="15"/>
      <c r="K562" s="15"/>
      <c r="L562" s="15"/>
      <c r="M562" s="15"/>
      <c r="N562" s="15"/>
      <c r="O562" s="15"/>
      <c r="P562" s="15"/>
      <c r="Q562" s="15"/>
      <c r="R562" s="15"/>
      <c r="S562" s="15"/>
      <c r="T562" s="15"/>
      <c r="U562" s="15"/>
      <c r="V562" s="15"/>
      <c r="W562" s="15"/>
      <c r="X562" s="15"/>
      <c r="Y562" s="15"/>
      <c r="Z562" s="15"/>
    </row>
    <row r="563" spans="1:26" x14ac:dyDescent="0.3">
      <c r="A563" s="15"/>
      <c r="B563" s="15"/>
      <c r="C563" s="15"/>
      <c r="D563" s="15"/>
      <c r="E563" s="15"/>
      <c r="F563" s="15"/>
      <c r="G563" s="15"/>
      <c r="H563" s="52"/>
      <c r="I563" s="52"/>
      <c r="J563" s="15"/>
      <c r="K563" s="15"/>
      <c r="L563" s="15"/>
      <c r="M563" s="15"/>
      <c r="N563" s="15"/>
      <c r="O563" s="15"/>
      <c r="P563" s="15"/>
      <c r="Q563" s="15"/>
      <c r="R563" s="15"/>
      <c r="S563" s="15"/>
      <c r="T563" s="15"/>
      <c r="U563" s="15"/>
      <c r="V563" s="15"/>
      <c r="W563" s="15"/>
      <c r="X563" s="15"/>
      <c r="Y563" s="15"/>
      <c r="Z563" s="15"/>
    </row>
    <row r="564" spans="1:26" x14ac:dyDescent="0.3">
      <c r="A564" s="15"/>
      <c r="B564" s="15"/>
      <c r="C564" s="15"/>
      <c r="D564" s="15"/>
      <c r="E564" s="15"/>
      <c r="F564" s="15"/>
      <c r="G564" s="15"/>
      <c r="H564" s="52"/>
      <c r="I564" s="52"/>
      <c r="J564" s="15"/>
      <c r="K564" s="15"/>
      <c r="L564" s="15"/>
      <c r="M564" s="15"/>
      <c r="N564" s="15"/>
      <c r="O564" s="15"/>
      <c r="P564" s="15"/>
      <c r="Q564" s="15"/>
      <c r="R564" s="15"/>
      <c r="S564" s="15"/>
      <c r="T564" s="15"/>
      <c r="U564" s="15"/>
      <c r="V564" s="15"/>
      <c r="W564" s="15"/>
      <c r="X564" s="15"/>
      <c r="Y564" s="15"/>
      <c r="Z564" s="15"/>
    </row>
    <row r="565" spans="1:26" x14ac:dyDescent="0.3">
      <c r="A565" s="15"/>
      <c r="B565" s="15"/>
      <c r="C565" s="15"/>
      <c r="D565" s="15"/>
      <c r="E565" s="15"/>
      <c r="F565" s="15"/>
      <c r="G565" s="15"/>
      <c r="H565" s="52"/>
      <c r="I565" s="52"/>
      <c r="J565" s="15"/>
      <c r="K565" s="15"/>
      <c r="L565" s="15"/>
      <c r="M565" s="15"/>
      <c r="N565" s="15"/>
      <c r="O565" s="15"/>
      <c r="P565" s="15"/>
      <c r="Q565" s="15"/>
      <c r="R565" s="15"/>
      <c r="S565" s="15"/>
      <c r="T565" s="15"/>
      <c r="U565" s="15"/>
      <c r="V565" s="15"/>
      <c r="W565" s="15"/>
      <c r="X565" s="15"/>
      <c r="Y565" s="15"/>
      <c r="Z565" s="15"/>
    </row>
    <row r="566" spans="1:26" x14ac:dyDescent="0.3">
      <c r="A566" s="15"/>
      <c r="B566" s="15"/>
      <c r="C566" s="15"/>
      <c r="D566" s="15"/>
      <c r="E566" s="15"/>
      <c r="F566" s="15"/>
      <c r="G566" s="15"/>
      <c r="H566" s="52"/>
      <c r="I566" s="52"/>
      <c r="J566" s="15"/>
      <c r="K566" s="15"/>
      <c r="L566" s="15"/>
      <c r="M566" s="15"/>
      <c r="N566" s="15"/>
      <c r="O566" s="15"/>
      <c r="P566" s="15"/>
      <c r="Q566" s="15"/>
      <c r="R566" s="15"/>
      <c r="S566" s="15"/>
      <c r="T566" s="15"/>
      <c r="U566" s="15"/>
      <c r="V566" s="15"/>
      <c r="W566" s="15"/>
      <c r="X566" s="15"/>
      <c r="Y566" s="15"/>
      <c r="Z566" s="15"/>
    </row>
    <row r="567" spans="1:26" x14ac:dyDescent="0.3">
      <c r="A567" s="15"/>
      <c r="B567" s="15"/>
      <c r="C567" s="15"/>
      <c r="D567" s="15"/>
      <c r="E567" s="15"/>
      <c r="F567" s="15"/>
      <c r="G567" s="15"/>
      <c r="H567" s="52"/>
      <c r="I567" s="52"/>
      <c r="J567" s="15"/>
      <c r="K567" s="15"/>
      <c r="L567" s="15"/>
      <c r="M567" s="15"/>
      <c r="N567" s="15"/>
      <c r="O567" s="15"/>
      <c r="P567" s="15"/>
      <c r="Q567" s="15"/>
      <c r="R567" s="15"/>
      <c r="S567" s="15"/>
      <c r="T567" s="15"/>
      <c r="U567" s="15"/>
      <c r="V567" s="15"/>
      <c r="W567" s="15"/>
      <c r="X567" s="15"/>
      <c r="Y567" s="15"/>
      <c r="Z567" s="15"/>
    </row>
    <row r="568" spans="1:26" x14ac:dyDescent="0.3">
      <c r="A568" s="15"/>
      <c r="B568" s="15"/>
      <c r="C568" s="15"/>
      <c r="D568" s="15"/>
      <c r="E568" s="15"/>
      <c r="F568" s="15"/>
      <c r="G568" s="15"/>
      <c r="H568" s="52"/>
      <c r="I568" s="52"/>
      <c r="J568" s="15"/>
      <c r="K568" s="15"/>
      <c r="L568" s="15"/>
      <c r="M568" s="15"/>
      <c r="N568" s="15"/>
      <c r="O568" s="15"/>
      <c r="P568" s="15"/>
      <c r="Q568" s="15"/>
      <c r="R568" s="15"/>
      <c r="S568" s="15"/>
      <c r="T568" s="15"/>
      <c r="U568" s="15"/>
      <c r="V568" s="15"/>
      <c r="W568" s="15"/>
      <c r="X568" s="15"/>
      <c r="Y568" s="15"/>
      <c r="Z568" s="15"/>
    </row>
    <row r="569" spans="1:26" x14ac:dyDescent="0.3">
      <c r="A569" s="15"/>
      <c r="B569" s="15"/>
      <c r="C569" s="15"/>
      <c r="D569" s="15"/>
      <c r="E569" s="15"/>
      <c r="F569" s="15"/>
      <c r="G569" s="15"/>
      <c r="H569" s="52"/>
      <c r="I569" s="52"/>
      <c r="J569" s="15"/>
      <c r="K569" s="15"/>
      <c r="L569" s="15"/>
      <c r="M569" s="15"/>
      <c r="N569" s="15"/>
      <c r="O569" s="15"/>
      <c r="P569" s="15"/>
      <c r="Q569" s="15"/>
      <c r="R569" s="15"/>
      <c r="S569" s="15"/>
      <c r="T569" s="15"/>
      <c r="U569" s="15"/>
      <c r="V569" s="15"/>
      <c r="W569" s="15"/>
      <c r="X569" s="15"/>
      <c r="Y569" s="15"/>
      <c r="Z569" s="15"/>
    </row>
    <row r="570" spans="1:26" x14ac:dyDescent="0.3">
      <c r="A570" s="15"/>
      <c r="B570" s="15"/>
      <c r="C570" s="15"/>
      <c r="D570" s="15"/>
      <c r="E570" s="15"/>
      <c r="F570" s="15"/>
      <c r="G570" s="15"/>
      <c r="H570" s="52"/>
      <c r="I570" s="52"/>
      <c r="J570" s="15"/>
      <c r="K570" s="15"/>
      <c r="L570" s="15"/>
      <c r="M570" s="15"/>
      <c r="N570" s="15"/>
      <c r="O570" s="15"/>
      <c r="P570" s="15"/>
      <c r="Q570" s="15"/>
      <c r="R570" s="15"/>
      <c r="S570" s="15"/>
      <c r="T570" s="15"/>
      <c r="U570" s="15"/>
      <c r="V570" s="15"/>
      <c r="W570" s="15"/>
      <c r="X570" s="15"/>
      <c r="Y570" s="15"/>
      <c r="Z570" s="15"/>
    </row>
    <row r="571" spans="1:26" x14ac:dyDescent="0.3">
      <c r="A571" s="15"/>
      <c r="B571" s="15"/>
      <c r="C571" s="15"/>
      <c r="D571" s="15"/>
      <c r="E571" s="15"/>
      <c r="F571" s="15"/>
      <c r="G571" s="15"/>
      <c r="H571" s="52"/>
      <c r="I571" s="52"/>
      <c r="J571" s="15"/>
      <c r="K571" s="15"/>
      <c r="L571" s="15"/>
      <c r="M571" s="15"/>
      <c r="N571" s="15"/>
      <c r="O571" s="15"/>
      <c r="P571" s="15"/>
      <c r="Q571" s="15"/>
      <c r="R571" s="15"/>
      <c r="S571" s="15"/>
      <c r="T571" s="15"/>
      <c r="U571" s="15"/>
      <c r="V571" s="15"/>
      <c r="W571" s="15"/>
      <c r="X571" s="15"/>
      <c r="Y571" s="15"/>
      <c r="Z571" s="15"/>
    </row>
    <row r="572" spans="1:26" x14ac:dyDescent="0.3">
      <c r="A572" s="15"/>
      <c r="B572" s="15"/>
      <c r="C572" s="15"/>
      <c r="D572" s="15"/>
      <c r="E572" s="15"/>
      <c r="F572" s="15"/>
      <c r="G572" s="15"/>
      <c r="H572" s="52"/>
      <c r="I572" s="52"/>
      <c r="J572" s="15"/>
      <c r="K572" s="15"/>
      <c r="L572" s="15"/>
      <c r="M572" s="15"/>
      <c r="N572" s="15"/>
      <c r="O572" s="15"/>
      <c r="P572" s="15"/>
      <c r="Q572" s="15"/>
      <c r="R572" s="15"/>
      <c r="S572" s="15"/>
      <c r="T572" s="15"/>
      <c r="U572" s="15"/>
      <c r="V572" s="15"/>
      <c r="W572" s="15"/>
      <c r="X572" s="15"/>
      <c r="Y572" s="15"/>
      <c r="Z572" s="15"/>
    </row>
    <row r="573" spans="1:26" x14ac:dyDescent="0.3">
      <c r="A573" s="15"/>
      <c r="B573" s="15"/>
      <c r="C573" s="15"/>
      <c r="D573" s="15"/>
      <c r="E573" s="15"/>
      <c r="F573" s="15"/>
      <c r="G573" s="15"/>
      <c r="H573" s="52"/>
      <c r="I573" s="52"/>
      <c r="J573" s="15"/>
      <c r="K573" s="15"/>
      <c r="L573" s="15"/>
      <c r="M573" s="15"/>
      <c r="N573" s="15"/>
      <c r="O573" s="15"/>
      <c r="P573" s="15"/>
      <c r="Q573" s="15"/>
      <c r="R573" s="15"/>
      <c r="S573" s="15"/>
      <c r="T573" s="15"/>
      <c r="U573" s="15"/>
      <c r="V573" s="15"/>
      <c r="W573" s="15"/>
      <c r="X573" s="15"/>
      <c r="Y573" s="15"/>
      <c r="Z573" s="15"/>
    </row>
    <row r="574" spans="1:26" x14ac:dyDescent="0.3">
      <c r="A574" s="15"/>
      <c r="B574" s="15"/>
      <c r="C574" s="15"/>
      <c r="D574" s="15"/>
      <c r="E574" s="15"/>
      <c r="F574" s="15"/>
      <c r="G574" s="15"/>
      <c r="H574" s="52"/>
      <c r="I574" s="52"/>
      <c r="J574" s="15"/>
      <c r="K574" s="15"/>
      <c r="L574" s="15"/>
      <c r="M574" s="15"/>
      <c r="N574" s="15"/>
      <c r="O574" s="15"/>
      <c r="P574" s="15"/>
      <c r="Q574" s="15"/>
      <c r="R574" s="15"/>
      <c r="S574" s="15"/>
      <c r="T574" s="15"/>
      <c r="U574" s="15"/>
      <c r="V574" s="15"/>
      <c r="W574" s="15"/>
      <c r="X574" s="15"/>
      <c r="Y574" s="15"/>
      <c r="Z574" s="15"/>
    </row>
    <row r="575" spans="1:26" x14ac:dyDescent="0.3">
      <c r="A575" s="15"/>
      <c r="B575" s="15"/>
      <c r="C575" s="15"/>
      <c r="D575" s="15"/>
      <c r="E575" s="15"/>
      <c r="F575" s="15"/>
      <c r="G575" s="15"/>
      <c r="H575" s="52"/>
      <c r="I575" s="52"/>
      <c r="J575" s="15"/>
      <c r="K575" s="15"/>
      <c r="L575" s="15"/>
      <c r="M575" s="15"/>
      <c r="N575" s="15"/>
      <c r="O575" s="15"/>
      <c r="P575" s="15"/>
      <c r="Q575" s="15"/>
      <c r="R575" s="15"/>
      <c r="S575" s="15"/>
      <c r="T575" s="15"/>
      <c r="U575" s="15"/>
      <c r="V575" s="15"/>
      <c r="W575" s="15"/>
      <c r="X575" s="15"/>
      <c r="Y575" s="15"/>
      <c r="Z575" s="15"/>
    </row>
    <row r="576" spans="1:26" x14ac:dyDescent="0.3">
      <c r="A576" s="15"/>
      <c r="B576" s="15"/>
      <c r="C576" s="15"/>
      <c r="D576" s="15"/>
      <c r="E576" s="15"/>
      <c r="F576" s="15"/>
      <c r="G576" s="15"/>
      <c r="H576" s="52"/>
      <c r="I576" s="52"/>
      <c r="J576" s="15"/>
      <c r="K576" s="15"/>
      <c r="L576" s="15"/>
      <c r="M576" s="15"/>
      <c r="N576" s="15"/>
      <c r="O576" s="15"/>
      <c r="P576" s="15"/>
      <c r="Q576" s="15"/>
      <c r="R576" s="15"/>
      <c r="S576" s="15"/>
      <c r="T576" s="15"/>
      <c r="U576" s="15"/>
      <c r="V576" s="15"/>
      <c r="W576" s="15"/>
      <c r="X576" s="15"/>
      <c r="Y576" s="15"/>
      <c r="Z576" s="15"/>
    </row>
    <row r="577" spans="1:26" x14ac:dyDescent="0.3">
      <c r="A577" s="15"/>
      <c r="B577" s="15"/>
      <c r="C577" s="15"/>
      <c r="D577" s="15"/>
      <c r="E577" s="15"/>
      <c r="F577" s="15"/>
      <c r="G577" s="15"/>
      <c r="H577" s="52"/>
      <c r="I577" s="52"/>
      <c r="J577" s="15"/>
      <c r="K577" s="15"/>
      <c r="L577" s="15"/>
      <c r="M577" s="15"/>
      <c r="N577" s="15"/>
      <c r="O577" s="15"/>
      <c r="P577" s="15"/>
      <c r="Q577" s="15"/>
      <c r="R577" s="15"/>
      <c r="S577" s="15"/>
      <c r="T577" s="15"/>
      <c r="U577" s="15"/>
      <c r="V577" s="15"/>
      <c r="W577" s="15"/>
      <c r="X577" s="15"/>
      <c r="Y577" s="15"/>
      <c r="Z577" s="15"/>
    </row>
    <row r="578" spans="1:26" x14ac:dyDescent="0.3">
      <c r="A578" s="15"/>
      <c r="B578" s="15"/>
      <c r="C578" s="15"/>
      <c r="D578" s="15"/>
      <c r="E578" s="15"/>
      <c r="F578" s="15"/>
      <c r="G578" s="15"/>
      <c r="H578" s="52"/>
      <c r="I578" s="52"/>
      <c r="J578" s="15"/>
      <c r="K578" s="15"/>
      <c r="L578" s="15"/>
      <c r="M578" s="15"/>
      <c r="N578" s="15"/>
      <c r="O578" s="15"/>
      <c r="P578" s="15"/>
      <c r="Q578" s="15"/>
      <c r="R578" s="15"/>
      <c r="S578" s="15"/>
      <c r="T578" s="15"/>
      <c r="U578" s="15"/>
      <c r="V578" s="15"/>
      <c r="W578" s="15"/>
      <c r="X578" s="15"/>
      <c r="Y578" s="15"/>
      <c r="Z578" s="15"/>
    </row>
    <row r="579" spans="1:26" x14ac:dyDescent="0.3">
      <c r="A579" s="15"/>
      <c r="B579" s="15"/>
      <c r="C579" s="15"/>
      <c r="D579" s="15"/>
      <c r="E579" s="15"/>
      <c r="F579" s="15"/>
      <c r="G579" s="15"/>
      <c r="H579" s="52"/>
      <c r="I579" s="52"/>
      <c r="J579" s="15"/>
      <c r="K579" s="15"/>
      <c r="L579" s="15"/>
      <c r="M579" s="15"/>
      <c r="N579" s="15"/>
      <c r="O579" s="15"/>
      <c r="P579" s="15"/>
      <c r="Q579" s="15"/>
      <c r="R579" s="15"/>
      <c r="S579" s="15"/>
      <c r="T579" s="15"/>
      <c r="U579" s="15"/>
      <c r="V579" s="15"/>
      <c r="W579" s="15"/>
      <c r="X579" s="15"/>
      <c r="Y579" s="15"/>
      <c r="Z579" s="15"/>
    </row>
    <row r="580" spans="1:26" x14ac:dyDescent="0.3">
      <c r="A580" s="15"/>
      <c r="B580" s="15"/>
      <c r="C580" s="15"/>
      <c r="D580" s="15"/>
      <c r="E580" s="15"/>
      <c r="F580" s="15"/>
      <c r="G580" s="15"/>
      <c r="H580" s="52"/>
      <c r="I580" s="52"/>
      <c r="J580" s="15"/>
      <c r="K580" s="15"/>
      <c r="L580" s="15"/>
      <c r="M580" s="15"/>
      <c r="N580" s="15"/>
      <c r="O580" s="15"/>
      <c r="P580" s="15"/>
      <c r="Q580" s="15"/>
      <c r="R580" s="15"/>
      <c r="S580" s="15"/>
      <c r="T580" s="15"/>
      <c r="U580" s="15"/>
      <c r="V580" s="15"/>
      <c r="W580" s="15"/>
      <c r="X580" s="15"/>
      <c r="Y580" s="15"/>
      <c r="Z580" s="15"/>
    </row>
    <row r="581" spans="1:26" x14ac:dyDescent="0.3">
      <c r="A581" s="15"/>
      <c r="B581" s="15"/>
      <c r="C581" s="15"/>
      <c r="D581" s="15"/>
      <c r="E581" s="15"/>
      <c r="F581" s="15"/>
      <c r="G581" s="15"/>
      <c r="H581" s="52"/>
      <c r="I581" s="52"/>
      <c r="J581" s="15"/>
      <c r="K581" s="15"/>
      <c r="L581" s="15"/>
      <c r="M581" s="15"/>
      <c r="N581" s="15"/>
      <c r="O581" s="15"/>
      <c r="P581" s="15"/>
      <c r="Q581" s="15"/>
      <c r="R581" s="15"/>
      <c r="S581" s="15"/>
      <c r="T581" s="15"/>
      <c r="U581" s="15"/>
      <c r="V581" s="15"/>
      <c r="W581" s="15"/>
      <c r="X581" s="15"/>
      <c r="Y581" s="15"/>
      <c r="Z581" s="15"/>
    </row>
    <row r="582" spans="1:26" x14ac:dyDescent="0.3">
      <c r="A582" s="15"/>
      <c r="B582" s="15"/>
      <c r="C582" s="15"/>
      <c r="D582" s="15"/>
      <c r="E582" s="15"/>
      <c r="F582" s="15"/>
      <c r="G582" s="15"/>
      <c r="H582" s="52"/>
      <c r="I582" s="52"/>
      <c r="J582" s="15"/>
      <c r="K582" s="15"/>
      <c r="L582" s="15"/>
      <c r="M582" s="15"/>
      <c r="N582" s="15"/>
      <c r="O582" s="15"/>
      <c r="P582" s="15"/>
      <c r="Q582" s="15"/>
      <c r="R582" s="15"/>
      <c r="S582" s="15"/>
      <c r="T582" s="15"/>
      <c r="U582" s="15"/>
      <c r="V582" s="15"/>
      <c r="W582" s="15"/>
      <c r="X582" s="15"/>
      <c r="Y582" s="15"/>
      <c r="Z582" s="15"/>
    </row>
    <row r="583" spans="1:26" x14ac:dyDescent="0.3">
      <c r="A583" s="15"/>
      <c r="B583" s="15"/>
      <c r="C583" s="15"/>
      <c r="D583" s="15"/>
      <c r="E583" s="15"/>
      <c r="F583" s="15"/>
      <c r="G583" s="15"/>
      <c r="H583" s="52"/>
      <c r="I583" s="52"/>
      <c r="J583" s="15"/>
      <c r="K583" s="15"/>
      <c r="L583" s="15"/>
      <c r="M583" s="15"/>
      <c r="N583" s="15"/>
      <c r="O583" s="15"/>
      <c r="P583" s="15"/>
      <c r="Q583" s="15"/>
      <c r="R583" s="15"/>
      <c r="S583" s="15"/>
      <c r="T583" s="15"/>
      <c r="U583" s="15"/>
      <c r="V583" s="15"/>
      <c r="W583" s="15"/>
      <c r="X583" s="15"/>
      <c r="Y583" s="15"/>
      <c r="Z583" s="15"/>
    </row>
    <row r="584" spans="1:26" x14ac:dyDescent="0.3">
      <c r="A584" s="15"/>
      <c r="B584" s="15"/>
      <c r="C584" s="15"/>
      <c r="D584" s="15"/>
      <c r="E584" s="15"/>
      <c r="F584" s="15"/>
      <c r="G584" s="15"/>
      <c r="H584" s="52"/>
      <c r="I584" s="52"/>
      <c r="J584" s="15"/>
      <c r="K584" s="15"/>
      <c r="L584" s="15"/>
      <c r="M584" s="15"/>
      <c r="N584" s="15"/>
      <c r="O584" s="15"/>
      <c r="P584" s="15"/>
      <c r="Q584" s="15"/>
      <c r="R584" s="15"/>
      <c r="S584" s="15"/>
      <c r="T584" s="15"/>
      <c r="U584" s="15"/>
      <c r="V584" s="15"/>
      <c r="W584" s="15"/>
      <c r="X584" s="15"/>
      <c r="Y584" s="15"/>
      <c r="Z584" s="15"/>
    </row>
    <row r="585" spans="1:26" x14ac:dyDescent="0.3">
      <c r="A585" s="15"/>
      <c r="B585" s="15"/>
      <c r="C585" s="15"/>
      <c r="D585" s="15"/>
      <c r="E585" s="15"/>
      <c r="F585" s="15"/>
      <c r="G585" s="15"/>
      <c r="H585" s="52"/>
      <c r="I585" s="52"/>
      <c r="J585" s="15"/>
      <c r="K585" s="15"/>
      <c r="L585" s="15"/>
      <c r="M585" s="15"/>
      <c r="N585" s="15"/>
      <c r="O585" s="15"/>
      <c r="P585" s="15"/>
      <c r="Q585" s="15"/>
      <c r="R585" s="15"/>
      <c r="S585" s="15"/>
      <c r="T585" s="15"/>
      <c r="U585" s="15"/>
      <c r="V585" s="15"/>
      <c r="W585" s="15"/>
      <c r="X585" s="15"/>
      <c r="Y585" s="15"/>
      <c r="Z585" s="15"/>
    </row>
    <row r="586" spans="1:26" x14ac:dyDescent="0.3">
      <c r="A586" s="15"/>
      <c r="B586" s="15"/>
      <c r="C586" s="15"/>
      <c r="D586" s="15"/>
      <c r="E586" s="15"/>
      <c r="F586" s="15"/>
      <c r="G586" s="15"/>
      <c r="H586" s="52"/>
      <c r="I586" s="52"/>
      <c r="J586" s="15"/>
      <c r="K586" s="15"/>
      <c r="L586" s="15"/>
      <c r="M586" s="15"/>
      <c r="N586" s="15"/>
      <c r="O586" s="15"/>
      <c r="P586" s="15"/>
      <c r="Q586" s="15"/>
      <c r="R586" s="15"/>
      <c r="S586" s="15"/>
      <c r="T586" s="15"/>
      <c r="U586" s="15"/>
      <c r="V586" s="15"/>
      <c r="W586" s="15"/>
      <c r="X586" s="15"/>
      <c r="Y586" s="15"/>
      <c r="Z586" s="15"/>
    </row>
    <row r="587" spans="1:26" x14ac:dyDescent="0.3">
      <c r="A587" s="15"/>
      <c r="B587" s="15"/>
      <c r="C587" s="15"/>
      <c r="D587" s="15"/>
      <c r="E587" s="15"/>
      <c r="F587" s="15"/>
      <c r="G587" s="15"/>
      <c r="H587" s="52"/>
      <c r="I587" s="52"/>
      <c r="J587" s="15"/>
      <c r="K587" s="15"/>
      <c r="L587" s="15"/>
      <c r="M587" s="15"/>
      <c r="N587" s="15"/>
      <c r="O587" s="15"/>
      <c r="P587" s="15"/>
      <c r="Q587" s="15"/>
      <c r="R587" s="15"/>
      <c r="S587" s="15"/>
      <c r="T587" s="15"/>
      <c r="U587" s="15"/>
      <c r="V587" s="15"/>
      <c r="W587" s="15"/>
      <c r="X587" s="15"/>
      <c r="Y587" s="15"/>
      <c r="Z587" s="15"/>
    </row>
    <row r="588" spans="1:26" x14ac:dyDescent="0.3">
      <c r="A588" s="15"/>
      <c r="B588" s="15"/>
      <c r="C588" s="15"/>
      <c r="D588" s="15"/>
      <c r="E588" s="15"/>
      <c r="F588" s="15"/>
      <c r="G588" s="15"/>
      <c r="H588" s="52"/>
      <c r="I588" s="52"/>
      <c r="J588" s="15"/>
      <c r="K588" s="15"/>
      <c r="L588" s="15"/>
      <c r="M588" s="15"/>
      <c r="N588" s="15"/>
      <c r="O588" s="15"/>
      <c r="P588" s="15"/>
      <c r="Q588" s="15"/>
      <c r="R588" s="15"/>
      <c r="S588" s="15"/>
      <c r="T588" s="15"/>
      <c r="U588" s="15"/>
      <c r="V588" s="15"/>
      <c r="W588" s="15"/>
      <c r="X588" s="15"/>
      <c r="Y588" s="15"/>
      <c r="Z588" s="15"/>
    </row>
    <row r="589" spans="1:26" x14ac:dyDescent="0.3">
      <c r="A589" s="15"/>
      <c r="B589" s="15"/>
      <c r="C589" s="15"/>
      <c r="D589" s="15"/>
      <c r="E589" s="15"/>
      <c r="F589" s="15"/>
      <c r="G589" s="15"/>
      <c r="H589" s="52"/>
      <c r="I589" s="52"/>
      <c r="J589" s="15"/>
      <c r="K589" s="15"/>
      <c r="L589" s="15"/>
      <c r="M589" s="15"/>
      <c r="N589" s="15"/>
      <c r="O589" s="15"/>
      <c r="P589" s="15"/>
      <c r="Q589" s="15"/>
      <c r="R589" s="15"/>
      <c r="S589" s="15"/>
      <c r="T589" s="15"/>
      <c r="U589" s="15"/>
      <c r="V589" s="15"/>
      <c r="W589" s="15"/>
      <c r="X589" s="15"/>
      <c r="Y589" s="15"/>
      <c r="Z589" s="15"/>
    </row>
    <row r="590" spans="1:26" x14ac:dyDescent="0.3">
      <c r="A590" s="15"/>
      <c r="B590" s="15"/>
      <c r="C590" s="15"/>
      <c r="D590" s="15"/>
      <c r="E590" s="15"/>
      <c r="F590" s="15"/>
      <c r="G590" s="15"/>
      <c r="H590" s="52"/>
      <c r="I590" s="52"/>
      <c r="J590" s="15"/>
      <c r="K590" s="15"/>
      <c r="L590" s="15"/>
      <c r="M590" s="15"/>
      <c r="N590" s="15"/>
      <c r="O590" s="15"/>
      <c r="P590" s="15"/>
      <c r="Q590" s="15"/>
      <c r="R590" s="15"/>
      <c r="S590" s="15"/>
      <c r="T590" s="15"/>
      <c r="U590" s="15"/>
      <c r="V590" s="15"/>
      <c r="W590" s="15"/>
      <c r="X590" s="15"/>
      <c r="Y590" s="15"/>
      <c r="Z590" s="15"/>
    </row>
    <row r="591" spans="1:26" x14ac:dyDescent="0.3">
      <c r="A591" s="15"/>
      <c r="B591" s="15"/>
      <c r="C591" s="15"/>
      <c r="D591" s="15"/>
      <c r="E591" s="15"/>
      <c r="F591" s="15"/>
      <c r="G591" s="15"/>
      <c r="H591" s="52"/>
      <c r="I591" s="52"/>
      <c r="J591" s="15"/>
      <c r="K591" s="15"/>
      <c r="L591" s="15"/>
      <c r="M591" s="15"/>
      <c r="N591" s="15"/>
      <c r="O591" s="15"/>
      <c r="P591" s="15"/>
      <c r="Q591" s="15"/>
      <c r="R591" s="15"/>
      <c r="S591" s="15"/>
      <c r="T591" s="15"/>
      <c r="U591" s="15"/>
      <c r="V591" s="15"/>
      <c r="W591" s="15"/>
      <c r="X591" s="15"/>
      <c r="Y591" s="15"/>
      <c r="Z591" s="15"/>
    </row>
    <row r="592" spans="1:26" x14ac:dyDescent="0.3">
      <c r="A592" s="15"/>
      <c r="B592" s="15"/>
      <c r="C592" s="15"/>
      <c r="D592" s="15"/>
      <c r="E592" s="15"/>
      <c r="F592" s="15"/>
      <c r="G592" s="15"/>
      <c r="H592" s="52"/>
      <c r="I592" s="52"/>
      <c r="J592" s="15"/>
      <c r="K592" s="15"/>
      <c r="L592" s="15"/>
      <c r="M592" s="15"/>
      <c r="N592" s="15"/>
      <c r="O592" s="15"/>
      <c r="P592" s="15"/>
      <c r="Q592" s="15"/>
      <c r="R592" s="15"/>
      <c r="S592" s="15"/>
      <c r="T592" s="15"/>
      <c r="U592" s="15"/>
      <c r="V592" s="15"/>
      <c r="W592" s="15"/>
      <c r="X592" s="15"/>
      <c r="Y592" s="15"/>
      <c r="Z592" s="15"/>
    </row>
    <row r="593" spans="1:26" x14ac:dyDescent="0.3">
      <c r="A593" s="15"/>
      <c r="B593" s="15"/>
      <c r="C593" s="15"/>
      <c r="D593" s="15"/>
      <c r="E593" s="15"/>
      <c r="F593" s="15"/>
      <c r="G593" s="15"/>
      <c r="H593" s="52"/>
      <c r="I593" s="52"/>
      <c r="J593" s="15"/>
      <c r="K593" s="15"/>
      <c r="L593" s="15"/>
      <c r="M593" s="15"/>
      <c r="N593" s="15"/>
      <c r="O593" s="15"/>
      <c r="P593" s="15"/>
      <c r="Q593" s="15"/>
      <c r="R593" s="15"/>
      <c r="S593" s="15"/>
      <c r="T593" s="15"/>
      <c r="U593" s="15"/>
      <c r="V593" s="15"/>
      <c r="W593" s="15"/>
      <c r="X593" s="15"/>
      <c r="Y593" s="15"/>
      <c r="Z593" s="15"/>
    </row>
    <row r="594" spans="1:26" x14ac:dyDescent="0.3">
      <c r="A594" s="15"/>
      <c r="B594" s="15"/>
      <c r="C594" s="15"/>
      <c r="D594" s="15"/>
      <c r="E594" s="15"/>
      <c r="F594" s="15"/>
      <c r="G594" s="15"/>
      <c r="H594" s="52"/>
      <c r="I594" s="52"/>
      <c r="J594" s="15"/>
      <c r="K594" s="15"/>
      <c r="L594" s="15"/>
      <c r="M594" s="15"/>
      <c r="N594" s="15"/>
      <c r="O594" s="15"/>
      <c r="P594" s="15"/>
      <c r="Q594" s="15"/>
      <c r="R594" s="15"/>
      <c r="S594" s="15"/>
      <c r="T594" s="15"/>
      <c r="U594" s="15"/>
      <c r="V594" s="15"/>
      <c r="W594" s="15"/>
      <c r="X594" s="15"/>
      <c r="Y594" s="15"/>
      <c r="Z594" s="15"/>
    </row>
    <row r="595" spans="1:26" x14ac:dyDescent="0.3">
      <c r="A595" s="15"/>
      <c r="B595" s="15"/>
      <c r="C595" s="15"/>
      <c r="D595" s="15"/>
      <c r="E595" s="15"/>
      <c r="F595" s="15"/>
      <c r="G595" s="15"/>
      <c r="H595" s="52"/>
      <c r="I595" s="52"/>
      <c r="J595" s="15"/>
      <c r="K595" s="15"/>
      <c r="L595" s="15"/>
      <c r="M595" s="15"/>
      <c r="N595" s="15"/>
      <c r="O595" s="15"/>
      <c r="P595" s="15"/>
      <c r="Q595" s="15"/>
      <c r="R595" s="15"/>
      <c r="S595" s="15"/>
      <c r="T595" s="15"/>
      <c r="U595" s="15"/>
      <c r="V595" s="15"/>
      <c r="W595" s="15"/>
      <c r="X595" s="15"/>
      <c r="Y595" s="15"/>
      <c r="Z595" s="15"/>
    </row>
    <row r="596" spans="1:26" x14ac:dyDescent="0.3">
      <c r="A596" s="15"/>
      <c r="B596" s="15"/>
      <c r="C596" s="15"/>
      <c r="D596" s="15"/>
      <c r="E596" s="15"/>
      <c r="F596" s="15"/>
      <c r="G596" s="15"/>
      <c r="H596" s="52"/>
      <c r="I596" s="52"/>
      <c r="J596" s="15"/>
      <c r="K596" s="15"/>
      <c r="L596" s="15"/>
      <c r="M596" s="15"/>
      <c r="N596" s="15"/>
      <c r="O596" s="15"/>
      <c r="P596" s="15"/>
      <c r="Q596" s="15"/>
      <c r="R596" s="15"/>
      <c r="S596" s="15"/>
      <c r="T596" s="15"/>
      <c r="U596" s="15"/>
      <c r="V596" s="15"/>
      <c r="W596" s="15"/>
      <c r="X596" s="15"/>
      <c r="Y596" s="15"/>
      <c r="Z596" s="15"/>
    </row>
    <row r="597" spans="1:26" x14ac:dyDescent="0.3">
      <c r="A597" s="15"/>
      <c r="B597" s="15"/>
      <c r="C597" s="15"/>
      <c r="D597" s="15"/>
      <c r="E597" s="15"/>
      <c r="F597" s="15"/>
      <c r="G597" s="15"/>
      <c r="H597" s="52"/>
      <c r="I597" s="52"/>
      <c r="J597" s="15"/>
      <c r="K597" s="15"/>
      <c r="L597" s="15"/>
      <c r="M597" s="15"/>
      <c r="N597" s="15"/>
      <c r="O597" s="15"/>
      <c r="P597" s="15"/>
      <c r="Q597" s="15"/>
      <c r="R597" s="15"/>
      <c r="S597" s="15"/>
      <c r="T597" s="15"/>
      <c r="U597" s="15"/>
      <c r="V597" s="15"/>
      <c r="W597" s="15"/>
      <c r="X597" s="15"/>
      <c r="Y597" s="15"/>
      <c r="Z597" s="15"/>
    </row>
    <row r="598" spans="1:26" x14ac:dyDescent="0.3">
      <c r="A598" s="15"/>
      <c r="B598" s="15"/>
      <c r="C598" s="15"/>
      <c r="D598" s="15"/>
      <c r="E598" s="15"/>
      <c r="F598" s="15"/>
      <c r="G598" s="15"/>
      <c r="H598" s="52"/>
      <c r="I598" s="52"/>
      <c r="J598" s="15"/>
      <c r="K598" s="15"/>
      <c r="L598" s="15"/>
      <c r="M598" s="15"/>
      <c r="N598" s="15"/>
      <c r="O598" s="15"/>
      <c r="P598" s="15"/>
      <c r="Q598" s="15"/>
      <c r="R598" s="15"/>
      <c r="S598" s="15"/>
      <c r="T598" s="15"/>
      <c r="U598" s="15"/>
      <c r="V598" s="15"/>
      <c r="W598" s="15"/>
      <c r="X598" s="15"/>
      <c r="Y598" s="15"/>
      <c r="Z598" s="15"/>
    </row>
    <row r="599" spans="1:26" x14ac:dyDescent="0.3">
      <c r="A599" s="15"/>
      <c r="B599" s="15"/>
      <c r="C599" s="15"/>
      <c r="D599" s="15"/>
      <c r="E599" s="15"/>
      <c r="F599" s="15"/>
      <c r="G599" s="15"/>
      <c r="H599" s="52"/>
      <c r="I599" s="52"/>
      <c r="J599" s="15"/>
      <c r="K599" s="15"/>
      <c r="L599" s="15"/>
      <c r="M599" s="15"/>
      <c r="N599" s="15"/>
      <c r="O599" s="15"/>
      <c r="P599" s="15"/>
      <c r="Q599" s="15"/>
      <c r="R599" s="15"/>
      <c r="S599" s="15"/>
      <c r="T599" s="15"/>
      <c r="U599" s="15"/>
      <c r="V599" s="15"/>
      <c r="W599" s="15"/>
      <c r="X599" s="15"/>
      <c r="Y599" s="15"/>
      <c r="Z599" s="15"/>
    </row>
    <row r="600" spans="1:26" x14ac:dyDescent="0.3">
      <c r="A600" s="15"/>
      <c r="B600" s="15"/>
      <c r="C600" s="15"/>
      <c r="D600" s="15"/>
      <c r="E600" s="15"/>
      <c r="F600" s="15"/>
      <c r="G600" s="15"/>
      <c r="H600" s="52"/>
      <c r="I600" s="52"/>
      <c r="J600" s="15"/>
      <c r="K600" s="15"/>
      <c r="L600" s="15"/>
      <c r="M600" s="15"/>
      <c r="N600" s="15"/>
      <c r="O600" s="15"/>
      <c r="P600" s="15"/>
      <c r="Q600" s="15"/>
      <c r="R600" s="15"/>
      <c r="S600" s="15"/>
      <c r="T600" s="15"/>
      <c r="U600" s="15"/>
      <c r="V600" s="15"/>
      <c r="W600" s="15"/>
      <c r="X600" s="15"/>
      <c r="Y600" s="15"/>
      <c r="Z600" s="15"/>
    </row>
    <row r="601" spans="1:26" x14ac:dyDescent="0.3">
      <c r="A601" s="15"/>
      <c r="B601" s="15"/>
      <c r="C601" s="15"/>
      <c r="D601" s="15"/>
      <c r="E601" s="15"/>
      <c r="F601" s="15"/>
      <c r="G601" s="15"/>
      <c r="H601" s="52"/>
      <c r="I601" s="52"/>
      <c r="J601" s="15"/>
      <c r="K601" s="15"/>
      <c r="L601" s="15"/>
      <c r="M601" s="15"/>
      <c r="N601" s="15"/>
      <c r="O601" s="15"/>
      <c r="P601" s="15"/>
      <c r="Q601" s="15"/>
      <c r="R601" s="15"/>
      <c r="S601" s="15"/>
      <c r="T601" s="15"/>
      <c r="U601" s="15"/>
      <c r="V601" s="15"/>
      <c r="W601" s="15"/>
      <c r="X601" s="15"/>
      <c r="Y601" s="15"/>
      <c r="Z601" s="15"/>
    </row>
    <row r="602" spans="1:26" x14ac:dyDescent="0.3">
      <c r="A602" s="15"/>
      <c r="B602" s="15"/>
      <c r="C602" s="15"/>
      <c r="D602" s="15"/>
      <c r="E602" s="15"/>
      <c r="F602" s="15"/>
      <c r="G602" s="15"/>
      <c r="H602" s="52"/>
      <c r="I602" s="52"/>
      <c r="J602" s="15"/>
      <c r="K602" s="15"/>
      <c r="L602" s="15"/>
      <c r="M602" s="15"/>
      <c r="N602" s="15"/>
      <c r="O602" s="15"/>
      <c r="P602" s="15"/>
      <c r="Q602" s="15"/>
      <c r="R602" s="15"/>
      <c r="S602" s="15"/>
      <c r="T602" s="15"/>
      <c r="U602" s="15"/>
      <c r="V602" s="15"/>
      <c r="W602" s="15"/>
      <c r="X602" s="15"/>
      <c r="Y602" s="15"/>
      <c r="Z602" s="15"/>
    </row>
    <row r="603" spans="1:26" x14ac:dyDescent="0.3">
      <c r="A603" s="15"/>
      <c r="B603" s="15"/>
      <c r="C603" s="15"/>
      <c r="D603" s="15"/>
      <c r="E603" s="15"/>
      <c r="F603" s="15"/>
      <c r="G603" s="15"/>
      <c r="H603" s="52"/>
      <c r="I603" s="52"/>
      <c r="J603" s="15"/>
      <c r="K603" s="15"/>
      <c r="L603" s="15"/>
      <c r="M603" s="15"/>
      <c r="N603" s="15"/>
      <c r="O603" s="15"/>
      <c r="P603" s="15"/>
      <c r="Q603" s="15"/>
      <c r="R603" s="15"/>
      <c r="S603" s="15"/>
      <c r="T603" s="15"/>
      <c r="U603" s="15"/>
      <c r="V603" s="15"/>
      <c r="W603" s="15"/>
      <c r="X603" s="15"/>
      <c r="Y603" s="15"/>
      <c r="Z603" s="15"/>
    </row>
    <row r="604" spans="1:26" x14ac:dyDescent="0.3">
      <c r="A604" s="15"/>
      <c r="B604" s="15"/>
      <c r="C604" s="15"/>
      <c r="D604" s="15"/>
      <c r="E604" s="15"/>
      <c r="F604" s="15"/>
      <c r="G604" s="15"/>
      <c r="H604" s="52"/>
      <c r="I604" s="52"/>
      <c r="J604" s="15"/>
      <c r="K604" s="15"/>
      <c r="L604" s="15"/>
      <c r="M604" s="15"/>
      <c r="N604" s="15"/>
      <c r="O604" s="15"/>
      <c r="P604" s="15"/>
      <c r="Q604" s="15"/>
      <c r="R604" s="15"/>
      <c r="S604" s="15"/>
      <c r="T604" s="15"/>
      <c r="U604" s="15"/>
      <c r="V604" s="15"/>
      <c r="W604" s="15"/>
      <c r="X604" s="15"/>
      <c r="Y604" s="15"/>
      <c r="Z604" s="15"/>
    </row>
    <row r="605" spans="1:26" x14ac:dyDescent="0.3">
      <c r="A605" s="15"/>
      <c r="B605" s="15"/>
      <c r="C605" s="15"/>
      <c r="D605" s="15"/>
      <c r="E605" s="15"/>
      <c r="F605" s="15"/>
      <c r="G605" s="15"/>
      <c r="H605" s="52"/>
      <c r="I605" s="52"/>
      <c r="J605" s="15"/>
      <c r="K605" s="15"/>
      <c r="L605" s="15"/>
      <c r="M605" s="15"/>
      <c r="N605" s="15"/>
      <c r="O605" s="15"/>
      <c r="P605" s="15"/>
      <c r="Q605" s="15"/>
      <c r="R605" s="15"/>
      <c r="S605" s="15"/>
      <c r="T605" s="15"/>
      <c r="U605" s="15"/>
      <c r="V605" s="15"/>
      <c r="W605" s="15"/>
      <c r="X605" s="15"/>
      <c r="Y605" s="15"/>
      <c r="Z605" s="15"/>
    </row>
    <row r="606" spans="1:26" x14ac:dyDescent="0.3">
      <c r="A606" s="15"/>
      <c r="B606" s="15"/>
      <c r="C606" s="15"/>
      <c r="D606" s="15"/>
      <c r="E606" s="15"/>
      <c r="F606" s="15"/>
      <c r="G606" s="15"/>
      <c r="H606" s="52"/>
      <c r="I606" s="52"/>
      <c r="J606" s="15"/>
      <c r="K606" s="15"/>
      <c r="L606" s="15"/>
      <c r="M606" s="15"/>
      <c r="N606" s="15"/>
      <c r="O606" s="15"/>
      <c r="P606" s="15"/>
      <c r="Q606" s="15"/>
      <c r="R606" s="15"/>
      <c r="S606" s="15"/>
      <c r="T606" s="15"/>
      <c r="U606" s="15"/>
      <c r="V606" s="15"/>
      <c r="W606" s="15"/>
      <c r="X606" s="15"/>
      <c r="Y606" s="15"/>
      <c r="Z606" s="15"/>
    </row>
    <row r="607" spans="1:26" x14ac:dyDescent="0.3">
      <c r="A607" s="15"/>
      <c r="B607" s="15"/>
      <c r="C607" s="15"/>
      <c r="D607" s="15"/>
      <c r="E607" s="15"/>
      <c r="F607" s="15"/>
      <c r="G607" s="15"/>
      <c r="H607" s="52"/>
      <c r="I607" s="52"/>
      <c r="J607" s="15"/>
      <c r="K607" s="15"/>
      <c r="L607" s="15"/>
      <c r="M607" s="15"/>
      <c r="N607" s="15"/>
      <c r="O607" s="15"/>
      <c r="P607" s="15"/>
      <c r="Q607" s="15"/>
      <c r="R607" s="15"/>
      <c r="S607" s="15"/>
      <c r="T607" s="15"/>
      <c r="U607" s="15"/>
      <c r="V607" s="15"/>
      <c r="W607" s="15"/>
      <c r="X607" s="15"/>
      <c r="Y607" s="15"/>
      <c r="Z607" s="15"/>
    </row>
    <row r="608" spans="1:26" x14ac:dyDescent="0.3">
      <c r="A608" s="15"/>
      <c r="B608" s="15"/>
      <c r="C608" s="15"/>
      <c r="D608" s="15"/>
      <c r="E608" s="15"/>
      <c r="F608" s="15"/>
      <c r="G608" s="15"/>
      <c r="H608" s="52"/>
      <c r="I608" s="52"/>
      <c r="J608" s="15"/>
      <c r="K608" s="15"/>
      <c r="L608" s="15"/>
      <c r="M608" s="15"/>
      <c r="N608" s="15"/>
      <c r="O608" s="15"/>
      <c r="P608" s="15"/>
      <c r="Q608" s="15"/>
      <c r="R608" s="15"/>
      <c r="S608" s="15"/>
      <c r="T608" s="15"/>
      <c r="U608" s="15"/>
      <c r="V608" s="15"/>
      <c r="W608" s="15"/>
      <c r="X608" s="15"/>
      <c r="Y608" s="15"/>
      <c r="Z608" s="15"/>
    </row>
    <row r="609" spans="1:26" x14ac:dyDescent="0.3">
      <c r="A609" s="15"/>
      <c r="B609" s="15"/>
      <c r="C609" s="15"/>
      <c r="D609" s="15"/>
      <c r="E609" s="15"/>
      <c r="F609" s="15"/>
      <c r="G609" s="15"/>
      <c r="H609" s="52"/>
      <c r="I609" s="52"/>
      <c r="J609" s="15"/>
      <c r="K609" s="15"/>
      <c r="L609" s="15"/>
      <c r="M609" s="15"/>
      <c r="N609" s="15"/>
      <c r="O609" s="15"/>
      <c r="P609" s="15"/>
      <c r="Q609" s="15"/>
      <c r="R609" s="15"/>
      <c r="S609" s="15"/>
      <c r="T609" s="15"/>
      <c r="U609" s="15"/>
      <c r="V609" s="15"/>
      <c r="W609" s="15"/>
      <c r="X609" s="15"/>
      <c r="Y609" s="15"/>
      <c r="Z609" s="15"/>
    </row>
    <row r="610" spans="1:26" x14ac:dyDescent="0.3">
      <c r="A610" s="15"/>
      <c r="B610" s="15"/>
      <c r="C610" s="15"/>
      <c r="D610" s="15"/>
      <c r="E610" s="15"/>
      <c r="F610" s="15"/>
      <c r="G610" s="15"/>
      <c r="H610" s="52"/>
      <c r="I610" s="52"/>
      <c r="J610" s="15"/>
      <c r="K610" s="15"/>
      <c r="L610" s="15"/>
      <c r="M610" s="15"/>
      <c r="N610" s="15"/>
      <c r="O610" s="15"/>
      <c r="P610" s="15"/>
      <c r="Q610" s="15"/>
      <c r="R610" s="15"/>
      <c r="S610" s="15"/>
      <c r="T610" s="15"/>
      <c r="U610" s="15"/>
      <c r="V610" s="15"/>
      <c r="W610" s="15"/>
      <c r="X610" s="15"/>
      <c r="Y610" s="15"/>
      <c r="Z610" s="15"/>
    </row>
    <row r="611" spans="1:26" x14ac:dyDescent="0.3">
      <c r="A611" s="15"/>
      <c r="B611" s="15"/>
      <c r="C611" s="15"/>
      <c r="D611" s="15"/>
      <c r="E611" s="15"/>
      <c r="F611" s="15"/>
      <c r="G611" s="15"/>
      <c r="H611" s="52"/>
      <c r="I611" s="52"/>
      <c r="J611" s="15"/>
      <c r="K611" s="15"/>
      <c r="L611" s="15"/>
      <c r="M611" s="15"/>
      <c r="N611" s="15"/>
      <c r="O611" s="15"/>
      <c r="P611" s="15"/>
      <c r="Q611" s="15"/>
      <c r="R611" s="15"/>
      <c r="S611" s="15"/>
      <c r="T611" s="15"/>
      <c r="U611" s="15"/>
      <c r="V611" s="15"/>
      <c r="W611" s="15"/>
      <c r="X611" s="15"/>
      <c r="Y611" s="15"/>
      <c r="Z611" s="15"/>
    </row>
    <row r="612" spans="1:26" x14ac:dyDescent="0.3">
      <c r="A612" s="15"/>
      <c r="B612" s="15"/>
      <c r="C612" s="15"/>
      <c r="D612" s="15"/>
      <c r="E612" s="15"/>
      <c r="F612" s="15"/>
      <c r="G612" s="15"/>
      <c r="H612" s="52"/>
      <c r="I612" s="52"/>
      <c r="J612" s="15"/>
      <c r="K612" s="15"/>
      <c r="L612" s="15"/>
      <c r="M612" s="15"/>
      <c r="N612" s="15"/>
      <c r="O612" s="15"/>
      <c r="P612" s="15"/>
      <c r="Q612" s="15"/>
      <c r="R612" s="15"/>
      <c r="S612" s="15"/>
      <c r="T612" s="15"/>
      <c r="U612" s="15"/>
      <c r="V612" s="15"/>
      <c r="W612" s="15"/>
      <c r="X612" s="15"/>
      <c r="Y612" s="15"/>
      <c r="Z612" s="15"/>
    </row>
    <row r="613" spans="1:26" x14ac:dyDescent="0.3">
      <c r="A613" s="15"/>
      <c r="B613" s="15"/>
      <c r="C613" s="15"/>
      <c r="D613" s="15"/>
      <c r="E613" s="15"/>
      <c r="F613" s="15"/>
      <c r="G613" s="15"/>
      <c r="H613" s="52"/>
      <c r="I613" s="52"/>
      <c r="J613" s="15"/>
      <c r="K613" s="15"/>
      <c r="L613" s="15"/>
      <c r="M613" s="15"/>
      <c r="N613" s="15"/>
      <c r="O613" s="15"/>
      <c r="P613" s="15"/>
      <c r="Q613" s="15"/>
      <c r="R613" s="15"/>
      <c r="S613" s="15"/>
      <c r="T613" s="15"/>
      <c r="U613" s="15"/>
      <c r="V613" s="15"/>
      <c r="W613" s="15"/>
      <c r="X613" s="15"/>
      <c r="Y613" s="15"/>
      <c r="Z613" s="15"/>
    </row>
    <row r="614" spans="1:26" x14ac:dyDescent="0.3">
      <c r="A614" s="15"/>
      <c r="B614" s="15"/>
      <c r="C614" s="15"/>
      <c r="D614" s="15"/>
      <c r="E614" s="15"/>
      <c r="F614" s="15"/>
      <c r="G614" s="15"/>
      <c r="H614" s="52"/>
      <c r="I614" s="52"/>
      <c r="J614" s="15"/>
      <c r="K614" s="15"/>
      <c r="L614" s="15"/>
      <c r="M614" s="15"/>
      <c r="N614" s="15"/>
      <c r="O614" s="15"/>
      <c r="P614" s="15"/>
      <c r="Q614" s="15"/>
      <c r="R614" s="15"/>
      <c r="S614" s="15"/>
      <c r="T614" s="15"/>
      <c r="U614" s="15"/>
      <c r="V614" s="15"/>
      <c r="W614" s="15"/>
      <c r="X614" s="15"/>
      <c r="Y614" s="15"/>
      <c r="Z614" s="15"/>
    </row>
    <row r="615" spans="1:26" x14ac:dyDescent="0.3">
      <c r="A615" s="15"/>
      <c r="B615" s="15"/>
      <c r="C615" s="15"/>
      <c r="D615" s="15"/>
      <c r="E615" s="15"/>
      <c r="F615" s="15"/>
      <c r="G615" s="15"/>
      <c r="H615" s="52"/>
      <c r="I615" s="52"/>
      <c r="J615" s="15"/>
      <c r="K615" s="15"/>
      <c r="L615" s="15"/>
      <c r="M615" s="15"/>
      <c r="N615" s="15"/>
      <c r="O615" s="15"/>
      <c r="P615" s="15"/>
      <c r="Q615" s="15"/>
      <c r="R615" s="15"/>
      <c r="S615" s="15"/>
      <c r="T615" s="15"/>
      <c r="U615" s="15"/>
      <c r="V615" s="15"/>
      <c r="W615" s="15"/>
      <c r="X615" s="15"/>
      <c r="Y615" s="15"/>
      <c r="Z615" s="15"/>
    </row>
    <row r="616" spans="1:26" x14ac:dyDescent="0.3">
      <c r="A616" s="15"/>
      <c r="B616" s="15"/>
      <c r="C616" s="15"/>
      <c r="D616" s="15"/>
      <c r="E616" s="15"/>
      <c r="F616" s="15"/>
      <c r="G616" s="15"/>
      <c r="H616" s="52"/>
      <c r="I616" s="52"/>
      <c r="J616" s="15"/>
      <c r="K616" s="15"/>
      <c r="L616" s="15"/>
      <c r="M616" s="15"/>
      <c r="N616" s="15"/>
      <c r="O616" s="15"/>
      <c r="P616" s="15"/>
      <c r="Q616" s="15"/>
      <c r="R616" s="15"/>
      <c r="S616" s="15"/>
      <c r="T616" s="15"/>
      <c r="U616" s="15"/>
      <c r="V616" s="15"/>
      <c r="W616" s="15"/>
      <c r="X616" s="15"/>
      <c r="Y616" s="15"/>
      <c r="Z616" s="15"/>
    </row>
    <row r="617" spans="1:26" x14ac:dyDescent="0.3">
      <c r="A617" s="15"/>
      <c r="B617" s="15"/>
      <c r="C617" s="15"/>
      <c r="D617" s="15"/>
      <c r="E617" s="15"/>
      <c r="F617" s="15"/>
      <c r="G617" s="15"/>
      <c r="H617" s="52"/>
      <c r="I617" s="52"/>
      <c r="J617" s="15"/>
      <c r="K617" s="15"/>
      <c r="L617" s="15"/>
      <c r="M617" s="15"/>
      <c r="N617" s="15"/>
      <c r="O617" s="15"/>
      <c r="P617" s="15"/>
      <c r="Q617" s="15"/>
      <c r="R617" s="15"/>
      <c r="S617" s="15"/>
      <c r="T617" s="15"/>
      <c r="U617" s="15"/>
      <c r="V617" s="15"/>
      <c r="W617" s="15"/>
      <c r="X617" s="15"/>
      <c r="Y617" s="15"/>
      <c r="Z617" s="15"/>
    </row>
    <row r="618" spans="1:26" x14ac:dyDescent="0.3">
      <c r="A618" s="15"/>
      <c r="B618" s="15"/>
      <c r="C618" s="15"/>
      <c r="D618" s="15"/>
      <c r="E618" s="15"/>
      <c r="F618" s="15"/>
      <c r="G618" s="15"/>
      <c r="H618" s="52"/>
      <c r="I618" s="52"/>
      <c r="J618" s="15"/>
      <c r="K618" s="15"/>
      <c r="L618" s="15"/>
      <c r="M618" s="15"/>
      <c r="N618" s="15"/>
      <c r="O618" s="15"/>
      <c r="P618" s="15"/>
      <c r="Q618" s="15"/>
      <c r="R618" s="15"/>
      <c r="S618" s="15"/>
      <c r="T618" s="15"/>
      <c r="U618" s="15"/>
      <c r="V618" s="15"/>
      <c r="W618" s="15"/>
      <c r="X618" s="15"/>
      <c r="Y618" s="15"/>
      <c r="Z618" s="15"/>
    </row>
    <row r="619" spans="1:26" x14ac:dyDescent="0.3">
      <c r="A619" s="15"/>
      <c r="B619" s="15"/>
      <c r="C619" s="15"/>
      <c r="D619" s="15"/>
      <c r="E619" s="15"/>
      <c r="F619" s="15"/>
      <c r="G619" s="15"/>
      <c r="H619" s="52"/>
      <c r="I619" s="52"/>
      <c r="J619" s="15"/>
      <c r="K619" s="15"/>
      <c r="L619" s="15"/>
      <c r="M619" s="15"/>
      <c r="N619" s="15"/>
      <c r="O619" s="15"/>
      <c r="P619" s="15"/>
      <c r="Q619" s="15"/>
      <c r="R619" s="15"/>
      <c r="S619" s="15"/>
      <c r="T619" s="15"/>
      <c r="U619" s="15"/>
      <c r="V619" s="15"/>
      <c r="W619" s="15"/>
      <c r="X619" s="15"/>
      <c r="Y619" s="15"/>
      <c r="Z619" s="15"/>
    </row>
    <row r="620" spans="1:26" x14ac:dyDescent="0.3">
      <c r="A620" s="15"/>
      <c r="B620" s="15"/>
      <c r="C620" s="15"/>
      <c r="D620" s="15"/>
      <c r="E620" s="15"/>
      <c r="F620" s="15"/>
      <c r="G620" s="15"/>
      <c r="H620" s="52"/>
      <c r="I620" s="52"/>
      <c r="J620" s="15"/>
      <c r="K620" s="15"/>
      <c r="L620" s="15"/>
      <c r="M620" s="15"/>
      <c r="N620" s="15"/>
      <c r="O620" s="15"/>
      <c r="P620" s="15"/>
      <c r="Q620" s="15"/>
      <c r="R620" s="15"/>
      <c r="S620" s="15"/>
      <c r="T620" s="15"/>
      <c r="U620" s="15"/>
      <c r="V620" s="15"/>
      <c r="W620" s="15"/>
      <c r="X620" s="15"/>
      <c r="Y620" s="15"/>
      <c r="Z620" s="15"/>
    </row>
    <row r="621" spans="1:26" x14ac:dyDescent="0.3">
      <c r="A621" s="15"/>
      <c r="B621" s="15"/>
      <c r="C621" s="15"/>
      <c r="D621" s="15"/>
      <c r="E621" s="15"/>
      <c r="F621" s="15"/>
      <c r="G621" s="15"/>
      <c r="H621" s="52"/>
      <c r="I621" s="52"/>
      <c r="J621" s="15"/>
      <c r="K621" s="15"/>
      <c r="L621" s="15"/>
      <c r="M621" s="15"/>
      <c r="N621" s="15"/>
      <c r="O621" s="15"/>
      <c r="P621" s="15"/>
      <c r="Q621" s="15"/>
      <c r="R621" s="15"/>
      <c r="S621" s="15"/>
      <c r="T621" s="15"/>
      <c r="U621" s="15"/>
      <c r="V621" s="15"/>
      <c r="W621" s="15"/>
      <c r="X621" s="15"/>
      <c r="Y621" s="15"/>
      <c r="Z621" s="15"/>
    </row>
    <row r="622" spans="1:26" x14ac:dyDescent="0.3">
      <c r="A622" s="15"/>
      <c r="B622" s="15"/>
      <c r="C622" s="15"/>
      <c r="D622" s="15"/>
      <c r="E622" s="15"/>
      <c r="F622" s="15"/>
      <c r="G622" s="15"/>
      <c r="H622" s="52"/>
      <c r="I622" s="52"/>
      <c r="J622" s="15"/>
      <c r="K622" s="15"/>
      <c r="L622" s="15"/>
      <c r="M622" s="15"/>
      <c r="N622" s="15"/>
      <c r="O622" s="15"/>
      <c r="P622" s="15"/>
      <c r="Q622" s="15"/>
      <c r="R622" s="15"/>
      <c r="S622" s="15"/>
      <c r="T622" s="15"/>
      <c r="U622" s="15"/>
      <c r="V622" s="15"/>
      <c r="W622" s="15"/>
      <c r="X622" s="15"/>
      <c r="Y622" s="15"/>
      <c r="Z622" s="15"/>
    </row>
    <row r="623" spans="1:26" x14ac:dyDescent="0.3">
      <c r="A623" s="15"/>
      <c r="B623" s="15"/>
      <c r="C623" s="15"/>
      <c r="D623" s="15"/>
      <c r="E623" s="15"/>
      <c r="F623" s="15"/>
      <c r="G623" s="15"/>
      <c r="H623" s="52"/>
      <c r="I623" s="52"/>
      <c r="J623" s="15"/>
      <c r="K623" s="15"/>
      <c r="L623" s="15"/>
      <c r="M623" s="15"/>
      <c r="N623" s="15"/>
      <c r="O623" s="15"/>
      <c r="P623" s="15"/>
      <c r="Q623" s="15"/>
      <c r="R623" s="15"/>
      <c r="S623" s="15"/>
      <c r="T623" s="15"/>
      <c r="U623" s="15"/>
      <c r="V623" s="15"/>
      <c r="W623" s="15"/>
      <c r="X623" s="15"/>
      <c r="Y623" s="15"/>
      <c r="Z623" s="15"/>
    </row>
    <row r="624" spans="1:26" x14ac:dyDescent="0.3">
      <c r="A624" s="15"/>
      <c r="B624" s="15"/>
      <c r="C624" s="15"/>
      <c r="D624" s="15"/>
      <c r="E624" s="15"/>
      <c r="F624" s="15"/>
      <c r="G624" s="15"/>
      <c r="H624" s="52"/>
      <c r="I624" s="52"/>
      <c r="J624" s="15"/>
      <c r="K624" s="15"/>
      <c r="L624" s="15"/>
      <c r="M624" s="15"/>
      <c r="N624" s="15"/>
      <c r="O624" s="15"/>
      <c r="P624" s="15"/>
      <c r="Q624" s="15"/>
      <c r="R624" s="15"/>
      <c r="S624" s="15"/>
      <c r="T624" s="15"/>
      <c r="U624" s="15"/>
      <c r="V624" s="15"/>
      <c r="W624" s="15"/>
      <c r="X624" s="15"/>
      <c r="Y624" s="15"/>
      <c r="Z624" s="15"/>
    </row>
    <row r="625" spans="1:26" x14ac:dyDescent="0.3">
      <c r="A625" s="15"/>
      <c r="B625" s="15"/>
      <c r="C625" s="15"/>
      <c r="D625" s="15"/>
      <c r="E625" s="15"/>
      <c r="F625" s="15"/>
      <c r="G625" s="15"/>
      <c r="H625" s="52"/>
      <c r="I625" s="52"/>
      <c r="J625" s="15"/>
      <c r="K625" s="15"/>
      <c r="L625" s="15"/>
      <c r="M625" s="15"/>
      <c r="N625" s="15"/>
      <c r="O625" s="15"/>
      <c r="P625" s="15"/>
      <c r="Q625" s="15"/>
      <c r="R625" s="15"/>
      <c r="S625" s="15"/>
      <c r="T625" s="15"/>
      <c r="U625" s="15"/>
      <c r="V625" s="15"/>
      <c r="W625" s="15"/>
      <c r="X625" s="15"/>
      <c r="Y625" s="15"/>
      <c r="Z625" s="15"/>
    </row>
    <row r="626" spans="1:26" x14ac:dyDescent="0.3">
      <c r="A626" s="15"/>
      <c r="B626" s="15"/>
      <c r="C626" s="15"/>
      <c r="D626" s="15"/>
      <c r="E626" s="15"/>
      <c r="F626" s="15"/>
      <c r="G626" s="15"/>
      <c r="H626" s="52"/>
      <c r="I626" s="52"/>
      <c r="J626" s="15"/>
      <c r="K626" s="15"/>
      <c r="L626" s="15"/>
      <c r="M626" s="15"/>
      <c r="N626" s="15"/>
      <c r="O626" s="15"/>
      <c r="P626" s="15"/>
      <c r="Q626" s="15"/>
      <c r="R626" s="15"/>
      <c r="S626" s="15"/>
      <c r="T626" s="15"/>
      <c r="U626" s="15"/>
      <c r="V626" s="15"/>
      <c r="W626" s="15"/>
      <c r="X626" s="15"/>
      <c r="Y626" s="15"/>
      <c r="Z626" s="15"/>
    </row>
    <row r="627" spans="1:26" x14ac:dyDescent="0.3">
      <c r="A627" s="15"/>
      <c r="B627" s="15"/>
      <c r="C627" s="15"/>
      <c r="D627" s="15"/>
      <c r="E627" s="15"/>
      <c r="F627" s="15"/>
      <c r="G627" s="15"/>
      <c r="H627" s="52"/>
      <c r="I627" s="52"/>
      <c r="J627" s="15"/>
      <c r="K627" s="15"/>
      <c r="L627" s="15"/>
      <c r="M627" s="15"/>
      <c r="N627" s="15"/>
      <c r="O627" s="15"/>
      <c r="P627" s="15"/>
      <c r="Q627" s="15"/>
      <c r="R627" s="15"/>
      <c r="S627" s="15"/>
      <c r="T627" s="15"/>
      <c r="U627" s="15"/>
      <c r="V627" s="15"/>
      <c r="W627" s="15"/>
      <c r="X627" s="15"/>
      <c r="Y627" s="15"/>
      <c r="Z627" s="15"/>
    </row>
    <row r="628" spans="1:26" x14ac:dyDescent="0.3">
      <c r="A628" s="15"/>
      <c r="B628" s="15"/>
      <c r="C628" s="15"/>
      <c r="D628" s="15"/>
      <c r="E628" s="15"/>
      <c r="F628" s="15"/>
      <c r="G628" s="15"/>
      <c r="H628" s="52"/>
      <c r="I628" s="52"/>
      <c r="J628" s="15"/>
      <c r="K628" s="15"/>
      <c r="L628" s="15"/>
      <c r="M628" s="15"/>
      <c r="N628" s="15"/>
      <c r="O628" s="15"/>
      <c r="P628" s="15"/>
      <c r="Q628" s="15"/>
      <c r="R628" s="15"/>
      <c r="S628" s="15"/>
      <c r="T628" s="15"/>
      <c r="U628" s="15"/>
      <c r="V628" s="15"/>
      <c r="W628" s="15"/>
      <c r="X628" s="15"/>
      <c r="Y628" s="15"/>
      <c r="Z628" s="15"/>
    </row>
    <row r="629" spans="1:26" x14ac:dyDescent="0.3">
      <c r="A629" s="15"/>
      <c r="B629" s="15"/>
      <c r="C629" s="15"/>
      <c r="D629" s="15"/>
      <c r="E629" s="15"/>
      <c r="F629" s="15"/>
      <c r="G629" s="15"/>
      <c r="H629" s="52"/>
      <c r="I629" s="52"/>
      <c r="J629" s="15"/>
      <c r="K629" s="15"/>
      <c r="L629" s="15"/>
      <c r="M629" s="15"/>
      <c r="N629" s="15"/>
      <c r="O629" s="15"/>
      <c r="P629" s="15"/>
      <c r="Q629" s="15"/>
      <c r="R629" s="15"/>
      <c r="S629" s="15"/>
      <c r="T629" s="15"/>
      <c r="U629" s="15"/>
      <c r="V629" s="15"/>
      <c r="W629" s="15"/>
      <c r="X629" s="15"/>
      <c r="Y629" s="15"/>
      <c r="Z629" s="15"/>
    </row>
    <row r="630" spans="1:26" x14ac:dyDescent="0.3">
      <c r="A630" s="15"/>
      <c r="B630" s="15"/>
      <c r="C630" s="15"/>
      <c r="D630" s="15"/>
      <c r="E630" s="15"/>
      <c r="F630" s="15"/>
      <c r="G630" s="15"/>
      <c r="H630" s="52"/>
      <c r="I630" s="52"/>
      <c r="J630" s="15"/>
      <c r="K630" s="15"/>
      <c r="L630" s="15"/>
      <c r="M630" s="15"/>
      <c r="N630" s="15"/>
      <c r="O630" s="15"/>
      <c r="P630" s="15"/>
      <c r="Q630" s="15"/>
      <c r="R630" s="15"/>
      <c r="S630" s="15"/>
      <c r="T630" s="15"/>
      <c r="U630" s="15"/>
      <c r="V630" s="15"/>
      <c r="W630" s="15"/>
      <c r="X630" s="15"/>
      <c r="Y630" s="15"/>
      <c r="Z630" s="15"/>
    </row>
    <row r="631" spans="1:26" x14ac:dyDescent="0.3">
      <c r="A631" s="15"/>
      <c r="B631" s="15"/>
      <c r="C631" s="15"/>
      <c r="D631" s="15"/>
      <c r="E631" s="15"/>
      <c r="F631" s="15"/>
      <c r="G631" s="15"/>
      <c r="H631" s="52"/>
      <c r="I631" s="52"/>
      <c r="J631" s="15"/>
      <c r="K631" s="15"/>
      <c r="L631" s="15"/>
      <c r="M631" s="15"/>
      <c r="N631" s="15"/>
      <c r="O631" s="15"/>
      <c r="P631" s="15"/>
      <c r="Q631" s="15"/>
      <c r="R631" s="15"/>
      <c r="S631" s="15"/>
      <c r="T631" s="15"/>
      <c r="U631" s="15"/>
      <c r="V631" s="15"/>
      <c r="W631" s="15"/>
      <c r="X631" s="15"/>
      <c r="Y631" s="15"/>
      <c r="Z631" s="15"/>
    </row>
    <row r="632" spans="1:26" x14ac:dyDescent="0.3">
      <c r="A632" s="15"/>
      <c r="B632" s="15"/>
      <c r="C632" s="15"/>
      <c r="D632" s="15"/>
      <c r="E632" s="15"/>
      <c r="F632" s="15"/>
      <c r="G632" s="15"/>
      <c r="H632" s="52"/>
      <c r="I632" s="52"/>
      <c r="J632" s="15"/>
      <c r="K632" s="15"/>
      <c r="L632" s="15"/>
      <c r="M632" s="15"/>
      <c r="N632" s="15"/>
      <c r="O632" s="15"/>
      <c r="P632" s="15"/>
      <c r="Q632" s="15"/>
      <c r="R632" s="15"/>
      <c r="S632" s="15"/>
      <c r="T632" s="15"/>
      <c r="U632" s="15"/>
      <c r="V632" s="15"/>
      <c r="W632" s="15"/>
      <c r="X632" s="15"/>
      <c r="Y632" s="15"/>
      <c r="Z632" s="15"/>
    </row>
    <row r="633" spans="1:26" x14ac:dyDescent="0.3">
      <c r="A633" s="15"/>
      <c r="B633" s="15"/>
      <c r="C633" s="15"/>
      <c r="D633" s="15"/>
      <c r="E633" s="15"/>
      <c r="F633" s="15"/>
      <c r="G633" s="15"/>
      <c r="H633" s="52"/>
      <c r="I633" s="52"/>
      <c r="J633" s="15"/>
      <c r="K633" s="15"/>
      <c r="L633" s="15"/>
      <c r="M633" s="15"/>
      <c r="N633" s="15"/>
      <c r="O633" s="15"/>
      <c r="P633" s="15"/>
      <c r="Q633" s="15"/>
      <c r="R633" s="15"/>
      <c r="S633" s="15"/>
      <c r="T633" s="15"/>
      <c r="U633" s="15"/>
      <c r="V633" s="15"/>
      <c r="W633" s="15"/>
      <c r="X633" s="15"/>
      <c r="Y633" s="15"/>
      <c r="Z633" s="15"/>
    </row>
    <row r="634" spans="1:26" x14ac:dyDescent="0.3">
      <c r="A634" s="15"/>
      <c r="B634" s="15"/>
      <c r="C634" s="15"/>
      <c r="D634" s="15"/>
      <c r="E634" s="15"/>
      <c r="F634" s="15"/>
      <c r="G634" s="15"/>
      <c r="H634" s="52"/>
      <c r="I634" s="52"/>
      <c r="J634" s="15"/>
      <c r="K634" s="15"/>
      <c r="L634" s="15"/>
      <c r="M634" s="15"/>
      <c r="N634" s="15"/>
      <c r="O634" s="15"/>
      <c r="P634" s="15"/>
      <c r="Q634" s="15"/>
      <c r="R634" s="15"/>
      <c r="S634" s="15"/>
      <c r="T634" s="15"/>
      <c r="U634" s="15"/>
      <c r="V634" s="15"/>
      <c r="W634" s="15"/>
      <c r="X634" s="15"/>
      <c r="Y634" s="15"/>
      <c r="Z634" s="15"/>
    </row>
    <row r="635" spans="1:26" x14ac:dyDescent="0.3">
      <c r="A635" s="15"/>
      <c r="B635" s="15"/>
      <c r="C635" s="15"/>
      <c r="D635" s="15"/>
      <c r="E635" s="15"/>
      <c r="F635" s="15"/>
      <c r="G635" s="15"/>
      <c r="H635" s="52"/>
      <c r="I635" s="52"/>
      <c r="J635" s="15"/>
      <c r="K635" s="15"/>
      <c r="L635" s="15"/>
      <c r="M635" s="15"/>
      <c r="N635" s="15"/>
      <c r="O635" s="15"/>
      <c r="P635" s="15"/>
      <c r="Q635" s="15"/>
      <c r="R635" s="15"/>
      <c r="S635" s="15"/>
      <c r="T635" s="15"/>
      <c r="U635" s="15"/>
      <c r="V635" s="15"/>
      <c r="W635" s="15"/>
      <c r="X635" s="15"/>
      <c r="Y635" s="15"/>
      <c r="Z635" s="15"/>
    </row>
    <row r="636" spans="1:26" x14ac:dyDescent="0.3">
      <c r="A636" s="15"/>
      <c r="B636" s="15"/>
      <c r="C636" s="15"/>
      <c r="D636" s="15"/>
      <c r="E636" s="15"/>
      <c r="F636" s="15"/>
      <c r="G636" s="15"/>
      <c r="H636" s="52"/>
      <c r="I636" s="52"/>
      <c r="J636" s="15"/>
      <c r="K636" s="15"/>
      <c r="L636" s="15"/>
      <c r="M636" s="15"/>
      <c r="N636" s="15"/>
      <c r="O636" s="15"/>
      <c r="P636" s="15"/>
      <c r="Q636" s="15"/>
      <c r="R636" s="15"/>
      <c r="S636" s="15"/>
      <c r="T636" s="15"/>
      <c r="U636" s="15"/>
      <c r="V636" s="15"/>
      <c r="W636" s="15"/>
      <c r="X636" s="15"/>
      <c r="Y636" s="15"/>
      <c r="Z636" s="15"/>
    </row>
    <row r="637" spans="1:26" x14ac:dyDescent="0.3">
      <c r="A637" s="15"/>
      <c r="B637" s="15"/>
      <c r="C637" s="15"/>
      <c r="D637" s="15"/>
      <c r="E637" s="15"/>
      <c r="F637" s="15"/>
      <c r="G637" s="15"/>
      <c r="H637" s="52"/>
      <c r="I637" s="52"/>
      <c r="J637" s="15"/>
      <c r="K637" s="15"/>
      <c r="L637" s="15"/>
      <c r="M637" s="15"/>
      <c r="N637" s="15"/>
      <c r="O637" s="15"/>
      <c r="P637" s="15"/>
      <c r="Q637" s="15"/>
      <c r="R637" s="15"/>
      <c r="S637" s="15"/>
      <c r="T637" s="15"/>
      <c r="U637" s="15"/>
      <c r="V637" s="15"/>
      <c r="W637" s="15"/>
      <c r="X637" s="15"/>
      <c r="Y637" s="15"/>
      <c r="Z637" s="15"/>
    </row>
    <row r="638" spans="1:26" x14ac:dyDescent="0.3">
      <c r="A638" s="15"/>
      <c r="B638" s="15"/>
      <c r="C638" s="15"/>
      <c r="D638" s="15"/>
      <c r="E638" s="15"/>
      <c r="F638" s="15"/>
      <c r="G638" s="15"/>
      <c r="H638" s="52"/>
      <c r="I638" s="52"/>
      <c r="J638" s="15"/>
      <c r="K638" s="15"/>
      <c r="L638" s="15"/>
      <c r="M638" s="15"/>
      <c r="N638" s="15"/>
      <c r="O638" s="15"/>
      <c r="P638" s="15"/>
      <c r="Q638" s="15"/>
      <c r="R638" s="15"/>
      <c r="S638" s="15"/>
      <c r="T638" s="15"/>
      <c r="U638" s="15"/>
      <c r="V638" s="15"/>
      <c r="W638" s="15"/>
      <c r="X638" s="15"/>
      <c r="Y638" s="15"/>
      <c r="Z638" s="15"/>
    </row>
    <row r="639" spans="1:26" x14ac:dyDescent="0.3">
      <c r="A639" s="15"/>
      <c r="B639" s="15"/>
      <c r="C639" s="15"/>
      <c r="D639" s="15"/>
      <c r="E639" s="15"/>
      <c r="F639" s="15"/>
      <c r="G639" s="15"/>
      <c r="H639" s="52"/>
      <c r="I639" s="52"/>
      <c r="J639" s="15"/>
      <c r="K639" s="15"/>
      <c r="L639" s="15"/>
      <c r="M639" s="15"/>
      <c r="N639" s="15"/>
      <c r="O639" s="15"/>
      <c r="P639" s="15"/>
      <c r="Q639" s="15"/>
      <c r="R639" s="15"/>
      <c r="S639" s="15"/>
      <c r="T639" s="15"/>
      <c r="U639" s="15"/>
      <c r="V639" s="15"/>
      <c r="W639" s="15"/>
      <c r="X639" s="15"/>
      <c r="Y639" s="15"/>
      <c r="Z639" s="15"/>
    </row>
    <row r="640" spans="1:26" x14ac:dyDescent="0.3">
      <c r="A640" s="15"/>
      <c r="B640" s="15"/>
      <c r="C640" s="15"/>
      <c r="D640" s="15"/>
      <c r="E640" s="15"/>
      <c r="F640" s="15"/>
      <c r="G640" s="15"/>
      <c r="H640" s="52"/>
      <c r="I640" s="52"/>
      <c r="J640" s="15"/>
      <c r="K640" s="15"/>
      <c r="L640" s="15"/>
      <c r="M640" s="15"/>
      <c r="N640" s="15"/>
      <c r="O640" s="15"/>
      <c r="P640" s="15"/>
      <c r="Q640" s="15"/>
      <c r="R640" s="15"/>
      <c r="S640" s="15"/>
      <c r="T640" s="15"/>
      <c r="U640" s="15"/>
      <c r="V640" s="15"/>
      <c r="W640" s="15"/>
      <c r="X640" s="15"/>
      <c r="Y640" s="15"/>
      <c r="Z640" s="15"/>
    </row>
    <row r="641" spans="1:26" x14ac:dyDescent="0.3">
      <c r="A641" s="15"/>
      <c r="B641" s="15"/>
      <c r="C641" s="15"/>
      <c r="D641" s="15"/>
      <c r="E641" s="15"/>
      <c r="F641" s="15"/>
      <c r="G641" s="15"/>
      <c r="H641" s="52"/>
      <c r="I641" s="52"/>
      <c r="J641" s="15"/>
      <c r="K641" s="15"/>
      <c r="L641" s="15"/>
      <c r="M641" s="15"/>
      <c r="N641" s="15"/>
      <c r="O641" s="15"/>
      <c r="P641" s="15"/>
      <c r="Q641" s="15"/>
      <c r="R641" s="15"/>
      <c r="S641" s="15"/>
      <c r="T641" s="15"/>
      <c r="U641" s="15"/>
      <c r="V641" s="15"/>
      <c r="W641" s="15"/>
      <c r="X641" s="15"/>
      <c r="Y641" s="15"/>
      <c r="Z641" s="15"/>
    </row>
    <row r="642" spans="1:26" x14ac:dyDescent="0.3">
      <c r="A642" s="15"/>
      <c r="B642" s="15"/>
      <c r="C642" s="15"/>
      <c r="D642" s="15"/>
      <c r="E642" s="15"/>
      <c r="F642" s="15"/>
      <c r="G642" s="15"/>
      <c r="H642" s="52"/>
      <c r="I642" s="52"/>
      <c r="J642" s="15"/>
      <c r="K642" s="15"/>
      <c r="L642" s="15"/>
      <c r="M642" s="15"/>
      <c r="N642" s="15"/>
      <c r="O642" s="15"/>
      <c r="P642" s="15"/>
      <c r="Q642" s="15"/>
      <c r="R642" s="15"/>
      <c r="S642" s="15"/>
      <c r="T642" s="15"/>
      <c r="U642" s="15"/>
      <c r="V642" s="15"/>
      <c r="W642" s="15"/>
      <c r="X642" s="15"/>
      <c r="Y642" s="15"/>
      <c r="Z642" s="15"/>
    </row>
    <row r="643" spans="1:26" x14ac:dyDescent="0.3">
      <c r="A643" s="15"/>
      <c r="B643" s="15"/>
      <c r="C643" s="15"/>
      <c r="D643" s="15"/>
      <c r="E643" s="15"/>
      <c r="F643" s="15"/>
      <c r="G643" s="15"/>
      <c r="H643" s="52"/>
      <c r="I643" s="52"/>
      <c r="J643" s="15"/>
      <c r="K643" s="15"/>
      <c r="L643" s="15"/>
      <c r="M643" s="15"/>
      <c r="N643" s="15"/>
      <c r="O643" s="15"/>
      <c r="P643" s="15"/>
      <c r="Q643" s="15"/>
      <c r="R643" s="15"/>
      <c r="S643" s="15"/>
      <c r="T643" s="15"/>
      <c r="U643" s="15"/>
      <c r="V643" s="15"/>
      <c r="W643" s="15"/>
      <c r="X643" s="15"/>
      <c r="Y643" s="15"/>
      <c r="Z643" s="15"/>
    </row>
    <row r="644" spans="1:26" x14ac:dyDescent="0.3">
      <c r="A644" s="15"/>
      <c r="B644" s="15"/>
      <c r="C644" s="15"/>
      <c r="D644" s="15"/>
      <c r="E644" s="15"/>
      <c r="F644" s="15"/>
      <c r="G644" s="15"/>
      <c r="H644" s="52"/>
      <c r="I644" s="52"/>
      <c r="J644" s="15"/>
      <c r="K644" s="15"/>
      <c r="L644" s="15"/>
      <c r="M644" s="15"/>
      <c r="N644" s="15"/>
      <c r="O644" s="15"/>
      <c r="P644" s="15"/>
      <c r="Q644" s="15"/>
      <c r="R644" s="15"/>
      <c r="S644" s="15"/>
      <c r="T644" s="15"/>
      <c r="U644" s="15"/>
      <c r="V644" s="15"/>
      <c r="W644" s="15"/>
      <c r="X644" s="15"/>
      <c r="Y644" s="15"/>
      <c r="Z644" s="15"/>
    </row>
    <row r="645" spans="1:26" x14ac:dyDescent="0.3">
      <c r="A645" s="15"/>
      <c r="B645" s="15"/>
      <c r="C645" s="15"/>
      <c r="D645" s="15"/>
      <c r="E645" s="15"/>
      <c r="F645" s="15"/>
      <c r="G645" s="15"/>
      <c r="H645" s="52"/>
      <c r="I645" s="52"/>
      <c r="J645" s="15"/>
      <c r="K645" s="15"/>
      <c r="L645" s="15"/>
      <c r="M645" s="15"/>
      <c r="N645" s="15"/>
      <c r="O645" s="15"/>
      <c r="P645" s="15"/>
      <c r="Q645" s="15"/>
      <c r="R645" s="15"/>
      <c r="S645" s="15"/>
      <c r="T645" s="15"/>
      <c r="U645" s="15"/>
      <c r="V645" s="15"/>
      <c r="W645" s="15"/>
      <c r="X645" s="15"/>
      <c r="Y645" s="15"/>
      <c r="Z645" s="15"/>
    </row>
    <row r="646" spans="1:26" x14ac:dyDescent="0.3">
      <c r="A646" s="15"/>
      <c r="B646" s="15"/>
      <c r="C646" s="15"/>
      <c r="D646" s="15"/>
      <c r="E646" s="15"/>
      <c r="F646" s="15"/>
      <c r="G646" s="15"/>
      <c r="H646" s="52"/>
      <c r="I646" s="52"/>
      <c r="J646" s="15"/>
      <c r="K646" s="15"/>
      <c r="L646" s="15"/>
      <c r="M646" s="15"/>
      <c r="N646" s="15"/>
      <c r="O646" s="15"/>
      <c r="P646" s="15"/>
      <c r="Q646" s="15"/>
      <c r="R646" s="15"/>
      <c r="S646" s="15"/>
      <c r="T646" s="15"/>
      <c r="U646" s="15"/>
      <c r="V646" s="15"/>
      <c r="W646" s="15"/>
      <c r="X646" s="15"/>
      <c r="Y646" s="15"/>
      <c r="Z646" s="15"/>
    </row>
    <row r="647" spans="1:26" x14ac:dyDescent="0.3">
      <c r="A647" s="15"/>
      <c r="B647" s="15"/>
      <c r="C647" s="15"/>
      <c r="D647" s="15"/>
      <c r="E647" s="15"/>
      <c r="F647" s="15"/>
      <c r="G647" s="15"/>
      <c r="H647" s="52"/>
      <c r="I647" s="52"/>
      <c r="J647" s="15"/>
      <c r="K647" s="15"/>
      <c r="L647" s="15"/>
      <c r="M647" s="15"/>
      <c r="N647" s="15"/>
      <c r="O647" s="15"/>
      <c r="P647" s="15"/>
      <c r="Q647" s="15"/>
      <c r="R647" s="15"/>
      <c r="S647" s="15"/>
      <c r="T647" s="15"/>
      <c r="U647" s="15"/>
      <c r="V647" s="15"/>
      <c r="W647" s="15"/>
      <c r="X647" s="15"/>
      <c r="Y647" s="15"/>
      <c r="Z647" s="15"/>
    </row>
    <row r="648" spans="1:26" x14ac:dyDescent="0.3">
      <c r="A648" s="15"/>
      <c r="B648" s="15"/>
      <c r="C648" s="15"/>
      <c r="D648" s="15"/>
      <c r="E648" s="15"/>
      <c r="F648" s="15"/>
      <c r="G648" s="15"/>
      <c r="H648" s="52"/>
      <c r="I648" s="52"/>
      <c r="J648" s="15"/>
      <c r="K648" s="15"/>
      <c r="L648" s="15"/>
      <c r="M648" s="15"/>
      <c r="N648" s="15"/>
      <c r="O648" s="15"/>
      <c r="P648" s="15"/>
      <c r="Q648" s="15"/>
      <c r="R648" s="15"/>
      <c r="S648" s="15"/>
      <c r="T648" s="15"/>
      <c r="U648" s="15"/>
      <c r="V648" s="15"/>
      <c r="W648" s="15"/>
      <c r="X648" s="15"/>
      <c r="Y648" s="15"/>
      <c r="Z648" s="15"/>
    </row>
    <row r="649" spans="1:26" x14ac:dyDescent="0.3">
      <c r="A649" s="15"/>
      <c r="B649" s="15"/>
      <c r="C649" s="15"/>
      <c r="D649" s="15"/>
      <c r="E649" s="15"/>
      <c r="F649" s="15"/>
      <c r="G649" s="15"/>
      <c r="H649" s="52"/>
      <c r="I649" s="52"/>
      <c r="J649" s="15"/>
      <c r="K649" s="15"/>
      <c r="L649" s="15"/>
      <c r="M649" s="15"/>
      <c r="N649" s="15"/>
      <c r="O649" s="15"/>
      <c r="P649" s="15"/>
      <c r="Q649" s="15"/>
      <c r="R649" s="15"/>
      <c r="S649" s="15"/>
      <c r="T649" s="15"/>
      <c r="U649" s="15"/>
      <c r="V649" s="15"/>
      <c r="W649" s="15"/>
      <c r="X649" s="15"/>
      <c r="Y649" s="15"/>
      <c r="Z649" s="15"/>
    </row>
    <row r="650" spans="1:26" x14ac:dyDescent="0.3">
      <c r="A650" s="15"/>
      <c r="B650" s="15"/>
      <c r="C650" s="15"/>
      <c r="D650" s="15"/>
      <c r="E650" s="15"/>
      <c r="F650" s="15"/>
      <c r="G650" s="15"/>
      <c r="H650" s="52"/>
      <c r="I650" s="52"/>
      <c r="J650" s="15"/>
      <c r="K650" s="15"/>
      <c r="L650" s="15"/>
      <c r="M650" s="15"/>
      <c r="N650" s="15"/>
      <c r="O650" s="15"/>
      <c r="P650" s="15"/>
      <c r="Q650" s="15"/>
      <c r="R650" s="15"/>
      <c r="S650" s="15"/>
      <c r="T650" s="15"/>
      <c r="U650" s="15"/>
      <c r="V650" s="15"/>
      <c r="W650" s="15"/>
      <c r="X650" s="15"/>
      <c r="Y650" s="15"/>
      <c r="Z650" s="15"/>
    </row>
    <row r="651" spans="1:26" x14ac:dyDescent="0.3">
      <c r="A651" s="15"/>
      <c r="B651" s="15"/>
      <c r="C651" s="15"/>
      <c r="D651" s="15"/>
      <c r="E651" s="15"/>
      <c r="F651" s="15"/>
      <c r="G651" s="15"/>
      <c r="H651" s="52"/>
      <c r="I651" s="52"/>
      <c r="J651" s="15"/>
      <c r="K651" s="15"/>
      <c r="L651" s="15"/>
      <c r="M651" s="15"/>
      <c r="N651" s="15"/>
      <c r="O651" s="15"/>
      <c r="P651" s="15"/>
      <c r="Q651" s="15"/>
      <c r="R651" s="15"/>
      <c r="S651" s="15"/>
      <c r="T651" s="15"/>
      <c r="U651" s="15"/>
      <c r="V651" s="15"/>
      <c r="W651" s="15"/>
      <c r="X651" s="15"/>
      <c r="Y651" s="15"/>
      <c r="Z651" s="15"/>
    </row>
    <row r="652" spans="1:26" x14ac:dyDescent="0.3">
      <c r="A652" s="15"/>
      <c r="B652" s="15"/>
      <c r="C652" s="15"/>
      <c r="D652" s="15"/>
      <c r="E652" s="15"/>
      <c r="F652" s="15"/>
      <c r="G652" s="15"/>
      <c r="H652" s="52"/>
      <c r="I652" s="52"/>
      <c r="J652" s="15"/>
      <c r="K652" s="15"/>
      <c r="L652" s="15"/>
      <c r="M652" s="15"/>
      <c r="N652" s="15"/>
      <c r="O652" s="15"/>
      <c r="P652" s="15"/>
      <c r="Q652" s="15"/>
      <c r="R652" s="15"/>
      <c r="S652" s="15"/>
      <c r="T652" s="15"/>
      <c r="U652" s="15"/>
      <c r="V652" s="15"/>
      <c r="W652" s="15"/>
      <c r="X652" s="15"/>
      <c r="Y652" s="15"/>
      <c r="Z652" s="15"/>
    </row>
    <row r="653" spans="1:26" x14ac:dyDescent="0.3">
      <c r="A653" s="15"/>
      <c r="B653" s="15"/>
      <c r="C653" s="15"/>
      <c r="D653" s="15"/>
      <c r="E653" s="15"/>
      <c r="F653" s="15"/>
      <c r="G653" s="15"/>
      <c r="H653" s="52"/>
      <c r="I653" s="52"/>
      <c r="J653" s="15"/>
      <c r="K653" s="15"/>
      <c r="L653" s="15"/>
      <c r="M653" s="15"/>
      <c r="N653" s="15"/>
      <c r="O653" s="15"/>
      <c r="P653" s="15"/>
      <c r="Q653" s="15"/>
      <c r="R653" s="15"/>
      <c r="S653" s="15"/>
      <c r="T653" s="15"/>
      <c r="U653" s="15"/>
      <c r="V653" s="15"/>
      <c r="W653" s="15"/>
      <c r="X653" s="15"/>
      <c r="Y653" s="15"/>
      <c r="Z653" s="15"/>
    </row>
    <row r="654" spans="1:26" x14ac:dyDescent="0.3">
      <c r="A654" s="15"/>
      <c r="B654" s="15"/>
      <c r="C654" s="15"/>
      <c r="D654" s="15"/>
      <c r="E654" s="15"/>
      <c r="F654" s="15"/>
      <c r="G654" s="15"/>
      <c r="H654" s="52"/>
      <c r="I654" s="52"/>
      <c r="J654" s="15"/>
      <c r="K654" s="15"/>
      <c r="L654" s="15"/>
      <c r="M654" s="15"/>
      <c r="N654" s="15"/>
      <c r="O654" s="15"/>
      <c r="P654" s="15"/>
      <c r="Q654" s="15"/>
      <c r="R654" s="15"/>
      <c r="S654" s="15"/>
      <c r="T654" s="15"/>
      <c r="U654" s="15"/>
      <c r="V654" s="15"/>
      <c r="W654" s="15"/>
      <c r="X654" s="15"/>
      <c r="Y654" s="15"/>
      <c r="Z654" s="15"/>
    </row>
    <row r="655" spans="1:26" x14ac:dyDescent="0.3">
      <c r="A655" s="15"/>
      <c r="B655" s="15"/>
      <c r="C655" s="15"/>
      <c r="D655" s="15"/>
      <c r="E655" s="15"/>
      <c r="F655" s="15"/>
      <c r="G655" s="15"/>
      <c r="H655" s="52"/>
      <c r="I655" s="52"/>
      <c r="J655" s="15"/>
      <c r="K655" s="15"/>
      <c r="L655" s="15"/>
      <c r="M655" s="15"/>
      <c r="N655" s="15"/>
      <c r="O655" s="15"/>
      <c r="P655" s="15"/>
      <c r="Q655" s="15"/>
      <c r="R655" s="15"/>
      <c r="S655" s="15"/>
      <c r="T655" s="15"/>
      <c r="U655" s="15"/>
      <c r="V655" s="15"/>
      <c r="W655" s="15"/>
      <c r="X655" s="15"/>
      <c r="Y655" s="15"/>
      <c r="Z655" s="15"/>
    </row>
    <row r="656" spans="1:26" x14ac:dyDescent="0.3">
      <c r="A656" s="15"/>
      <c r="B656" s="15"/>
      <c r="C656" s="15"/>
      <c r="D656" s="15"/>
      <c r="E656" s="15"/>
      <c r="F656" s="15"/>
      <c r="G656" s="15"/>
      <c r="H656" s="52"/>
      <c r="I656" s="52"/>
      <c r="J656" s="15"/>
      <c r="K656" s="15"/>
      <c r="L656" s="15"/>
      <c r="M656" s="15"/>
      <c r="N656" s="15"/>
      <c r="O656" s="15"/>
      <c r="P656" s="15"/>
      <c r="Q656" s="15"/>
      <c r="R656" s="15"/>
      <c r="S656" s="15"/>
      <c r="T656" s="15"/>
      <c r="U656" s="15"/>
      <c r="V656" s="15"/>
      <c r="W656" s="15"/>
      <c r="X656" s="15"/>
      <c r="Y656" s="15"/>
      <c r="Z656" s="15"/>
    </row>
    <row r="657" spans="1:26" x14ac:dyDescent="0.3">
      <c r="A657" s="15"/>
      <c r="B657" s="15"/>
      <c r="C657" s="15"/>
      <c r="D657" s="15"/>
      <c r="E657" s="15"/>
      <c r="F657" s="15"/>
      <c r="G657" s="15"/>
      <c r="H657" s="52"/>
      <c r="I657" s="52"/>
      <c r="J657" s="15"/>
      <c r="K657" s="15"/>
      <c r="L657" s="15"/>
      <c r="M657" s="15"/>
      <c r="N657" s="15"/>
      <c r="O657" s="15"/>
      <c r="P657" s="15"/>
      <c r="Q657" s="15"/>
      <c r="R657" s="15"/>
      <c r="S657" s="15"/>
      <c r="T657" s="15"/>
      <c r="U657" s="15"/>
      <c r="V657" s="15"/>
      <c r="W657" s="15"/>
      <c r="X657" s="15"/>
      <c r="Y657" s="15"/>
      <c r="Z657" s="15"/>
    </row>
    <row r="658" spans="1:26" x14ac:dyDescent="0.3">
      <c r="A658" s="15"/>
      <c r="B658" s="15"/>
      <c r="C658" s="15"/>
      <c r="D658" s="15"/>
      <c r="E658" s="15"/>
      <c r="F658" s="15"/>
      <c r="G658" s="15"/>
      <c r="H658" s="52"/>
      <c r="I658" s="52"/>
      <c r="J658" s="15"/>
      <c r="K658" s="15"/>
      <c r="L658" s="15"/>
      <c r="M658" s="15"/>
      <c r="N658" s="15"/>
      <c r="O658" s="15"/>
      <c r="P658" s="15"/>
      <c r="Q658" s="15"/>
      <c r="R658" s="15"/>
      <c r="S658" s="15"/>
      <c r="T658" s="15"/>
      <c r="U658" s="15"/>
      <c r="V658" s="15"/>
      <c r="W658" s="15"/>
      <c r="X658" s="15"/>
      <c r="Y658" s="15"/>
      <c r="Z658" s="15"/>
    </row>
    <row r="659" spans="1:26" x14ac:dyDescent="0.3">
      <c r="A659" s="15"/>
      <c r="B659" s="15"/>
      <c r="C659" s="15"/>
      <c r="D659" s="15"/>
      <c r="E659" s="15"/>
      <c r="F659" s="15"/>
      <c r="G659" s="15"/>
      <c r="H659" s="52"/>
      <c r="I659" s="52"/>
      <c r="J659" s="15"/>
      <c r="K659" s="15"/>
      <c r="L659" s="15"/>
      <c r="M659" s="15"/>
      <c r="N659" s="15"/>
      <c r="O659" s="15"/>
      <c r="P659" s="15"/>
      <c r="Q659" s="15"/>
      <c r="R659" s="15"/>
      <c r="S659" s="15"/>
      <c r="T659" s="15"/>
      <c r="U659" s="15"/>
      <c r="V659" s="15"/>
      <c r="W659" s="15"/>
      <c r="X659" s="15"/>
      <c r="Y659" s="15"/>
      <c r="Z659" s="15"/>
    </row>
    <row r="660" spans="1:26" x14ac:dyDescent="0.3">
      <c r="A660" s="15"/>
      <c r="B660" s="15"/>
      <c r="C660" s="15"/>
      <c r="D660" s="15"/>
      <c r="E660" s="15"/>
      <c r="F660" s="15"/>
      <c r="G660" s="15"/>
      <c r="H660" s="52"/>
      <c r="I660" s="52"/>
      <c r="J660" s="15"/>
      <c r="K660" s="15"/>
      <c r="L660" s="15"/>
      <c r="M660" s="15"/>
      <c r="N660" s="15"/>
      <c r="O660" s="15"/>
      <c r="P660" s="15"/>
      <c r="Q660" s="15"/>
      <c r="R660" s="15"/>
      <c r="S660" s="15"/>
      <c r="T660" s="15"/>
      <c r="U660" s="15"/>
      <c r="V660" s="15"/>
      <c r="W660" s="15"/>
      <c r="X660" s="15"/>
      <c r="Y660" s="15"/>
      <c r="Z660" s="15"/>
    </row>
    <row r="661" spans="1:26" x14ac:dyDescent="0.3">
      <c r="A661" s="15"/>
      <c r="B661" s="15"/>
      <c r="C661" s="15"/>
      <c r="D661" s="15"/>
      <c r="E661" s="15"/>
      <c r="F661" s="15"/>
      <c r="G661" s="15"/>
      <c r="H661" s="52"/>
      <c r="I661" s="52"/>
      <c r="J661" s="15"/>
      <c r="K661" s="15"/>
      <c r="L661" s="15"/>
      <c r="M661" s="15"/>
      <c r="N661" s="15"/>
      <c r="O661" s="15"/>
      <c r="P661" s="15"/>
      <c r="Q661" s="15"/>
      <c r="R661" s="15"/>
      <c r="S661" s="15"/>
      <c r="T661" s="15"/>
      <c r="U661" s="15"/>
      <c r="V661" s="15"/>
      <c r="W661" s="15"/>
      <c r="X661" s="15"/>
      <c r="Y661" s="15"/>
      <c r="Z661" s="15"/>
    </row>
    <row r="662" spans="1:26" x14ac:dyDescent="0.3">
      <c r="A662" s="15"/>
      <c r="B662" s="15"/>
      <c r="C662" s="15"/>
      <c r="D662" s="15"/>
      <c r="E662" s="15"/>
      <c r="F662" s="15"/>
      <c r="G662" s="15"/>
      <c r="H662" s="52"/>
      <c r="I662" s="52"/>
      <c r="J662" s="15"/>
      <c r="K662" s="15"/>
      <c r="L662" s="15"/>
      <c r="M662" s="15"/>
      <c r="N662" s="15"/>
      <c r="O662" s="15"/>
      <c r="P662" s="15"/>
      <c r="Q662" s="15"/>
      <c r="R662" s="15"/>
      <c r="S662" s="15"/>
      <c r="T662" s="15"/>
      <c r="U662" s="15"/>
      <c r="V662" s="15"/>
      <c r="W662" s="15"/>
      <c r="X662" s="15"/>
      <c r="Y662" s="15"/>
      <c r="Z662" s="15"/>
    </row>
    <row r="663" spans="1:26" x14ac:dyDescent="0.3">
      <c r="A663" s="15"/>
      <c r="B663" s="15"/>
      <c r="C663" s="15"/>
      <c r="D663" s="15"/>
      <c r="E663" s="15"/>
      <c r="F663" s="15"/>
      <c r="G663" s="15"/>
      <c r="H663" s="52"/>
      <c r="I663" s="52"/>
      <c r="J663" s="15"/>
      <c r="K663" s="15"/>
      <c r="L663" s="15"/>
      <c r="M663" s="15"/>
      <c r="N663" s="15"/>
      <c r="O663" s="15"/>
      <c r="P663" s="15"/>
      <c r="Q663" s="15"/>
      <c r="R663" s="15"/>
      <c r="S663" s="15"/>
      <c r="T663" s="15"/>
      <c r="U663" s="15"/>
      <c r="V663" s="15"/>
      <c r="W663" s="15"/>
      <c r="X663" s="15"/>
      <c r="Y663" s="15"/>
      <c r="Z663" s="15"/>
    </row>
    <row r="664" spans="1:26" x14ac:dyDescent="0.3">
      <c r="A664" s="15"/>
      <c r="B664" s="15"/>
      <c r="C664" s="15"/>
      <c r="D664" s="15"/>
      <c r="E664" s="15"/>
      <c r="F664" s="15"/>
      <c r="G664" s="15"/>
      <c r="H664" s="52"/>
      <c r="I664" s="52"/>
      <c r="J664" s="15"/>
      <c r="K664" s="15"/>
      <c r="L664" s="15"/>
      <c r="M664" s="15"/>
      <c r="N664" s="15"/>
      <c r="O664" s="15"/>
      <c r="P664" s="15"/>
      <c r="Q664" s="15"/>
      <c r="R664" s="15"/>
      <c r="S664" s="15"/>
      <c r="T664" s="15"/>
      <c r="U664" s="15"/>
      <c r="V664" s="15"/>
      <c r="W664" s="15"/>
      <c r="X664" s="15"/>
      <c r="Y664" s="15"/>
      <c r="Z664" s="15"/>
    </row>
    <row r="665" spans="1:26" x14ac:dyDescent="0.3">
      <c r="A665" s="15"/>
      <c r="B665" s="15"/>
      <c r="C665" s="15"/>
      <c r="D665" s="15"/>
      <c r="E665" s="15"/>
      <c r="F665" s="15"/>
      <c r="G665" s="15"/>
      <c r="H665" s="52"/>
      <c r="I665" s="52"/>
      <c r="J665" s="15"/>
      <c r="K665" s="15"/>
      <c r="L665" s="15"/>
      <c r="M665" s="15"/>
      <c r="N665" s="15"/>
      <c r="O665" s="15"/>
      <c r="P665" s="15"/>
      <c r="Q665" s="15"/>
      <c r="R665" s="15"/>
      <c r="S665" s="15"/>
      <c r="T665" s="15"/>
      <c r="U665" s="15"/>
      <c r="V665" s="15"/>
      <c r="W665" s="15"/>
      <c r="X665" s="15"/>
      <c r="Y665" s="15"/>
      <c r="Z665" s="15"/>
    </row>
    <row r="666" spans="1:26" x14ac:dyDescent="0.3">
      <c r="A666" s="15"/>
      <c r="B666" s="15"/>
      <c r="C666" s="15"/>
      <c r="D666" s="15"/>
      <c r="E666" s="15"/>
      <c r="F666" s="15"/>
      <c r="G666" s="15"/>
      <c r="H666" s="52"/>
      <c r="I666" s="52"/>
      <c r="J666" s="15"/>
      <c r="K666" s="15"/>
      <c r="L666" s="15"/>
      <c r="M666" s="15"/>
      <c r="N666" s="15"/>
      <c r="O666" s="15"/>
      <c r="P666" s="15"/>
      <c r="Q666" s="15"/>
      <c r="R666" s="15"/>
      <c r="S666" s="15"/>
      <c r="T666" s="15"/>
      <c r="U666" s="15"/>
      <c r="V666" s="15"/>
      <c r="W666" s="15"/>
      <c r="X666" s="15"/>
      <c r="Y666" s="15"/>
      <c r="Z666" s="15"/>
    </row>
    <row r="667" spans="1:26" x14ac:dyDescent="0.3">
      <c r="A667" s="15"/>
      <c r="B667" s="15"/>
      <c r="C667" s="15"/>
      <c r="D667" s="15"/>
      <c r="E667" s="15"/>
      <c r="F667" s="15"/>
      <c r="G667" s="15"/>
      <c r="H667" s="52"/>
      <c r="I667" s="52"/>
      <c r="J667" s="15"/>
      <c r="K667" s="15"/>
      <c r="L667" s="15"/>
      <c r="M667" s="15"/>
      <c r="N667" s="15"/>
      <c r="O667" s="15"/>
      <c r="P667" s="15"/>
      <c r="Q667" s="15"/>
      <c r="R667" s="15"/>
      <c r="S667" s="15"/>
      <c r="T667" s="15"/>
      <c r="U667" s="15"/>
      <c r="V667" s="15"/>
      <c r="W667" s="15"/>
      <c r="X667" s="15"/>
      <c r="Y667" s="15"/>
      <c r="Z667" s="15"/>
    </row>
    <row r="668" spans="1:26" x14ac:dyDescent="0.3">
      <c r="A668" s="15"/>
      <c r="B668" s="15"/>
      <c r="C668" s="15"/>
      <c r="D668" s="15"/>
      <c r="E668" s="15"/>
      <c r="F668" s="15"/>
      <c r="G668" s="15"/>
      <c r="H668" s="52"/>
      <c r="I668" s="52"/>
      <c r="J668" s="15"/>
      <c r="K668" s="15"/>
      <c r="L668" s="15"/>
      <c r="M668" s="15"/>
      <c r="N668" s="15"/>
      <c r="O668" s="15"/>
      <c r="P668" s="15"/>
      <c r="Q668" s="15"/>
      <c r="R668" s="15"/>
      <c r="S668" s="15"/>
      <c r="T668" s="15"/>
      <c r="U668" s="15"/>
      <c r="V668" s="15"/>
      <c r="W668" s="15"/>
      <c r="X668" s="15"/>
      <c r="Y668" s="15"/>
      <c r="Z668" s="15"/>
    </row>
    <row r="669" spans="1:26" x14ac:dyDescent="0.3">
      <c r="A669" s="15"/>
      <c r="B669" s="15"/>
      <c r="C669" s="15"/>
      <c r="D669" s="15"/>
      <c r="E669" s="15"/>
      <c r="F669" s="15"/>
      <c r="G669" s="15"/>
      <c r="H669" s="52"/>
      <c r="I669" s="52"/>
      <c r="J669" s="15"/>
      <c r="K669" s="15"/>
      <c r="L669" s="15"/>
      <c r="M669" s="15"/>
      <c r="N669" s="15"/>
      <c r="O669" s="15"/>
      <c r="P669" s="15"/>
      <c r="Q669" s="15"/>
      <c r="R669" s="15"/>
      <c r="S669" s="15"/>
      <c r="T669" s="15"/>
      <c r="U669" s="15"/>
      <c r="V669" s="15"/>
      <c r="W669" s="15"/>
      <c r="X669" s="15"/>
      <c r="Y669" s="15"/>
      <c r="Z669" s="15"/>
    </row>
    <row r="670" spans="1:26" x14ac:dyDescent="0.3">
      <c r="A670" s="15"/>
      <c r="B670" s="15"/>
      <c r="C670" s="15"/>
      <c r="D670" s="15"/>
      <c r="E670" s="15"/>
      <c r="F670" s="15"/>
      <c r="G670" s="15"/>
      <c r="H670" s="52"/>
      <c r="I670" s="52"/>
      <c r="J670" s="15"/>
      <c r="K670" s="15"/>
      <c r="L670" s="15"/>
      <c r="M670" s="15"/>
      <c r="N670" s="15"/>
      <c r="O670" s="15"/>
      <c r="P670" s="15"/>
      <c r="Q670" s="15"/>
      <c r="R670" s="15"/>
      <c r="S670" s="15"/>
      <c r="T670" s="15"/>
      <c r="U670" s="15"/>
      <c r="V670" s="15"/>
      <c r="W670" s="15"/>
      <c r="X670" s="15"/>
      <c r="Y670" s="15"/>
      <c r="Z670" s="15"/>
    </row>
    <row r="671" spans="1:26" x14ac:dyDescent="0.3">
      <c r="A671" s="15"/>
      <c r="B671" s="15"/>
      <c r="C671" s="15"/>
      <c r="D671" s="15"/>
      <c r="E671" s="15"/>
      <c r="F671" s="15"/>
      <c r="G671" s="15"/>
      <c r="H671" s="52"/>
      <c r="I671" s="52"/>
      <c r="J671" s="15"/>
      <c r="K671" s="15"/>
      <c r="L671" s="15"/>
      <c r="M671" s="15"/>
      <c r="N671" s="15"/>
      <c r="O671" s="15"/>
      <c r="P671" s="15"/>
      <c r="Q671" s="15"/>
      <c r="R671" s="15"/>
      <c r="S671" s="15"/>
      <c r="T671" s="15"/>
      <c r="U671" s="15"/>
      <c r="V671" s="15"/>
      <c r="W671" s="15"/>
      <c r="X671" s="15"/>
      <c r="Y671" s="15"/>
      <c r="Z671" s="15"/>
    </row>
    <row r="672" spans="1:26" x14ac:dyDescent="0.3">
      <c r="A672" s="15"/>
      <c r="B672" s="15"/>
      <c r="C672" s="15"/>
      <c r="D672" s="15"/>
      <c r="E672" s="15"/>
      <c r="F672" s="15"/>
      <c r="G672" s="15"/>
      <c r="H672" s="52"/>
      <c r="I672" s="52"/>
      <c r="J672" s="15"/>
      <c r="K672" s="15"/>
      <c r="L672" s="15"/>
      <c r="M672" s="15"/>
      <c r="N672" s="15"/>
      <c r="O672" s="15"/>
      <c r="P672" s="15"/>
      <c r="Q672" s="15"/>
      <c r="R672" s="15"/>
      <c r="S672" s="15"/>
      <c r="T672" s="15"/>
      <c r="U672" s="15"/>
      <c r="V672" s="15"/>
      <c r="W672" s="15"/>
      <c r="X672" s="15"/>
      <c r="Y672" s="15"/>
      <c r="Z672" s="15"/>
    </row>
    <row r="673" spans="1:26" x14ac:dyDescent="0.3">
      <c r="A673" s="15"/>
      <c r="B673" s="15"/>
      <c r="C673" s="15"/>
      <c r="D673" s="15"/>
      <c r="E673" s="15"/>
      <c r="F673" s="15"/>
      <c r="G673" s="15"/>
      <c r="H673" s="52"/>
      <c r="I673" s="52"/>
      <c r="J673" s="15"/>
      <c r="K673" s="15"/>
      <c r="L673" s="15"/>
      <c r="M673" s="15"/>
      <c r="N673" s="15"/>
      <c r="O673" s="15"/>
      <c r="P673" s="15"/>
      <c r="Q673" s="15"/>
      <c r="R673" s="15"/>
      <c r="S673" s="15"/>
      <c r="T673" s="15"/>
      <c r="U673" s="15"/>
      <c r="V673" s="15"/>
      <c r="W673" s="15"/>
      <c r="X673" s="15"/>
      <c r="Y673" s="15"/>
      <c r="Z673" s="15"/>
    </row>
    <row r="674" spans="1:26" x14ac:dyDescent="0.3">
      <c r="A674" s="15"/>
      <c r="B674" s="15"/>
      <c r="C674" s="15"/>
      <c r="D674" s="15"/>
      <c r="E674" s="15"/>
      <c r="F674" s="15"/>
      <c r="G674" s="15"/>
      <c r="H674" s="52"/>
      <c r="I674" s="52"/>
      <c r="J674" s="15"/>
      <c r="K674" s="15"/>
      <c r="L674" s="15"/>
      <c r="M674" s="15"/>
      <c r="N674" s="15"/>
      <c r="O674" s="15"/>
      <c r="P674" s="15"/>
      <c r="Q674" s="15"/>
      <c r="R674" s="15"/>
      <c r="S674" s="15"/>
      <c r="T674" s="15"/>
      <c r="U674" s="15"/>
      <c r="V674" s="15"/>
      <c r="W674" s="15"/>
      <c r="X674" s="15"/>
      <c r="Y674" s="15"/>
      <c r="Z674" s="15"/>
    </row>
    <row r="675" spans="1:26" x14ac:dyDescent="0.3">
      <c r="A675" s="15"/>
      <c r="B675" s="15"/>
      <c r="C675" s="15"/>
      <c r="D675" s="15"/>
      <c r="E675" s="15"/>
      <c r="F675" s="15"/>
      <c r="G675" s="15"/>
      <c r="H675" s="52"/>
      <c r="I675" s="52"/>
      <c r="J675" s="15"/>
      <c r="K675" s="15"/>
      <c r="L675" s="15"/>
      <c r="M675" s="15"/>
      <c r="N675" s="15"/>
      <c r="O675" s="15"/>
      <c r="P675" s="15"/>
      <c r="Q675" s="15"/>
      <c r="R675" s="15"/>
      <c r="S675" s="15"/>
      <c r="T675" s="15"/>
      <c r="U675" s="15"/>
      <c r="V675" s="15"/>
      <c r="W675" s="15"/>
      <c r="X675" s="15"/>
      <c r="Y675" s="15"/>
      <c r="Z675" s="15"/>
    </row>
    <row r="676" spans="1:26" x14ac:dyDescent="0.3">
      <c r="A676" s="15"/>
      <c r="B676" s="15"/>
      <c r="C676" s="15"/>
      <c r="D676" s="15"/>
      <c r="E676" s="15"/>
      <c r="F676" s="15"/>
      <c r="G676" s="15"/>
      <c r="H676" s="52"/>
      <c r="I676" s="52"/>
      <c r="J676" s="15"/>
      <c r="K676" s="15"/>
      <c r="L676" s="15"/>
      <c r="M676" s="15"/>
      <c r="N676" s="15"/>
      <c r="O676" s="15"/>
      <c r="P676" s="15"/>
      <c r="Q676" s="15"/>
      <c r="R676" s="15"/>
      <c r="S676" s="15"/>
      <c r="T676" s="15"/>
      <c r="U676" s="15"/>
      <c r="V676" s="15"/>
      <c r="W676" s="15"/>
      <c r="X676" s="15"/>
      <c r="Y676" s="15"/>
      <c r="Z676" s="15"/>
    </row>
    <row r="677" spans="1:26" x14ac:dyDescent="0.3">
      <c r="A677" s="15"/>
      <c r="B677" s="15"/>
      <c r="C677" s="15"/>
      <c r="D677" s="15"/>
      <c r="E677" s="15"/>
      <c r="F677" s="15"/>
      <c r="G677" s="15"/>
      <c r="H677" s="52"/>
      <c r="I677" s="52"/>
      <c r="J677" s="15"/>
      <c r="K677" s="15"/>
      <c r="L677" s="15"/>
      <c r="M677" s="15"/>
      <c r="N677" s="15"/>
      <c r="O677" s="15"/>
      <c r="P677" s="15"/>
      <c r="Q677" s="15"/>
      <c r="R677" s="15"/>
      <c r="S677" s="15"/>
      <c r="T677" s="15"/>
      <c r="U677" s="15"/>
      <c r="V677" s="15"/>
      <c r="W677" s="15"/>
      <c r="X677" s="15"/>
      <c r="Y677" s="15"/>
      <c r="Z677" s="15"/>
    </row>
    <row r="678" spans="1:26" x14ac:dyDescent="0.3">
      <c r="A678" s="15"/>
      <c r="B678" s="15"/>
      <c r="C678" s="15"/>
      <c r="D678" s="15"/>
      <c r="E678" s="15"/>
      <c r="F678" s="15"/>
      <c r="G678" s="15"/>
      <c r="H678" s="52"/>
      <c r="I678" s="52"/>
      <c r="J678" s="15"/>
      <c r="K678" s="15"/>
      <c r="L678" s="15"/>
      <c r="M678" s="15"/>
      <c r="N678" s="15"/>
      <c r="O678" s="15"/>
      <c r="P678" s="15"/>
      <c r="Q678" s="15"/>
      <c r="R678" s="15"/>
      <c r="S678" s="15"/>
      <c r="T678" s="15"/>
      <c r="U678" s="15"/>
      <c r="V678" s="15"/>
      <c r="W678" s="15"/>
      <c r="X678" s="15"/>
      <c r="Y678" s="15"/>
      <c r="Z678" s="15"/>
    </row>
    <row r="679" spans="1:26" x14ac:dyDescent="0.3">
      <c r="A679" s="15"/>
      <c r="B679" s="15"/>
      <c r="C679" s="15"/>
      <c r="D679" s="15"/>
      <c r="E679" s="15"/>
      <c r="F679" s="15"/>
      <c r="G679" s="15"/>
      <c r="H679" s="52"/>
      <c r="I679" s="52"/>
      <c r="J679" s="15"/>
      <c r="K679" s="15"/>
      <c r="L679" s="15"/>
      <c r="M679" s="15"/>
      <c r="N679" s="15"/>
      <c r="O679" s="15"/>
      <c r="P679" s="15"/>
      <c r="Q679" s="15"/>
      <c r="R679" s="15"/>
      <c r="S679" s="15"/>
      <c r="T679" s="15"/>
      <c r="U679" s="15"/>
      <c r="V679" s="15"/>
      <c r="W679" s="15"/>
      <c r="X679" s="15"/>
      <c r="Y679" s="15"/>
      <c r="Z679" s="15"/>
    </row>
    <row r="680" spans="1:26" x14ac:dyDescent="0.3">
      <c r="A680" s="15"/>
      <c r="B680" s="15"/>
      <c r="C680" s="15"/>
      <c r="D680" s="15"/>
      <c r="E680" s="15"/>
      <c r="F680" s="15"/>
      <c r="G680" s="15"/>
      <c r="H680" s="52"/>
      <c r="I680" s="52"/>
      <c r="J680" s="15"/>
      <c r="K680" s="15"/>
      <c r="L680" s="15"/>
      <c r="M680" s="15"/>
      <c r="N680" s="15"/>
      <c r="O680" s="15"/>
      <c r="P680" s="15"/>
      <c r="Q680" s="15"/>
      <c r="R680" s="15"/>
      <c r="S680" s="15"/>
      <c r="T680" s="15"/>
      <c r="U680" s="15"/>
      <c r="V680" s="15"/>
      <c r="W680" s="15"/>
      <c r="X680" s="15"/>
      <c r="Y680" s="15"/>
      <c r="Z680" s="15"/>
    </row>
    <row r="681" spans="1:26" x14ac:dyDescent="0.3">
      <c r="A681" s="15"/>
      <c r="B681" s="15"/>
      <c r="C681" s="15"/>
      <c r="D681" s="15"/>
      <c r="E681" s="15"/>
      <c r="F681" s="15"/>
      <c r="G681" s="15"/>
      <c r="H681" s="52"/>
      <c r="I681" s="52"/>
      <c r="J681" s="15"/>
      <c r="K681" s="15"/>
      <c r="L681" s="15"/>
      <c r="M681" s="15"/>
      <c r="N681" s="15"/>
      <c r="O681" s="15"/>
      <c r="P681" s="15"/>
      <c r="Q681" s="15"/>
      <c r="R681" s="15"/>
      <c r="S681" s="15"/>
      <c r="T681" s="15"/>
      <c r="U681" s="15"/>
      <c r="V681" s="15"/>
      <c r="W681" s="15"/>
      <c r="X681" s="15"/>
      <c r="Y681" s="15"/>
      <c r="Z681" s="15"/>
    </row>
    <row r="682" spans="1:26" x14ac:dyDescent="0.3">
      <c r="A682" s="15"/>
      <c r="B682" s="15"/>
      <c r="C682" s="15"/>
      <c r="D682" s="15"/>
      <c r="E682" s="15"/>
      <c r="F682" s="15"/>
      <c r="G682" s="15"/>
      <c r="H682" s="52"/>
      <c r="I682" s="52"/>
      <c r="J682" s="15"/>
      <c r="K682" s="15"/>
      <c r="L682" s="15"/>
      <c r="M682" s="15"/>
      <c r="N682" s="15"/>
      <c r="O682" s="15"/>
      <c r="P682" s="15"/>
      <c r="Q682" s="15"/>
      <c r="R682" s="15"/>
      <c r="S682" s="15"/>
      <c r="T682" s="15"/>
      <c r="U682" s="15"/>
      <c r="V682" s="15"/>
      <c r="W682" s="15"/>
      <c r="X682" s="15"/>
      <c r="Y682" s="15"/>
      <c r="Z682" s="15"/>
    </row>
    <row r="683" spans="1:26" x14ac:dyDescent="0.3">
      <c r="A683" s="15"/>
      <c r="B683" s="15"/>
      <c r="C683" s="15"/>
      <c r="D683" s="15"/>
      <c r="E683" s="15"/>
      <c r="F683" s="15"/>
      <c r="G683" s="15"/>
      <c r="H683" s="52"/>
      <c r="I683" s="52"/>
      <c r="J683" s="15"/>
      <c r="K683" s="15"/>
      <c r="L683" s="15"/>
      <c r="M683" s="15"/>
      <c r="N683" s="15"/>
      <c r="O683" s="15"/>
      <c r="P683" s="15"/>
      <c r="Q683" s="15"/>
      <c r="R683" s="15"/>
      <c r="S683" s="15"/>
      <c r="T683" s="15"/>
      <c r="U683" s="15"/>
      <c r="V683" s="15"/>
      <c r="W683" s="15"/>
      <c r="X683" s="15"/>
      <c r="Y683" s="15"/>
      <c r="Z683" s="15"/>
    </row>
    <row r="684" spans="1:26" x14ac:dyDescent="0.3">
      <c r="A684" s="15"/>
      <c r="B684" s="15"/>
      <c r="C684" s="15"/>
      <c r="D684" s="15"/>
      <c r="E684" s="15"/>
      <c r="F684" s="15"/>
      <c r="G684" s="15"/>
      <c r="H684" s="52"/>
      <c r="I684" s="52"/>
      <c r="J684" s="15"/>
      <c r="K684" s="15"/>
      <c r="L684" s="15"/>
      <c r="M684" s="15"/>
      <c r="N684" s="15"/>
      <c r="O684" s="15"/>
      <c r="P684" s="15"/>
      <c r="Q684" s="15"/>
      <c r="R684" s="15"/>
      <c r="S684" s="15"/>
      <c r="T684" s="15"/>
      <c r="U684" s="15"/>
      <c r="V684" s="15"/>
      <c r="W684" s="15"/>
      <c r="X684" s="15"/>
      <c r="Y684" s="15"/>
      <c r="Z684" s="15"/>
    </row>
    <row r="685" spans="1:26" x14ac:dyDescent="0.3">
      <c r="A685" s="15"/>
      <c r="B685" s="15"/>
      <c r="C685" s="15"/>
      <c r="D685" s="15"/>
      <c r="E685" s="15"/>
      <c r="F685" s="15"/>
      <c r="G685" s="15"/>
      <c r="H685" s="52"/>
      <c r="I685" s="52"/>
      <c r="J685" s="15"/>
      <c r="K685" s="15"/>
      <c r="L685" s="15"/>
      <c r="M685" s="15"/>
      <c r="N685" s="15"/>
      <c r="O685" s="15"/>
      <c r="P685" s="15"/>
      <c r="Q685" s="15"/>
      <c r="R685" s="15"/>
      <c r="S685" s="15"/>
      <c r="T685" s="15"/>
      <c r="U685" s="15"/>
      <c r="V685" s="15"/>
      <c r="W685" s="15"/>
      <c r="X685" s="15"/>
      <c r="Y685" s="15"/>
      <c r="Z685" s="15"/>
    </row>
    <row r="686" spans="1:26" x14ac:dyDescent="0.3">
      <c r="A686" s="15"/>
      <c r="B686" s="15"/>
      <c r="C686" s="15"/>
      <c r="D686" s="15"/>
      <c r="E686" s="15"/>
      <c r="F686" s="15"/>
      <c r="G686" s="15"/>
      <c r="H686" s="52"/>
      <c r="I686" s="52"/>
      <c r="J686" s="15"/>
      <c r="K686" s="15"/>
      <c r="L686" s="15"/>
      <c r="M686" s="15"/>
      <c r="N686" s="15"/>
      <c r="O686" s="15"/>
      <c r="P686" s="15"/>
      <c r="Q686" s="15"/>
      <c r="R686" s="15"/>
      <c r="S686" s="15"/>
      <c r="T686" s="15"/>
      <c r="U686" s="15"/>
      <c r="V686" s="15"/>
      <c r="W686" s="15"/>
      <c r="X686" s="15"/>
      <c r="Y686" s="15"/>
      <c r="Z686" s="15"/>
    </row>
    <row r="687" spans="1:26" x14ac:dyDescent="0.3">
      <c r="A687" s="15"/>
      <c r="B687" s="15"/>
      <c r="C687" s="15"/>
      <c r="D687" s="15"/>
      <c r="E687" s="15"/>
      <c r="F687" s="15"/>
      <c r="G687" s="15"/>
      <c r="H687" s="52"/>
      <c r="I687" s="52"/>
      <c r="J687" s="15"/>
      <c r="K687" s="15"/>
      <c r="L687" s="15"/>
      <c r="M687" s="15"/>
      <c r="N687" s="15"/>
      <c r="O687" s="15"/>
      <c r="P687" s="15"/>
      <c r="Q687" s="15"/>
      <c r="R687" s="15"/>
      <c r="S687" s="15"/>
      <c r="T687" s="15"/>
      <c r="U687" s="15"/>
      <c r="V687" s="15"/>
      <c r="W687" s="15"/>
      <c r="X687" s="15"/>
      <c r="Y687" s="15"/>
      <c r="Z687" s="15"/>
    </row>
    <row r="688" spans="1:26" x14ac:dyDescent="0.3">
      <c r="A688" s="15"/>
      <c r="B688" s="15"/>
      <c r="C688" s="15"/>
      <c r="D688" s="15"/>
      <c r="E688" s="15"/>
      <c r="F688" s="15"/>
      <c r="G688" s="15"/>
      <c r="H688" s="52"/>
      <c r="I688" s="52"/>
      <c r="J688" s="15"/>
      <c r="K688" s="15"/>
      <c r="L688" s="15"/>
      <c r="M688" s="15"/>
      <c r="N688" s="15"/>
      <c r="O688" s="15"/>
      <c r="P688" s="15"/>
      <c r="Q688" s="15"/>
      <c r="R688" s="15"/>
      <c r="S688" s="15"/>
      <c r="T688" s="15"/>
      <c r="U688" s="15"/>
      <c r="V688" s="15"/>
      <c r="W688" s="15"/>
      <c r="X688" s="15"/>
      <c r="Y688" s="15"/>
      <c r="Z688" s="15"/>
    </row>
    <row r="689" spans="1:26" x14ac:dyDescent="0.3">
      <c r="A689" s="15"/>
      <c r="B689" s="15"/>
      <c r="C689" s="15"/>
      <c r="D689" s="15"/>
      <c r="E689" s="15"/>
      <c r="F689" s="15"/>
      <c r="G689" s="15"/>
      <c r="H689" s="52"/>
      <c r="I689" s="52"/>
      <c r="J689" s="15"/>
      <c r="K689" s="15"/>
      <c r="L689" s="15"/>
      <c r="M689" s="15"/>
      <c r="N689" s="15"/>
      <c r="O689" s="15"/>
      <c r="P689" s="15"/>
      <c r="Q689" s="15"/>
      <c r="R689" s="15"/>
      <c r="S689" s="15"/>
      <c r="T689" s="15"/>
      <c r="U689" s="15"/>
      <c r="V689" s="15"/>
      <c r="W689" s="15"/>
      <c r="X689" s="15"/>
      <c r="Y689" s="15"/>
      <c r="Z689" s="15"/>
    </row>
    <row r="690" spans="1:26" x14ac:dyDescent="0.3">
      <c r="A690" s="15"/>
      <c r="B690" s="15"/>
      <c r="C690" s="15"/>
      <c r="D690" s="15"/>
      <c r="E690" s="15"/>
      <c r="F690" s="15"/>
      <c r="G690" s="15"/>
      <c r="H690" s="52"/>
      <c r="I690" s="52"/>
      <c r="J690" s="15"/>
      <c r="K690" s="15"/>
      <c r="L690" s="15"/>
      <c r="M690" s="15"/>
      <c r="N690" s="15"/>
      <c r="O690" s="15"/>
      <c r="P690" s="15"/>
      <c r="Q690" s="15"/>
      <c r="R690" s="15"/>
      <c r="S690" s="15"/>
      <c r="T690" s="15"/>
      <c r="U690" s="15"/>
      <c r="V690" s="15"/>
      <c r="W690" s="15"/>
      <c r="X690" s="15"/>
      <c r="Y690" s="15"/>
      <c r="Z690" s="15"/>
    </row>
    <row r="691" spans="1:26" x14ac:dyDescent="0.3">
      <c r="A691" s="15"/>
      <c r="B691" s="15"/>
      <c r="C691" s="15"/>
      <c r="D691" s="15"/>
      <c r="E691" s="15"/>
      <c r="F691" s="15"/>
      <c r="G691" s="15"/>
      <c r="H691" s="52"/>
      <c r="I691" s="52"/>
      <c r="J691" s="15"/>
      <c r="K691" s="15"/>
      <c r="L691" s="15"/>
      <c r="M691" s="15"/>
      <c r="N691" s="15"/>
      <c r="O691" s="15"/>
      <c r="P691" s="15"/>
      <c r="Q691" s="15"/>
      <c r="R691" s="15"/>
      <c r="S691" s="15"/>
      <c r="T691" s="15"/>
      <c r="U691" s="15"/>
      <c r="V691" s="15"/>
      <c r="W691" s="15"/>
      <c r="X691" s="15"/>
      <c r="Y691" s="15"/>
      <c r="Z691" s="15"/>
    </row>
    <row r="692" spans="1:26" x14ac:dyDescent="0.3">
      <c r="A692" s="15"/>
      <c r="B692" s="15"/>
      <c r="C692" s="15"/>
      <c r="D692" s="15"/>
      <c r="E692" s="15"/>
      <c r="F692" s="15"/>
      <c r="G692" s="15"/>
      <c r="H692" s="52"/>
      <c r="I692" s="52"/>
      <c r="J692" s="15"/>
      <c r="K692" s="15"/>
      <c r="L692" s="15"/>
      <c r="M692" s="15"/>
      <c r="N692" s="15"/>
      <c r="O692" s="15"/>
      <c r="P692" s="15"/>
      <c r="Q692" s="15"/>
      <c r="R692" s="15"/>
      <c r="S692" s="15"/>
      <c r="T692" s="15"/>
      <c r="U692" s="15"/>
      <c r="V692" s="15"/>
      <c r="W692" s="15"/>
      <c r="X692" s="15"/>
      <c r="Y692" s="15"/>
      <c r="Z692" s="15"/>
    </row>
    <row r="693" spans="1:26" x14ac:dyDescent="0.3">
      <c r="A693" s="15"/>
      <c r="B693" s="15"/>
      <c r="C693" s="15"/>
      <c r="D693" s="15"/>
      <c r="E693" s="15"/>
      <c r="F693" s="15"/>
      <c r="G693" s="15"/>
      <c r="H693" s="52"/>
      <c r="I693" s="52"/>
      <c r="J693" s="15"/>
      <c r="K693" s="15"/>
      <c r="L693" s="15"/>
      <c r="M693" s="15"/>
      <c r="N693" s="15"/>
      <c r="O693" s="15"/>
      <c r="P693" s="15"/>
      <c r="Q693" s="15"/>
      <c r="R693" s="15"/>
      <c r="S693" s="15"/>
      <c r="T693" s="15"/>
      <c r="U693" s="15"/>
      <c r="V693" s="15"/>
      <c r="W693" s="15"/>
      <c r="X693" s="15"/>
      <c r="Y693" s="15"/>
      <c r="Z693" s="15"/>
    </row>
    <row r="694" spans="1:26" x14ac:dyDescent="0.3">
      <c r="A694" s="15"/>
      <c r="B694" s="15"/>
      <c r="C694" s="15"/>
      <c r="D694" s="15"/>
      <c r="E694" s="15"/>
      <c r="F694" s="15"/>
      <c r="G694" s="15"/>
      <c r="H694" s="52"/>
      <c r="I694" s="52"/>
      <c r="J694" s="15"/>
      <c r="K694" s="15"/>
      <c r="L694" s="15"/>
      <c r="M694" s="15"/>
      <c r="N694" s="15"/>
      <c r="O694" s="15"/>
      <c r="P694" s="15"/>
      <c r="Q694" s="15"/>
      <c r="R694" s="15"/>
      <c r="S694" s="15"/>
      <c r="T694" s="15"/>
      <c r="U694" s="15"/>
      <c r="V694" s="15"/>
      <c r="W694" s="15"/>
      <c r="X694" s="15"/>
      <c r="Y694" s="15"/>
      <c r="Z694" s="15"/>
    </row>
    <row r="695" spans="1:26" x14ac:dyDescent="0.3">
      <c r="A695" s="15"/>
      <c r="B695" s="15"/>
      <c r="C695" s="15"/>
      <c r="D695" s="15"/>
      <c r="E695" s="15"/>
      <c r="F695" s="15"/>
      <c r="G695" s="15"/>
      <c r="H695" s="52"/>
      <c r="I695" s="52"/>
      <c r="J695" s="15"/>
      <c r="K695" s="15"/>
      <c r="L695" s="15"/>
      <c r="M695" s="15"/>
      <c r="N695" s="15"/>
      <c r="O695" s="15"/>
      <c r="P695" s="15"/>
      <c r="Q695" s="15"/>
      <c r="R695" s="15"/>
      <c r="S695" s="15"/>
      <c r="T695" s="15"/>
      <c r="U695" s="15"/>
      <c r="V695" s="15"/>
      <c r="W695" s="15"/>
      <c r="X695" s="15"/>
      <c r="Y695" s="15"/>
      <c r="Z695" s="15"/>
    </row>
    <row r="696" spans="1:26" x14ac:dyDescent="0.3">
      <c r="A696" s="15"/>
      <c r="B696" s="15"/>
      <c r="C696" s="15"/>
      <c r="D696" s="15"/>
      <c r="E696" s="15"/>
      <c r="F696" s="15"/>
      <c r="G696" s="15"/>
      <c r="H696" s="52"/>
      <c r="I696" s="52"/>
      <c r="J696" s="15"/>
      <c r="K696" s="15"/>
      <c r="L696" s="15"/>
      <c r="M696" s="15"/>
      <c r="N696" s="15"/>
      <c r="O696" s="15"/>
      <c r="P696" s="15"/>
      <c r="Q696" s="15"/>
      <c r="R696" s="15"/>
      <c r="S696" s="15"/>
      <c r="T696" s="15"/>
      <c r="U696" s="15"/>
      <c r="V696" s="15"/>
      <c r="W696" s="15"/>
      <c r="X696" s="15"/>
      <c r="Y696" s="15"/>
      <c r="Z696" s="15"/>
    </row>
    <row r="697" spans="1:26" x14ac:dyDescent="0.3">
      <c r="A697" s="15"/>
      <c r="B697" s="15"/>
      <c r="C697" s="15"/>
      <c r="D697" s="15"/>
      <c r="E697" s="15"/>
      <c r="F697" s="15"/>
      <c r="G697" s="15"/>
      <c r="H697" s="52"/>
      <c r="I697" s="52"/>
      <c r="J697" s="15"/>
      <c r="K697" s="15"/>
      <c r="L697" s="15"/>
      <c r="M697" s="15"/>
      <c r="N697" s="15"/>
      <c r="O697" s="15"/>
      <c r="P697" s="15"/>
      <c r="Q697" s="15"/>
      <c r="R697" s="15"/>
      <c r="S697" s="15"/>
      <c r="T697" s="15"/>
      <c r="U697" s="15"/>
      <c r="V697" s="15"/>
      <c r="W697" s="15"/>
      <c r="X697" s="15"/>
      <c r="Y697" s="15"/>
      <c r="Z697" s="15"/>
    </row>
    <row r="698" spans="1:26" x14ac:dyDescent="0.3">
      <c r="A698" s="15"/>
      <c r="B698" s="15"/>
      <c r="C698" s="15"/>
      <c r="D698" s="15"/>
      <c r="E698" s="15"/>
      <c r="F698" s="15"/>
      <c r="G698" s="15"/>
      <c r="H698" s="52"/>
      <c r="I698" s="52"/>
      <c r="J698" s="15"/>
      <c r="K698" s="15"/>
      <c r="L698" s="15"/>
      <c r="M698" s="15"/>
      <c r="N698" s="15"/>
      <c r="O698" s="15"/>
      <c r="P698" s="15"/>
      <c r="Q698" s="15"/>
      <c r="R698" s="15"/>
      <c r="S698" s="15"/>
      <c r="T698" s="15"/>
      <c r="U698" s="15"/>
      <c r="V698" s="15"/>
      <c r="W698" s="15"/>
      <c r="X698" s="15"/>
      <c r="Y698" s="15"/>
      <c r="Z698" s="15"/>
    </row>
    <row r="699" spans="1:26" x14ac:dyDescent="0.3">
      <c r="A699" s="15"/>
      <c r="B699" s="15"/>
      <c r="C699" s="15"/>
      <c r="D699" s="15"/>
      <c r="E699" s="15"/>
      <c r="F699" s="15"/>
      <c r="G699" s="15"/>
      <c r="H699" s="52"/>
      <c r="I699" s="52"/>
      <c r="J699" s="15"/>
      <c r="K699" s="15"/>
      <c r="L699" s="15"/>
      <c r="M699" s="15"/>
      <c r="N699" s="15"/>
      <c r="O699" s="15"/>
      <c r="P699" s="15"/>
      <c r="Q699" s="15"/>
      <c r="R699" s="15"/>
      <c r="S699" s="15"/>
      <c r="T699" s="15"/>
      <c r="U699" s="15"/>
      <c r="V699" s="15"/>
      <c r="W699" s="15"/>
      <c r="X699" s="15"/>
      <c r="Y699" s="15"/>
      <c r="Z699" s="15"/>
    </row>
    <row r="700" spans="1:26" x14ac:dyDescent="0.3">
      <c r="A700" s="15"/>
      <c r="B700" s="15"/>
      <c r="C700" s="15"/>
      <c r="D700" s="15"/>
      <c r="E700" s="15"/>
      <c r="F700" s="15"/>
      <c r="G700" s="15"/>
      <c r="H700" s="52"/>
      <c r="I700" s="52"/>
      <c r="J700" s="15"/>
      <c r="K700" s="15"/>
      <c r="L700" s="15"/>
      <c r="M700" s="15"/>
      <c r="N700" s="15"/>
      <c r="O700" s="15"/>
      <c r="P700" s="15"/>
      <c r="Q700" s="15"/>
      <c r="R700" s="15"/>
      <c r="S700" s="15"/>
      <c r="T700" s="15"/>
      <c r="U700" s="15"/>
      <c r="V700" s="15"/>
      <c r="W700" s="15"/>
      <c r="X700" s="15"/>
      <c r="Y700" s="15"/>
      <c r="Z700" s="15"/>
    </row>
    <row r="701" spans="1:26" x14ac:dyDescent="0.3">
      <c r="A701" s="15"/>
      <c r="B701" s="15"/>
      <c r="C701" s="15"/>
      <c r="D701" s="15"/>
      <c r="E701" s="15"/>
      <c r="F701" s="15"/>
      <c r="G701" s="15"/>
      <c r="H701" s="52"/>
      <c r="I701" s="52"/>
      <c r="J701" s="15"/>
      <c r="K701" s="15"/>
      <c r="L701" s="15"/>
      <c r="M701" s="15"/>
      <c r="N701" s="15"/>
      <c r="O701" s="15"/>
      <c r="P701" s="15"/>
      <c r="Q701" s="15"/>
      <c r="R701" s="15"/>
      <c r="S701" s="15"/>
      <c r="T701" s="15"/>
      <c r="U701" s="15"/>
      <c r="V701" s="15"/>
      <c r="W701" s="15"/>
      <c r="X701" s="15"/>
      <c r="Y701" s="15"/>
      <c r="Z701" s="15"/>
    </row>
    <row r="702" spans="1:26" x14ac:dyDescent="0.3">
      <c r="A702" s="15"/>
      <c r="B702" s="15"/>
      <c r="C702" s="15"/>
      <c r="D702" s="15"/>
      <c r="E702" s="15"/>
      <c r="F702" s="15"/>
      <c r="G702" s="15"/>
      <c r="H702" s="52"/>
      <c r="I702" s="52"/>
      <c r="J702" s="15"/>
      <c r="K702" s="15"/>
      <c r="L702" s="15"/>
      <c r="M702" s="15"/>
      <c r="N702" s="15"/>
      <c r="O702" s="15"/>
      <c r="P702" s="15"/>
      <c r="Q702" s="15"/>
      <c r="R702" s="15"/>
      <c r="S702" s="15"/>
      <c r="T702" s="15"/>
      <c r="U702" s="15"/>
      <c r="V702" s="15"/>
      <c r="W702" s="15"/>
      <c r="X702" s="15"/>
      <c r="Y702" s="15"/>
      <c r="Z702" s="15"/>
    </row>
    <row r="703" spans="1:26" x14ac:dyDescent="0.3">
      <c r="A703" s="15"/>
      <c r="B703" s="15"/>
      <c r="C703" s="15"/>
      <c r="D703" s="15"/>
      <c r="E703" s="15"/>
      <c r="F703" s="15"/>
      <c r="G703" s="15"/>
      <c r="H703" s="52"/>
      <c r="I703" s="52"/>
      <c r="J703" s="15"/>
      <c r="K703" s="15"/>
      <c r="L703" s="15"/>
      <c r="M703" s="15"/>
      <c r="N703" s="15"/>
      <c r="O703" s="15"/>
      <c r="P703" s="15"/>
      <c r="Q703" s="15"/>
      <c r="R703" s="15"/>
      <c r="S703" s="15"/>
      <c r="T703" s="15"/>
      <c r="U703" s="15"/>
      <c r="V703" s="15"/>
      <c r="W703" s="15"/>
      <c r="X703" s="15"/>
      <c r="Y703" s="15"/>
      <c r="Z703" s="15"/>
    </row>
    <row r="704" spans="1:26" x14ac:dyDescent="0.3">
      <c r="A704" s="15"/>
      <c r="B704" s="15"/>
      <c r="C704" s="15"/>
      <c r="D704" s="15"/>
      <c r="E704" s="15"/>
      <c r="F704" s="15"/>
      <c r="G704" s="15"/>
      <c r="H704" s="52"/>
      <c r="I704" s="52"/>
      <c r="J704" s="15"/>
      <c r="K704" s="15"/>
      <c r="L704" s="15"/>
      <c r="M704" s="15"/>
      <c r="N704" s="15"/>
      <c r="O704" s="15"/>
      <c r="P704" s="15"/>
      <c r="Q704" s="15"/>
      <c r="R704" s="15"/>
      <c r="S704" s="15"/>
      <c r="T704" s="15"/>
      <c r="U704" s="15"/>
      <c r="V704" s="15"/>
      <c r="W704" s="15"/>
      <c r="X704" s="15"/>
      <c r="Y704" s="15"/>
      <c r="Z704" s="15"/>
    </row>
    <row r="705" spans="1:26" x14ac:dyDescent="0.3">
      <c r="A705" s="15"/>
      <c r="B705" s="15"/>
      <c r="C705" s="15"/>
      <c r="D705" s="15"/>
      <c r="E705" s="15"/>
      <c r="F705" s="15"/>
      <c r="G705" s="15"/>
      <c r="H705" s="52"/>
      <c r="I705" s="52"/>
      <c r="J705" s="15"/>
      <c r="K705" s="15"/>
      <c r="L705" s="15"/>
      <c r="M705" s="15"/>
      <c r="N705" s="15"/>
      <c r="O705" s="15"/>
      <c r="P705" s="15"/>
      <c r="Q705" s="15"/>
      <c r="R705" s="15"/>
      <c r="S705" s="15"/>
      <c r="T705" s="15"/>
      <c r="U705" s="15"/>
      <c r="V705" s="15"/>
      <c r="W705" s="15"/>
      <c r="X705" s="15"/>
      <c r="Y705" s="15"/>
      <c r="Z705" s="15"/>
    </row>
    <row r="706" spans="1:26" x14ac:dyDescent="0.3">
      <c r="A706" s="15"/>
      <c r="B706" s="15"/>
      <c r="C706" s="15"/>
      <c r="D706" s="15"/>
      <c r="E706" s="15"/>
      <c r="F706" s="15"/>
      <c r="G706" s="15"/>
      <c r="H706" s="52"/>
      <c r="I706" s="52"/>
      <c r="J706" s="15"/>
      <c r="K706" s="15"/>
      <c r="L706" s="15"/>
      <c r="M706" s="15"/>
      <c r="N706" s="15"/>
      <c r="O706" s="15"/>
      <c r="P706" s="15"/>
      <c r="Q706" s="15"/>
      <c r="R706" s="15"/>
      <c r="S706" s="15"/>
      <c r="T706" s="15"/>
      <c r="U706" s="15"/>
      <c r="V706" s="15"/>
      <c r="W706" s="15"/>
      <c r="X706" s="15"/>
      <c r="Y706" s="15"/>
      <c r="Z706" s="15"/>
    </row>
    <row r="707" spans="1:26" x14ac:dyDescent="0.3">
      <c r="A707" s="15"/>
      <c r="B707" s="15"/>
      <c r="C707" s="15"/>
      <c r="D707" s="15"/>
      <c r="E707" s="15"/>
      <c r="F707" s="15"/>
      <c r="G707" s="15"/>
      <c r="H707" s="52"/>
      <c r="I707" s="52"/>
      <c r="J707" s="15"/>
      <c r="K707" s="15"/>
      <c r="L707" s="15"/>
      <c r="M707" s="15"/>
      <c r="N707" s="15"/>
      <c r="O707" s="15"/>
      <c r="P707" s="15"/>
      <c r="Q707" s="15"/>
      <c r="R707" s="15"/>
      <c r="S707" s="15"/>
      <c r="T707" s="15"/>
      <c r="U707" s="15"/>
      <c r="V707" s="15"/>
      <c r="W707" s="15"/>
      <c r="X707" s="15"/>
      <c r="Y707" s="15"/>
      <c r="Z707" s="15"/>
    </row>
    <row r="708" spans="1:26" x14ac:dyDescent="0.3">
      <c r="A708" s="15"/>
      <c r="B708" s="15"/>
      <c r="C708" s="15"/>
      <c r="D708" s="15"/>
      <c r="E708" s="15"/>
      <c r="F708" s="15"/>
      <c r="G708" s="15"/>
      <c r="H708" s="52"/>
      <c r="I708" s="52"/>
      <c r="J708" s="15"/>
      <c r="K708" s="15"/>
      <c r="L708" s="15"/>
      <c r="M708" s="15"/>
      <c r="N708" s="15"/>
      <c r="O708" s="15"/>
      <c r="P708" s="15"/>
      <c r="Q708" s="15"/>
      <c r="R708" s="15"/>
      <c r="S708" s="15"/>
      <c r="T708" s="15"/>
      <c r="U708" s="15"/>
      <c r="V708" s="15"/>
      <c r="W708" s="15"/>
      <c r="X708" s="15"/>
      <c r="Y708" s="15"/>
      <c r="Z708" s="15"/>
    </row>
    <row r="709" spans="1:26" x14ac:dyDescent="0.3">
      <c r="A709" s="15"/>
      <c r="B709" s="15"/>
      <c r="C709" s="15"/>
      <c r="D709" s="15"/>
      <c r="E709" s="15"/>
      <c r="F709" s="15"/>
      <c r="G709" s="15"/>
      <c r="H709" s="52"/>
      <c r="I709" s="52"/>
      <c r="J709" s="15"/>
      <c r="K709" s="15"/>
      <c r="L709" s="15"/>
      <c r="M709" s="15"/>
      <c r="N709" s="15"/>
      <c r="O709" s="15"/>
      <c r="P709" s="15"/>
      <c r="Q709" s="15"/>
      <c r="R709" s="15"/>
      <c r="S709" s="15"/>
      <c r="T709" s="15"/>
      <c r="U709" s="15"/>
      <c r="V709" s="15"/>
      <c r="W709" s="15"/>
      <c r="X709" s="15"/>
      <c r="Y709" s="15"/>
      <c r="Z709" s="15"/>
    </row>
    <row r="710" spans="1:26" x14ac:dyDescent="0.3">
      <c r="A710" s="15"/>
      <c r="B710" s="15"/>
      <c r="C710" s="15"/>
      <c r="D710" s="15"/>
      <c r="E710" s="15"/>
      <c r="F710" s="15"/>
      <c r="G710" s="15"/>
      <c r="H710" s="52"/>
      <c r="I710" s="52"/>
      <c r="J710" s="15"/>
      <c r="K710" s="15"/>
      <c r="L710" s="15"/>
      <c r="M710" s="15"/>
      <c r="N710" s="15"/>
      <c r="O710" s="15"/>
      <c r="P710" s="15"/>
      <c r="Q710" s="15"/>
      <c r="R710" s="15"/>
      <c r="S710" s="15"/>
      <c r="T710" s="15"/>
      <c r="U710" s="15"/>
      <c r="V710" s="15"/>
      <c r="W710" s="15"/>
      <c r="X710" s="15"/>
      <c r="Y710" s="15"/>
      <c r="Z710" s="15"/>
    </row>
    <row r="711" spans="1:26" x14ac:dyDescent="0.3">
      <c r="A711" s="15"/>
      <c r="B711" s="15"/>
      <c r="C711" s="15"/>
      <c r="D711" s="15"/>
      <c r="E711" s="15"/>
      <c r="F711" s="15"/>
      <c r="G711" s="15"/>
      <c r="H711" s="52"/>
      <c r="I711" s="52"/>
      <c r="J711" s="15"/>
      <c r="K711" s="15"/>
      <c r="L711" s="15"/>
      <c r="M711" s="15"/>
      <c r="N711" s="15"/>
      <c r="O711" s="15"/>
      <c r="P711" s="15"/>
      <c r="Q711" s="15"/>
      <c r="R711" s="15"/>
      <c r="S711" s="15"/>
      <c r="T711" s="15"/>
      <c r="U711" s="15"/>
      <c r="V711" s="15"/>
      <c r="W711" s="15"/>
      <c r="X711" s="15"/>
      <c r="Y711" s="15"/>
      <c r="Z711" s="15"/>
    </row>
    <row r="712" spans="1:26" x14ac:dyDescent="0.3">
      <c r="A712" s="15"/>
      <c r="B712" s="15"/>
      <c r="C712" s="15"/>
      <c r="D712" s="15"/>
      <c r="E712" s="15"/>
      <c r="F712" s="15"/>
      <c r="G712" s="15"/>
      <c r="H712" s="52"/>
      <c r="I712" s="52"/>
      <c r="J712" s="15"/>
      <c r="K712" s="15"/>
      <c r="L712" s="15"/>
      <c r="M712" s="15"/>
      <c r="N712" s="15"/>
      <c r="O712" s="15"/>
      <c r="P712" s="15"/>
      <c r="Q712" s="15"/>
      <c r="R712" s="15"/>
      <c r="S712" s="15"/>
      <c r="T712" s="15"/>
      <c r="U712" s="15"/>
      <c r="V712" s="15"/>
      <c r="W712" s="15"/>
      <c r="X712" s="15"/>
      <c r="Y712" s="15"/>
      <c r="Z712" s="15"/>
    </row>
    <row r="713" spans="1:26" x14ac:dyDescent="0.3">
      <c r="A713" s="15"/>
      <c r="B713" s="15"/>
      <c r="C713" s="15"/>
      <c r="D713" s="15"/>
      <c r="E713" s="15"/>
      <c r="F713" s="15"/>
      <c r="G713" s="15"/>
      <c r="H713" s="52"/>
      <c r="I713" s="52"/>
      <c r="J713" s="15"/>
      <c r="K713" s="15"/>
      <c r="L713" s="15"/>
      <c r="M713" s="15"/>
      <c r="N713" s="15"/>
      <c r="O713" s="15"/>
      <c r="P713" s="15"/>
      <c r="Q713" s="15"/>
      <c r="R713" s="15"/>
      <c r="S713" s="15"/>
      <c r="T713" s="15"/>
      <c r="U713" s="15"/>
      <c r="V713" s="15"/>
      <c r="W713" s="15"/>
      <c r="X713" s="15"/>
      <c r="Y713" s="15"/>
      <c r="Z713" s="15"/>
    </row>
    <row r="714" spans="1:26" x14ac:dyDescent="0.3">
      <c r="A714" s="15"/>
      <c r="B714" s="15"/>
      <c r="C714" s="15"/>
      <c r="D714" s="15"/>
      <c r="E714" s="15"/>
      <c r="F714" s="15"/>
      <c r="G714" s="15"/>
      <c r="H714" s="52"/>
      <c r="I714" s="52"/>
      <c r="J714" s="15"/>
      <c r="K714" s="15"/>
      <c r="L714" s="15"/>
      <c r="M714" s="15"/>
      <c r="N714" s="15"/>
      <c r="O714" s="15"/>
      <c r="P714" s="15"/>
      <c r="Q714" s="15"/>
      <c r="R714" s="15"/>
      <c r="S714" s="15"/>
      <c r="T714" s="15"/>
      <c r="U714" s="15"/>
      <c r="V714" s="15"/>
      <c r="W714" s="15"/>
      <c r="X714" s="15"/>
      <c r="Y714" s="15"/>
      <c r="Z714" s="15"/>
    </row>
    <row r="715" spans="1:26" x14ac:dyDescent="0.3">
      <c r="A715" s="15"/>
      <c r="B715" s="15"/>
      <c r="C715" s="15"/>
      <c r="D715" s="15"/>
      <c r="E715" s="15"/>
      <c r="F715" s="15"/>
      <c r="G715" s="15"/>
      <c r="H715" s="52"/>
      <c r="I715" s="52"/>
      <c r="J715" s="15"/>
      <c r="K715" s="15"/>
      <c r="L715" s="15"/>
      <c r="M715" s="15"/>
      <c r="N715" s="15"/>
      <c r="O715" s="15"/>
      <c r="P715" s="15"/>
      <c r="Q715" s="15"/>
      <c r="R715" s="15"/>
      <c r="S715" s="15"/>
      <c r="T715" s="15"/>
      <c r="U715" s="15"/>
      <c r="V715" s="15"/>
      <c r="W715" s="15"/>
      <c r="X715" s="15"/>
      <c r="Y715" s="15"/>
      <c r="Z715" s="15"/>
    </row>
    <row r="716" spans="1:26" x14ac:dyDescent="0.3">
      <c r="A716" s="15"/>
      <c r="B716" s="15"/>
      <c r="C716" s="15"/>
      <c r="D716" s="15"/>
      <c r="E716" s="15"/>
      <c r="F716" s="15"/>
      <c r="G716" s="15"/>
      <c r="H716" s="52"/>
      <c r="I716" s="52"/>
      <c r="J716" s="15"/>
      <c r="K716" s="15"/>
      <c r="L716" s="15"/>
      <c r="M716" s="15"/>
      <c r="N716" s="15"/>
      <c r="O716" s="15"/>
      <c r="P716" s="15"/>
      <c r="Q716" s="15"/>
      <c r="R716" s="15"/>
      <c r="S716" s="15"/>
      <c r="T716" s="15"/>
      <c r="U716" s="15"/>
      <c r="V716" s="15"/>
      <c r="W716" s="15"/>
      <c r="X716" s="15"/>
      <c r="Y716" s="15"/>
      <c r="Z716" s="15"/>
    </row>
    <row r="717" spans="1:26" x14ac:dyDescent="0.3">
      <c r="A717" s="15"/>
      <c r="B717" s="15"/>
      <c r="C717" s="15"/>
      <c r="D717" s="15"/>
      <c r="E717" s="15"/>
      <c r="F717" s="15"/>
      <c r="G717" s="15"/>
      <c r="H717" s="52"/>
      <c r="I717" s="52"/>
      <c r="J717" s="15"/>
      <c r="K717" s="15"/>
      <c r="L717" s="15"/>
      <c r="M717" s="15"/>
      <c r="N717" s="15"/>
      <c r="O717" s="15"/>
      <c r="P717" s="15"/>
      <c r="Q717" s="15"/>
      <c r="R717" s="15"/>
      <c r="S717" s="15"/>
      <c r="T717" s="15"/>
      <c r="U717" s="15"/>
      <c r="V717" s="15"/>
      <c r="W717" s="15"/>
      <c r="X717" s="15"/>
      <c r="Y717" s="15"/>
      <c r="Z717" s="15"/>
    </row>
    <row r="718" spans="1:26" x14ac:dyDescent="0.3">
      <c r="A718" s="15"/>
      <c r="B718" s="15"/>
      <c r="C718" s="15"/>
      <c r="D718" s="15"/>
      <c r="E718" s="15"/>
      <c r="F718" s="15"/>
      <c r="G718" s="15"/>
      <c r="H718" s="52"/>
      <c r="I718" s="52"/>
      <c r="J718" s="15"/>
      <c r="K718" s="15"/>
      <c r="L718" s="15"/>
      <c r="M718" s="15"/>
      <c r="N718" s="15"/>
      <c r="O718" s="15"/>
      <c r="P718" s="15"/>
      <c r="Q718" s="15"/>
      <c r="R718" s="15"/>
      <c r="S718" s="15"/>
      <c r="T718" s="15"/>
      <c r="U718" s="15"/>
      <c r="V718" s="15"/>
      <c r="W718" s="15"/>
      <c r="X718" s="15"/>
      <c r="Y718" s="15"/>
      <c r="Z718" s="15"/>
    </row>
    <row r="719" spans="1:26" x14ac:dyDescent="0.3">
      <c r="A719" s="15"/>
      <c r="B719" s="15"/>
      <c r="C719" s="15"/>
      <c r="D719" s="15"/>
      <c r="E719" s="15"/>
      <c r="F719" s="15"/>
      <c r="G719" s="15"/>
      <c r="H719" s="52"/>
      <c r="I719" s="52"/>
      <c r="J719" s="15"/>
      <c r="K719" s="15"/>
      <c r="L719" s="15"/>
      <c r="M719" s="15"/>
      <c r="N719" s="15"/>
      <c r="O719" s="15"/>
      <c r="P719" s="15"/>
      <c r="Q719" s="15"/>
      <c r="R719" s="15"/>
      <c r="S719" s="15"/>
      <c r="T719" s="15"/>
      <c r="U719" s="15"/>
      <c r="V719" s="15"/>
      <c r="W719" s="15"/>
      <c r="X719" s="15"/>
      <c r="Y719" s="15"/>
      <c r="Z719" s="15"/>
    </row>
    <row r="720" spans="1:26" x14ac:dyDescent="0.3">
      <c r="A720" s="15"/>
      <c r="B720" s="15"/>
      <c r="C720" s="15"/>
      <c r="D720" s="15"/>
      <c r="E720" s="15"/>
      <c r="F720" s="15"/>
      <c r="G720" s="15"/>
      <c r="H720" s="52"/>
      <c r="I720" s="52"/>
      <c r="J720" s="15"/>
      <c r="K720" s="15"/>
      <c r="L720" s="15"/>
      <c r="M720" s="15"/>
      <c r="N720" s="15"/>
      <c r="O720" s="15"/>
      <c r="P720" s="15"/>
      <c r="Q720" s="15"/>
      <c r="R720" s="15"/>
      <c r="S720" s="15"/>
      <c r="T720" s="15"/>
      <c r="U720" s="15"/>
      <c r="V720" s="15"/>
      <c r="W720" s="15"/>
      <c r="X720" s="15"/>
      <c r="Y720" s="15"/>
      <c r="Z720" s="15"/>
    </row>
    <row r="721" spans="1:26" x14ac:dyDescent="0.3">
      <c r="A721" s="15"/>
      <c r="B721" s="15"/>
      <c r="C721" s="15"/>
      <c r="D721" s="15"/>
      <c r="E721" s="15"/>
      <c r="F721" s="15"/>
      <c r="G721" s="15"/>
      <c r="H721" s="52"/>
      <c r="I721" s="52"/>
      <c r="J721" s="15"/>
      <c r="K721" s="15"/>
      <c r="L721" s="15"/>
      <c r="M721" s="15"/>
      <c r="N721" s="15"/>
      <c r="O721" s="15"/>
      <c r="P721" s="15"/>
      <c r="Q721" s="15"/>
      <c r="R721" s="15"/>
      <c r="S721" s="15"/>
      <c r="T721" s="15"/>
      <c r="U721" s="15"/>
      <c r="V721" s="15"/>
      <c r="W721" s="15"/>
      <c r="X721" s="15"/>
      <c r="Y721" s="15"/>
      <c r="Z721" s="15"/>
    </row>
    <row r="722" spans="1:26" x14ac:dyDescent="0.3">
      <c r="A722" s="15"/>
      <c r="B722" s="15"/>
      <c r="C722" s="15"/>
      <c r="D722" s="15"/>
      <c r="E722" s="15"/>
      <c r="F722" s="15"/>
      <c r="G722" s="15"/>
      <c r="H722" s="52"/>
      <c r="I722" s="52"/>
      <c r="J722" s="15"/>
      <c r="K722" s="15"/>
      <c r="L722" s="15"/>
      <c r="M722" s="15"/>
      <c r="N722" s="15"/>
      <c r="O722" s="15"/>
      <c r="P722" s="15"/>
      <c r="Q722" s="15"/>
      <c r="R722" s="15"/>
      <c r="S722" s="15"/>
      <c r="T722" s="15"/>
      <c r="U722" s="15"/>
      <c r="V722" s="15"/>
      <c r="W722" s="15"/>
      <c r="X722" s="15"/>
      <c r="Y722" s="15"/>
      <c r="Z722" s="15"/>
    </row>
    <row r="723" spans="1:26" x14ac:dyDescent="0.3">
      <c r="A723" s="15"/>
      <c r="B723" s="15"/>
      <c r="C723" s="15"/>
      <c r="D723" s="15"/>
      <c r="E723" s="15"/>
      <c r="F723" s="15"/>
      <c r="G723" s="15"/>
      <c r="H723" s="52"/>
      <c r="I723" s="52"/>
      <c r="J723" s="15"/>
      <c r="K723" s="15"/>
      <c r="L723" s="15"/>
      <c r="M723" s="15"/>
      <c r="N723" s="15"/>
      <c r="O723" s="15"/>
      <c r="P723" s="15"/>
      <c r="Q723" s="15"/>
      <c r="R723" s="15"/>
      <c r="S723" s="15"/>
      <c r="T723" s="15"/>
      <c r="U723" s="15"/>
      <c r="V723" s="15"/>
      <c r="W723" s="15"/>
      <c r="X723" s="15"/>
      <c r="Y723" s="15"/>
      <c r="Z723" s="15"/>
    </row>
    <row r="724" spans="1:26" x14ac:dyDescent="0.3">
      <c r="A724" s="15"/>
      <c r="B724" s="15"/>
      <c r="C724" s="15"/>
      <c r="D724" s="15"/>
      <c r="E724" s="15"/>
      <c r="F724" s="15"/>
      <c r="G724" s="15"/>
      <c r="H724" s="52"/>
      <c r="I724" s="52"/>
      <c r="J724" s="15"/>
      <c r="K724" s="15"/>
      <c r="L724" s="15"/>
      <c r="M724" s="15"/>
      <c r="N724" s="15"/>
      <c r="O724" s="15"/>
      <c r="P724" s="15"/>
      <c r="Q724" s="15"/>
      <c r="R724" s="15"/>
      <c r="S724" s="15"/>
      <c r="T724" s="15"/>
      <c r="U724" s="15"/>
      <c r="V724" s="15"/>
      <c r="W724" s="15"/>
      <c r="X724" s="15"/>
      <c r="Y724" s="15"/>
      <c r="Z724" s="15"/>
    </row>
    <row r="725" spans="1:26" x14ac:dyDescent="0.3">
      <c r="A725" s="15"/>
      <c r="B725" s="15"/>
      <c r="C725" s="15"/>
      <c r="D725" s="15"/>
      <c r="E725" s="15"/>
      <c r="F725" s="15"/>
      <c r="G725" s="15"/>
      <c r="H725" s="52"/>
      <c r="I725" s="52"/>
      <c r="J725" s="15"/>
      <c r="K725" s="15"/>
      <c r="L725" s="15"/>
      <c r="M725" s="15"/>
      <c r="N725" s="15"/>
      <c r="O725" s="15"/>
      <c r="P725" s="15"/>
      <c r="Q725" s="15"/>
      <c r="R725" s="15"/>
      <c r="S725" s="15"/>
      <c r="T725" s="15"/>
      <c r="U725" s="15"/>
      <c r="V725" s="15"/>
      <c r="W725" s="15"/>
      <c r="X725" s="15"/>
      <c r="Y725" s="15"/>
      <c r="Z725" s="15"/>
    </row>
    <row r="726" spans="1:26" x14ac:dyDescent="0.3">
      <c r="A726" s="15"/>
      <c r="B726" s="15"/>
      <c r="C726" s="15"/>
      <c r="D726" s="15"/>
      <c r="E726" s="15"/>
      <c r="F726" s="15"/>
      <c r="G726" s="15"/>
      <c r="H726" s="52"/>
      <c r="I726" s="52"/>
      <c r="J726" s="15"/>
      <c r="K726" s="15"/>
      <c r="L726" s="15"/>
      <c r="M726" s="15"/>
      <c r="N726" s="15"/>
      <c r="O726" s="15"/>
      <c r="P726" s="15"/>
      <c r="Q726" s="15"/>
      <c r="R726" s="15"/>
      <c r="S726" s="15"/>
      <c r="T726" s="15"/>
      <c r="U726" s="15"/>
      <c r="V726" s="15"/>
      <c r="W726" s="15"/>
      <c r="X726" s="15"/>
      <c r="Y726" s="15"/>
      <c r="Z726" s="15"/>
    </row>
    <row r="727" spans="1:26" x14ac:dyDescent="0.3">
      <c r="A727" s="15"/>
      <c r="B727" s="15"/>
      <c r="C727" s="15"/>
      <c r="D727" s="15"/>
      <c r="E727" s="15"/>
      <c r="F727" s="15"/>
      <c r="G727" s="15"/>
      <c r="H727" s="52"/>
      <c r="I727" s="52"/>
      <c r="J727" s="15"/>
      <c r="K727" s="15"/>
      <c r="L727" s="15"/>
      <c r="M727" s="15"/>
      <c r="N727" s="15"/>
      <c r="O727" s="15"/>
      <c r="P727" s="15"/>
      <c r="Q727" s="15"/>
      <c r="R727" s="15"/>
      <c r="S727" s="15"/>
      <c r="T727" s="15"/>
      <c r="U727" s="15"/>
      <c r="V727" s="15"/>
      <c r="W727" s="15"/>
      <c r="X727" s="15"/>
      <c r="Y727" s="15"/>
      <c r="Z727" s="15"/>
    </row>
    <row r="728" spans="1:26" x14ac:dyDescent="0.3">
      <c r="A728" s="15"/>
      <c r="B728" s="15"/>
      <c r="C728" s="15"/>
      <c r="D728" s="15"/>
      <c r="E728" s="15"/>
      <c r="F728" s="15"/>
      <c r="G728" s="15"/>
      <c r="H728" s="52"/>
      <c r="I728" s="52"/>
      <c r="J728" s="15"/>
      <c r="K728" s="15"/>
      <c r="L728" s="15"/>
      <c r="M728" s="15"/>
      <c r="N728" s="15"/>
      <c r="O728" s="15"/>
      <c r="P728" s="15"/>
      <c r="Q728" s="15"/>
      <c r="R728" s="15"/>
      <c r="S728" s="15"/>
      <c r="T728" s="15"/>
      <c r="U728" s="15"/>
      <c r="V728" s="15"/>
      <c r="W728" s="15"/>
      <c r="X728" s="15"/>
      <c r="Y728" s="15"/>
      <c r="Z728" s="15"/>
    </row>
    <row r="729" spans="1:26" x14ac:dyDescent="0.3">
      <c r="A729" s="15"/>
      <c r="B729" s="15"/>
      <c r="C729" s="15"/>
      <c r="D729" s="15"/>
      <c r="E729" s="15"/>
      <c r="F729" s="15"/>
      <c r="G729" s="15"/>
      <c r="H729" s="52"/>
      <c r="I729" s="52"/>
      <c r="J729" s="15"/>
      <c r="K729" s="15"/>
      <c r="L729" s="15"/>
      <c r="M729" s="15"/>
      <c r="N729" s="15"/>
      <c r="O729" s="15"/>
      <c r="P729" s="15"/>
      <c r="Q729" s="15"/>
      <c r="R729" s="15"/>
      <c r="S729" s="15"/>
      <c r="T729" s="15"/>
      <c r="U729" s="15"/>
      <c r="V729" s="15"/>
      <c r="W729" s="15"/>
      <c r="X729" s="15"/>
      <c r="Y729" s="15"/>
      <c r="Z729" s="15"/>
    </row>
    <row r="730" spans="1:26" x14ac:dyDescent="0.3">
      <c r="A730" s="15"/>
      <c r="B730" s="15"/>
      <c r="C730" s="15"/>
      <c r="D730" s="15"/>
      <c r="E730" s="15"/>
      <c r="F730" s="15"/>
      <c r="G730" s="15"/>
      <c r="H730" s="52"/>
      <c r="I730" s="52"/>
      <c r="J730" s="15"/>
      <c r="K730" s="15"/>
      <c r="L730" s="15"/>
      <c r="M730" s="15"/>
      <c r="N730" s="15"/>
      <c r="O730" s="15"/>
      <c r="P730" s="15"/>
      <c r="Q730" s="15"/>
      <c r="R730" s="15"/>
      <c r="S730" s="15"/>
      <c r="T730" s="15"/>
      <c r="U730" s="15"/>
      <c r="V730" s="15"/>
      <c r="W730" s="15"/>
      <c r="X730" s="15"/>
      <c r="Y730" s="15"/>
      <c r="Z730" s="15"/>
    </row>
    <row r="731" spans="1:26" x14ac:dyDescent="0.3">
      <c r="A731" s="15"/>
      <c r="B731" s="15"/>
      <c r="C731" s="15"/>
      <c r="D731" s="15"/>
      <c r="E731" s="15"/>
      <c r="F731" s="15"/>
      <c r="G731" s="15"/>
      <c r="H731" s="52"/>
      <c r="I731" s="52"/>
      <c r="J731" s="15"/>
      <c r="K731" s="15"/>
      <c r="L731" s="15"/>
      <c r="M731" s="15"/>
      <c r="N731" s="15"/>
      <c r="O731" s="15"/>
      <c r="P731" s="15"/>
      <c r="Q731" s="15"/>
      <c r="R731" s="15"/>
      <c r="S731" s="15"/>
      <c r="T731" s="15"/>
      <c r="U731" s="15"/>
      <c r="V731" s="15"/>
      <c r="W731" s="15"/>
      <c r="X731" s="15"/>
      <c r="Y731" s="15"/>
      <c r="Z731" s="15"/>
    </row>
    <row r="732" spans="1:26" x14ac:dyDescent="0.3">
      <c r="A732" s="15"/>
      <c r="B732" s="15"/>
      <c r="C732" s="15"/>
      <c r="D732" s="15"/>
      <c r="E732" s="15"/>
      <c r="F732" s="15"/>
      <c r="G732" s="15"/>
      <c r="H732" s="52"/>
      <c r="I732" s="52"/>
      <c r="J732" s="15"/>
      <c r="K732" s="15"/>
      <c r="L732" s="15"/>
      <c r="M732" s="15"/>
      <c r="N732" s="15"/>
      <c r="O732" s="15"/>
      <c r="P732" s="15"/>
      <c r="Q732" s="15"/>
      <c r="R732" s="15"/>
      <c r="S732" s="15"/>
      <c r="T732" s="15"/>
      <c r="U732" s="15"/>
      <c r="V732" s="15"/>
      <c r="W732" s="15"/>
      <c r="X732" s="15"/>
      <c r="Y732" s="15"/>
      <c r="Z732" s="15"/>
    </row>
    <row r="733" spans="1:26" x14ac:dyDescent="0.3">
      <c r="A733" s="15"/>
      <c r="B733" s="15"/>
      <c r="C733" s="15"/>
      <c r="D733" s="15"/>
      <c r="E733" s="15"/>
      <c r="F733" s="15"/>
      <c r="G733" s="15"/>
      <c r="H733" s="52"/>
      <c r="I733" s="52"/>
      <c r="J733" s="15"/>
      <c r="K733" s="15"/>
      <c r="L733" s="15"/>
      <c r="M733" s="15"/>
      <c r="N733" s="15"/>
      <c r="O733" s="15"/>
      <c r="P733" s="15"/>
      <c r="Q733" s="15"/>
      <c r="R733" s="15"/>
      <c r="S733" s="15"/>
      <c r="T733" s="15"/>
      <c r="U733" s="15"/>
      <c r="V733" s="15"/>
      <c r="W733" s="15"/>
      <c r="X733" s="15"/>
      <c r="Y733" s="15"/>
      <c r="Z733" s="15"/>
    </row>
    <row r="734" spans="1:26" x14ac:dyDescent="0.3">
      <c r="A734" s="15"/>
      <c r="B734" s="15"/>
      <c r="C734" s="15"/>
      <c r="D734" s="15"/>
      <c r="E734" s="15"/>
      <c r="F734" s="15"/>
      <c r="G734" s="15"/>
      <c r="H734" s="52"/>
      <c r="I734" s="52"/>
      <c r="J734" s="15"/>
      <c r="K734" s="15"/>
      <c r="L734" s="15"/>
      <c r="M734" s="15"/>
      <c r="N734" s="15"/>
      <c r="O734" s="15"/>
      <c r="P734" s="15"/>
      <c r="Q734" s="15"/>
      <c r="R734" s="15"/>
      <c r="S734" s="15"/>
      <c r="T734" s="15"/>
      <c r="U734" s="15"/>
      <c r="V734" s="15"/>
      <c r="W734" s="15"/>
      <c r="X734" s="15"/>
      <c r="Y734" s="15"/>
      <c r="Z734" s="15"/>
    </row>
    <row r="735" spans="1:26" x14ac:dyDescent="0.3">
      <c r="A735" s="15"/>
      <c r="B735" s="15"/>
      <c r="C735" s="15"/>
      <c r="D735" s="15"/>
      <c r="E735" s="15"/>
      <c r="F735" s="15"/>
      <c r="G735" s="15"/>
      <c r="H735" s="52"/>
      <c r="I735" s="52"/>
      <c r="J735" s="15"/>
      <c r="K735" s="15"/>
      <c r="L735" s="15"/>
      <c r="M735" s="15"/>
      <c r="N735" s="15"/>
      <c r="O735" s="15"/>
      <c r="P735" s="15"/>
      <c r="Q735" s="15"/>
      <c r="R735" s="15"/>
      <c r="S735" s="15"/>
      <c r="T735" s="15"/>
      <c r="U735" s="15"/>
      <c r="V735" s="15"/>
      <c r="W735" s="15"/>
      <c r="X735" s="15"/>
      <c r="Y735" s="15"/>
      <c r="Z735" s="15"/>
    </row>
    <row r="736" spans="1:26" x14ac:dyDescent="0.3">
      <c r="A736" s="15"/>
      <c r="B736" s="15"/>
      <c r="C736" s="15"/>
      <c r="D736" s="15"/>
      <c r="E736" s="15"/>
      <c r="F736" s="15"/>
      <c r="G736" s="15"/>
      <c r="H736" s="52"/>
      <c r="I736" s="52"/>
      <c r="J736" s="15"/>
      <c r="K736" s="15"/>
      <c r="L736" s="15"/>
      <c r="M736" s="15"/>
      <c r="N736" s="15"/>
      <c r="O736" s="15"/>
      <c r="P736" s="15"/>
      <c r="Q736" s="15"/>
      <c r="R736" s="15"/>
      <c r="S736" s="15"/>
      <c r="T736" s="15"/>
      <c r="U736" s="15"/>
      <c r="V736" s="15"/>
      <c r="W736" s="15"/>
      <c r="X736" s="15"/>
      <c r="Y736" s="15"/>
      <c r="Z736" s="15"/>
    </row>
    <row r="737" spans="1:26" x14ac:dyDescent="0.3">
      <c r="A737" s="15"/>
      <c r="B737" s="15"/>
      <c r="C737" s="15"/>
      <c r="D737" s="15"/>
      <c r="E737" s="15"/>
      <c r="F737" s="15"/>
      <c r="G737" s="15"/>
      <c r="H737" s="52"/>
      <c r="I737" s="52"/>
      <c r="J737" s="15"/>
      <c r="K737" s="15"/>
      <c r="L737" s="15"/>
      <c r="M737" s="15"/>
      <c r="N737" s="15"/>
      <c r="O737" s="15"/>
      <c r="P737" s="15"/>
      <c r="Q737" s="15"/>
      <c r="R737" s="15"/>
      <c r="S737" s="15"/>
      <c r="T737" s="15"/>
      <c r="U737" s="15"/>
      <c r="V737" s="15"/>
      <c r="W737" s="15"/>
      <c r="X737" s="15"/>
      <c r="Y737" s="15"/>
      <c r="Z737" s="15"/>
    </row>
    <row r="738" spans="1:26" x14ac:dyDescent="0.3">
      <c r="A738" s="15"/>
      <c r="B738" s="15"/>
      <c r="C738" s="15"/>
      <c r="D738" s="15"/>
      <c r="E738" s="15"/>
      <c r="F738" s="15"/>
      <c r="G738" s="15"/>
      <c r="H738" s="52"/>
      <c r="I738" s="52"/>
      <c r="J738" s="15"/>
      <c r="K738" s="15"/>
      <c r="L738" s="15"/>
      <c r="M738" s="15"/>
      <c r="N738" s="15"/>
      <c r="O738" s="15"/>
      <c r="P738" s="15"/>
      <c r="Q738" s="15"/>
      <c r="R738" s="15"/>
      <c r="S738" s="15"/>
      <c r="T738" s="15"/>
      <c r="U738" s="15"/>
      <c r="V738" s="15"/>
      <c r="W738" s="15"/>
      <c r="X738" s="15"/>
      <c r="Y738" s="15"/>
      <c r="Z738" s="15"/>
    </row>
    <row r="739" spans="1:26" x14ac:dyDescent="0.3">
      <c r="A739" s="15"/>
      <c r="B739" s="15"/>
      <c r="C739" s="15"/>
      <c r="D739" s="15"/>
      <c r="E739" s="15"/>
      <c r="F739" s="15"/>
      <c r="G739" s="15"/>
      <c r="H739" s="52"/>
      <c r="I739" s="52"/>
      <c r="J739" s="15"/>
      <c r="K739" s="15"/>
      <c r="L739" s="15"/>
      <c r="M739" s="15"/>
      <c r="N739" s="15"/>
      <c r="O739" s="15"/>
      <c r="P739" s="15"/>
      <c r="Q739" s="15"/>
      <c r="R739" s="15"/>
      <c r="S739" s="15"/>
      <c r="T739" s="15"/>
      <c r="U739" s="15"/>
      <c r="V739" s="15"/>
      <c r="W739" s="15"/>
      <c r="X739" s="15"/>
      <c r="Y739" s="15"/>
      <c r="Z739" s="15"/>
    </row>
    <row r="740" spans="1:26" x14ac:dyDescent="0.3">
      <c r="A740" s="15"/>
      <c r="B740" s="15"/>
      <c r="C740" s="15"/>
      <c r="D740" s="15"/>
      <c r="E740" s="15"/>
      <c r="F740" s="15"/>
      <c r="G740" s="15"/>
      <c r="H740" s="52"/>
      <c r="I740" s="52"/>
      <c r="J740" s="15"/>
      <c r="K740" s="15"/>
      <c r="L740" s="15"/>
      <c r="M740" s="15"/>
      <c r="N740" s="15"/>
      <c r="O740" s="15"/>
      <c r="P740" s="15"/>
      <c r="Q740" s="15"/>
      <c r="R740" s="15"/>
      <c r="S740" s="15"/>
      <c r="T740" s="15"/>
      <c r="U740" s="15"/>
      <c r="V740" s="15"/>
      <c r="W740" s="15"/>
      <c r="X740" s="15"/>
      <c r="Y740" s="15"/>
      <c r="Z740" s="15"/>
    </row>
    <row r="741" spans="1:26" x14ac:dyDescent="0.3">
      <c r="A741" s="15"/>
      <c r="B741" s="15"/>
      <c r="C741" s="15"/>
      <c r="D741" s="15"/>
      <c r="E741" s="15"/>
      <c r="F741" s="15"/>
      <c r="G741" s="15"/>
      <c r="H741" s="52"/>
      <c r="I741" s="52"/>
      <c r="J741" s="15"/>
      <c r="K741" s="15"/>
      <c r="L741" s="15"/>
      <c r="M741" s="15"/>
      <c r="N741" s="15"/>
      <c r="O741" s="15"/>
      <c r="P741" s="15"/>
      <c r="Q741" s="15"/>
      <c r="R741" s="15"/>
      <c r="S741" s="15"/>
      <c r="T741" s="15"/>
      <c r="U741" s="15"/>
      <c r="V741" s="15"/>
      <c r="W741" s="15"/>
      <c r="X741" s="15"/>
      <c r="Y741" s="15"/>
      <c r="Z741" s="15"/>
    </row>
    <row r="742" spans="1:26" x14ac:dyDescent="0.3">
      <c r="A742" s="15"/>
      <c r="B742" s="15"/>
      <c r="C742" s="15"/>
      <c r="D742" s="15"/>
      <c r="E742" s="15"/>
      <c r="F742" s="15"/>
      <c r="G742" s="15"/>
      <c r="H742" s="52"/>
      <c r="I742" s="52"/>
      <c r="J742" s="15"/>
      <c r="K742" s="15"/>
      <c r="L742" s="15"/>
      <c r="M742" s="15"/>
      <c r="N742" s="15"/>
      <c r="O742" s="15"/>
      <c r="P742" s="15"/>
      <c r="Q742" s="15"/>
      <c r="R742" s="15"/>
      <c r="S742" s="15"/>
      <c r="T742" s="15"/>
      <c r="U742" s="15"/>
      <c r="V742" s="15"/>
      <c r="W742" s="15"/>
      <c r="X742" s="15"/>
      <c r="Y742" s="15"/>
      <c r="Z742" s="15"/>
    </row>
    <row r="743" spans="1:26" x14ac:dyDescent="0.3">
      <c r="A743" s="15"/>
      <c r="B743" s="15"/>
      <c r="C743" s="15"/>
      <c r="D743" s="15"/>
      <c r="E743" s="15"/>
      <c r="F743" s="15"/>
      <c r="G743" s="15"/>
      <c r="H743" s="52"/>
      <c r="I743" s="52"/>
      <c r="J743" s="15"/>
      <c r="K743" s="15"/>
      <c r="L743" s="15"/>
      <c r="M743" s="15"/>
      <c r="N743" s="15"/>
      <c r="O743" s="15"/>
      <c r="P743" s="15"/>
      <c r="Q743" s="15"/>
      <c r="R743" s="15"/>
      <c r="S743" s="15"/>
      <c r="T743" s="15"/>
      <c r="U743" s="15"/>
      <c r="V743" s="15"/>
      <c r="W743" s="15"/>
      <c r="X743" s="15"/>
      <c r="Y743" s="15"/>
      <c r="Z743" s="15"/>
    </row>
    <row r="744" spans="1:26" x14ac:dyDescent="0.3">
      <c r="A744" s="15"/>
      <c r="B744" s="15"/>
      <c r="C744" s="15"/>
      <c r="D744" s="15"/>
      <c r="E744" s="15"/>
      <c r="F744" s="15"/>
      <c r="G744" s="15"/>
      <c r="H744" s="52"/>
      <c r="I744" s="52"/>
      <c r="J744" s="15"/>
      <c r="K744" s="15"/>
      <c r="L744" s="15"/>
      <c r="M744" s="15"/>
      <c r="N744" s="15"/>
      <c r="O744" s="15"/>
      <c r="P744" s="15"/>
      <c r="Q744" s="15"/>
      <c r="R744" s="15"/>
      <c r="S744" s="15"/>
      <c r="T744" s="15"/>
      <c r="U744" s="15"/>
      <c r="V744" s="15"/>
      <c r="W744" s="15"/>
      <c r="X744" s="15"/>
      <c r="Y744" s="15"/>
      <c r="Z744" s="15"/>
    </row>
    <row r="745" spans="1:26" x14ac:dyDescent="0.3">
      <c r="A745" s="15"/>
      <c r="B745" s="15"/>
      <c r="C745" s="15"/>
      <c r="D745" s="15"/>
      <c r="E745" s="15"/>
      <c r="F745" s="15"/>
      <c r="G745" s="15"/>
      <c r="H745" s="52"/>
      <c r="I745" s="52"/>
      <c r="J745" s="15"/>
      <c r="K745" s="15"/>
      <c r="L745" s="15"/>
      <c r="M745" s="15"/>
      <c r="N745" s="15"/>
      <c r="O745" s="15"/>
      <c r="P745" s="15"/>
      <c r="Q745" s="15"/>
      <c r="R745" s="15"/>
      <c r="S745" s="15"/>
      <c r="T745" s="15"/>
      <c r="U745" s="15"/>
      <c r="V745" s="15"/>
      <c r="W745" s="15"/>
      <c r="X745" s="15"/>
      <c r="Y745" s="15"/>
      <c r="Z745" s="15"/>
    </row>
    <row r="746" spans="1:26" x14ac:dyDescent="0.3">
      <c r="A746" s="15"/>
      <c r="B746" s="15"/>
      <c r="C746" s="15"/>
      <c r="D746" s="15"/>
      <c r="E746" s="15"/>
      <c r="F746" s="15"/>
      <c r="G746" s="15"/>
      <c r="H746" s="52"/>
      <c r="I746" s="52"/>
      <c r="J746" s="15"/>
      <c r="K746" s="15"/>
      <c r="L746" s="15"/>
      <c r="M746" s="15"/>
      <c r="N746" s="15"/>
      <c r="O746" s="15"/>
      <c r="P746" s="15"/>
      <c r="Q746" s="15"/>
      <c r="R746" s="15"/>
      <c r="S746" s="15"/>
      <c r="T746" s="15"/>
      <c r="U746" s="15"/>
      <c r="V746" s="15"/>
      <c r="W746" s="15"/>
      <c r="X746" s="15"/>
      <c r="Y746" s="15"/>
      <c r="Z746" s="15"/>
    </row>
    <row r="747" spans="1:26" x14ac:dyDescent="0.3">
      <c r="A747" s="15"/>
      <c r="B747" s="15"/>
      <c r="C747" s="15"/>
      <c r="D747" s="15"/>
      <c r="E747" s="15"/>
      <c r="F747" s="15"/>
      <c r="G747" s="15"/>
      <c r="H747" s="52"/>
      <c r="I747" s="52"/>
      <c r="J747" s="15"/>
      <c r="K747" s="15"/>
      <c r="L747" s="15"/>
      <c r="M747" s="15"/>
      <c r="N747" s="15"/>
      <c r="O747" s="15"/>
      <c r="P747" s="15"/>
      <c r="Q747" s="15"/>
      <c r="R747" s="15"/>
      <c r="S747" s="15"/>
      <c r="T747" s="15"/>
      <c r="U747" s="15"/>
      <c r="V747" s="15"/>
      <c r="W747" s="15"/>
      <c r="X747" s="15"/>
      <c r="Y747" s="15"/>
      <c r="Z747" s="15"/>
    </row>
    <row r="748" spans="1:26" x14ac:dyDescent="0.3">
      <c r="A748" s="15"/>
      <c r="B748" s="15"/>
      <c r="C748" s="15"/>
      <c r="D748" s="15"/>
      <c r="E748" s="15"/>
      <c r="F748" s="15"/>
      <c r="G748" s="15"/>
      <c r="H748" s="52"/>
      <c r="I748" s="52"/>
      <c r="J748" s="15"/>
      <c r="K748" s="15"/>
      <c r="L748" s="15"/>
      <c r="M748" s="15"/>
      <c r="N748" s="15"/>
      <c r="O748" s="15"/>
      <c r="P748" s="15"/>
      <c r="Q748" s="15"/>
      <c r="R748" s="15"/>
      <c r="S748" s="15"/>
      <c r="T748" s="15"/>
      <c r="U748" s="15"/>
      <c r="V748" s="15"/>
      <c r="W748" s="15"/>
      <c r="X748" s="15"/>
      <c r="Y748" s="15"/>
      <c r="Z748" s="15"/>
    </row>
    <row r="749" spans="1:26" x14ac:dyDescent="0.3">
      <c r="A749" s="15"/>
      <c r="B749" s="15"/>
      <c r="C749" s="15"/>
      <c r="D749" s="15"/>
      <c r="E749" s="15"/>
      <c r="F749" s="15"/>
      <c r="G749" s="15"/>
      <c r="H749" s="52"/>
      <c r="I749" s="52"/>
      <c r="J749" s="15"/>
      <c r="K749" s="15"/>
      <c r="L749" s="15"/>
      <c r="M749" s="15"/>
      <c r="N749" s="15"/>
      <c r="O749" s="15"/>
      <c r="P749" s="15"/>
      <c r="Q749" s="15"/>
      <c r="R749" s="15"/>
      <c r="S749" s="15"/>
      <c r="T749" s="15"/>
      <c r="U749" s="15"/>
      <c r="V749" s="15"/>
      <c r="W749" s="15"/>
      <c r="X749" s="15"/>
      <c r="Y749" s="15"/>
      <c r="Z749" s="15"/>
    </row>
    <row r="750" spans="1:26" x14ac:dyDescent="0.3">
      <c r="A750" s="15"/>
      <c r="B750" s="15"/>
      <c r="C750" s="15"/>
      <c r="D750" s="15"/>
      <c r="E750" s="15"/>
      <c r="F750" s="15"/>
      <c r="G750" s="15"/>
      <c r="H750" s="52"/>
      <c r="I750" s="52"/>
      <c r="J750" s="15"/>
      <c r="K750" s="15"/>
      <c r="L750" s="15"/>
      <c r="M750" s="15"/>
      <c r="N750" s="15"/>
      <c r="O750" s="15"/>
      <c r="P750" s="15"/>
      <c r="Q750" s="15"/>
      <c r="R750" s="15"/>
      <c r="S750" s="15"/>
      <c r="T750" s="15"/>
      <c r="U750" s="15"/>
      <c r="V750" s="15"/>
      <c r="W750" s="15"/>
      <c r="X750" s="15"/>
      <c r="Y750" s="15"/>
      <c r="Z750" s="15"/>
    </row>
    <row r="751" spans="1:26" x14ac:dyDescent="0.3">
      <c r="A751" s="15"/>
      <c r="B751" s="15"/>
      <c r="C751" s="15"/>
      <c r="D751" s="15"/>
      <c r="E751" s="15"/>
      <c r="F751" s="15"/>
      <c r="G751" s="15"/>
      <c r="H751" s="52"/>
      <c r="I751" s="52"/>
      <c r="J751" s="15"/>
      <c r="K751" s="15"/>
      <c r="L751" s="15"/>
      <c r="M751" s="15"/>
      <c r="N751" s="15"/>
      <c r="O751" s="15"/>
      <c r="P751" s="15"/>
      <c r="Q751" s="15"/>
      <c r="R751" s="15"/>
      <c r="S751" s="15"/>
      <c r="T751" s="15"/>
      <c r="U751" s="15"/>
      <c r="V751" s="15"/>
      <c r="W751" s="15"/>
      <c r="X751" s="15"/>
      <c r="Y751" s="15"/>
      <c r="Z751" s="15"/>
    </row>
    <row r="752" spans="1:26" x14ac:dyDescent="0.3">
      <c r="A752" s="15"/>
      <c r="B752" s="15"/>
      <c r="C752" s="15"/>
      <c r="D752" s="15"/>
      <c r="E752" s="15"/>
      <c r="F752" s="15"/>
      <c r="G752" s="15"/>
      <c r="H752" s="52"/>
      <c r="I752" s="52"/>
      <c r="J752" s="15"/>
      <c r="K752" s="15"/>
      <c r="L752" s="15"/>
      <c r="M752" s="15"/>
      <c r="N752" s="15"/>
      <c r="O752" s="15"/>
      <c r="P752" s="15"/>
      <c r="Q752" s="15"/>
      <c r="R752" s="15"/>
      <c r="S752" s="15"/>
      <c r="T752" s="15"/>
      <c r="U752" s="15"/>
      <c r="V752" s="15"/>
      <c r="W752" s="15"/>
      <c r="X752" s="15"/>
      <c r="Y752" s="15"/>
      <c r="Z752" s="15"/>
    </row>
    <row r="753" spans="1:26" x14ac:dyDescent="0.3">
      <c r="A753" s="15"/>
      <c r="B753" s="15"/>
      <c r="C753" s="15"/>
      <c r="D753" s="15"/>
      <c r="E753" s="15"/>
      <c r="F753" s="15"/>
      <c r="G753" s="15"/>
      <c r="H753" s="52"/>
      <c r="I753" s="52"/>
      <c r="J753" s="15"/>
      <c r="K753" s="15"/>
      <c r="L753" s="15"/>
      <c r="M753" s="15"/>
      <c r="N753" s="15"/>
      <c r="O753" s="15"/>
      <c r="P753" s="15"/>
      <c r="Q753" s="15"/>
      <c r="R753" s="15"/>
      <c r="S753" s="15"/>
      <c r="T753" s="15"/>
      <c r="U753" s="15"/>
      <c r="V753" s="15"/>
      <c r="W753" s="15"/>
      <c r="X753" s="15"/>
      <c r="Y753" s="15"/>
      <c r="Z753" s="15"/>
    </row>
    <row r="754" spans="1:26" x14ac:dyDescent="0.3">
      <c r="A754" s="15"/>
      <c r="B754" s="15"/>
      <c r="C754" s="15"/>
      <c r="D754" s="15"/>
      <c r="E754" s="15"/>
      <c r="F754" s="15"/>
      <c r="G754" s="15"/>
      <c r="H754" s="52"/>
      <c r="I754" s="52"/>
      <c r="J754" s="15"/>
      <c r="K754" s="15"/>
      <c r="L754" s="15"/>
      <c r="M754" s="15"/>
      <c r="N754" s="15"/>
      <c r="O754" s="15"/>
      <c r="P754" s="15"/>
      <c r="Q754" s="15"/>
      <c r="R754" s="15"/>
      <c r="S754" s="15"/>
      <c r="T754" s="15"/>
      <c r="U754" s="15"/>
      <c r="V754" s="15"/>
      <c r="W754" s="15"/>
      <c r="X754" s="15"/>
      <c r="Y754" s="15"/>
      <c r="Z754" s="15"/>
    </row>
    <row r="755" spans="1:26" x14ac:dyDescent="0.3">
      <c r="A755" s="15"/>
      <c r="B755" s="15"/>
      <c r="C755" s="15"/>
      <c r="D755" s="15"/>
      <c r="E755" s="15"/>
      <c r="F755" s="15"/>
      <c r="G755" s="15"/>
      <c r="H755" s="52"/>
      <c r="I755" s="52"/>
      <c r="J755" s="15"/>
      <c r="K755" s="15"/>
      <c r="L755" s="15"/>
      <c r="M755" s="15"/>
      <c r="N755" s="15"/>
      <c r="O755" s="15"/>
      <c r="P755" s="15"/>
      <c r="Q755" s="15"/>
      <c r="R755" s="15"/>
      <c r="S755" s="15"/>
      <c r="T755" s="15"/>
      <c r="U755" s="15"/>
      <c r="V755" s="15"/>
      <c r="W755" s="15"/>
      <c r="X755" s="15"/>
      <c r="Y755" s="15"/>
      <c r="Z755" s="15"/>
    </row>
    <row r="756" spans="1:26" x14ac:dyDescent="0.3">
      <c r="A756" s="15"/>
      <c r="B756" s="15"/>
      <c r="C756" s="15"/>
      <c r="D756" s="15"/>
      <c r="E756" s="15"/>
      <c r="F756" s="15"/>
      <c r="G756" s="15"/>
      <c r="H756" s="52"/>
      <c r="I756" s="52"/>
      <c r="J756" s="15"/>
      <c r="K756" s="15"/>
      <c r="L756" s="15"/>
      <c r="M756" s="15"/>
      <c r="N756" s="15"/>
      <c r="O756" s="15"/>
      <c r="P756" s="15"/>
      <c r="Q756" s="15"/>
      <c r="R756" s="15"/>
      <c r="S756" s="15"/>
      <c r="T756" s="15"/>
      <c r="U756" s="15"/>
      <c r="V756" s="15"/>
      <c r="W756" s="15"/>
      <c r="X756" s="15"/>
      <c r="Y756" s="15"/>
      <c r="Z756" s="15"/>
    </row>
    <row r="757" spans="1:26" x14ac:dyDescent="0.3">
      <c r="A757" s="15"/>
      <c r="B757" s="15"/>
      <c r="C757" s="15"/>
      <c r="D757" s="15"/>
      <c r="E757" s="15"/>
      <c r="F757" s="15"/>
      <c r="G757" s="15"/>
      <c r="H757" s="52"/>
      <c r="I757" s="52"/>
      <c r="J757" s="15"/>
      <c r="K757" s="15"/>
      <c r="L757" s="15"/>
      <c r="M757" s="15"/>
      <c r="N757" s="15"/>
      <c r="O757" s="15"/>
      <c r="P757" s="15"/>
      <c r="Q757" s="15"/>
      <c r="R757" s="15"/>
      <c r="S757" s="15"/>
      <c r="T757" s="15"/>
      <c r="U757" s="15"/>
      <c r="V757" s="15"/>
      <c r="W757" s="15"/>
      <c r="X757" s="15"/>
      <c r="Y757" s="15"/>
      <c r="Z757" s="15"/>
    </row>
    <row r="758" spans="1:26" x14ac:dyDescent="0.3">
      <c r="A758" s="15"/>
      <c r="B758" s="15"/>
      <c r="C758" s="15"/>
      <c r="D758" s="15"/>
      <c r="E758" s="15"/>
      <c r="F758" s="15"/>
      <c r="G758" s="15"/>
      <c r="H758" s="52"/>
      <c r="I758" s="52"/>
      <c r="J758" s="15"/>
      <c r="K758" s="15"/>
      <c r="L758" s="15"/>
      <c r="M758" s="15"/>
      <c r="N758" s="15"/>
      <c r="O758" s="15"/>
      <c r="P758" s="15"/>
      <c r="Q758" s="15"/>
      <c r="R758" s="15"/>
      <c r="S758" s="15"/>
      <c r="T758" s="15"/>
      <c r="U758" s="15"/>
      <c r="V758" s="15"/>
      <c r="W758" s="15"/>
      <c r="X758" s="15"/>
      <c r="Y758" s="15"/>
      <c r="Z758" s="15"/>
    </row>
    <row r="759" spans="1:26" x14ac:dyDescent="0.3">
      <c r="A759" s="15"/>
      <c r="B759" s="15"/>
      <c r="C759" s="15"/>
      <c r="D759" s="15"/>
      <c r="E759" s="15"/>
      <c r="F759" s="15"/>
      <c r="G759" s="15"/>
      <c r="H759" s="52"/>
      <c r="I759" s="52"/>
      <c r="J759" s="15"/>
      <c r="K759" s="15"/>
      <c r="L759" s="15"/>
      <c r="M759" s="15"/>
      <c r="N759" s="15"/>
      <c r="O759" s="15"/>
      <c r="P759" s="15"/>
      <c r="Q759" s="15"/>
      <c r="R759" s="15"/>
      <c r="S759" s="15"/>
      <c r="T759" s="15"/>
      <c r="U759" s="15"/>
      <c r="V759" s="15"/>
      <c r="W759" s="15"/>
      <c r="X759" s="15"/>
      <c r="Y759" s="15"/>
      <c r="Z759" s="15"/>
    </row>
    <row r="760" spans="1:26" x14ac:dyDescent="0.3">
      <c r="A760" s="15"/>
      <c r="B760" s="15"/>
      <c r="C760" s="15"/>
      <c r="D760" s="15"/>
      <c r="E760" s="15"/>
      <c r="F760" s="15"/>
      <c r="G760" s="15"/>
      <c r="H760" s="52"/>
      <c r="I760" s="52"/>
      <c r="J760" s="15"/>
      <c r="K760" s="15"/>
      <c r="L760" s="15"/>
      <c r="M760" s="15"/>
      <c r="N760" s="15"/>
      <c r="O760" s="15"/>
      <c r="P760" s="15"/>
      <c r="Q760" s="15"/>
      <c r="R760" s="15"/>
      <c r="S760" s="15"/>
      <c r="T760" s="15"/>
      <c r="U760" s="15"/>
      <c r="V760" s="15"/>
      <c r="W760" s="15"/>
      <c r="X760" s="15"/>
      <c r="Y760" s="15"/>
      <c r="Z760" s="15"/>
    </row>
    <row r="761" spans="1:26" x14ac:dyDescent="0.3">
      <c r="A761" s="15"/>
      <c r="B761" s="15"/>
      <c r="C761" s="15"/>
      <c r="D761" s="15"/>
      <c r="E761" s="15"/>
      <c r="F761" s="15"/>
      <c r="G761" s="15"/>
      <c r="H761" s="52"/>
      <c r="I761" s="52"/>
      <c r="J761" s="15"/>
      <c r="K761" s="15"/>
      <c r="L761" s="15"/>
      <c r="M761" s="15"/>
      <c r="N761" s="15"/>
      <c r="O761" s="15"/>
      <c r="P761" s="15"/>
      <c r="Q761" s="15"/>
      <c r="R761" s="15"/>
      <c r="S761" s="15"/>
      <c r="T761" s="15"/>
      <c r="U761" s="15"/>
      <c r="V761" s="15"/>
      <c r="W761" s="15"/>
      <c r="X761" s="15"/>
      <c r="Y761" s="15"/>
      <c r="Z761" s="15"/>
    </row>
    <row r="762" spans="1:26" x14ac:dyDescent="0.3">
      <c r="A762" s="15"/>
      <c r="B762" s="15"/>
      <c r="C762" s="15"/>
      <c r="D762" s="15"/>
      <c r="E762" s="15"/>
      <c r="F762" s="15"/>
      <c r="G762" s="15"/>
      <c r="H762" s="52"/>
      <c r="I762" s="52"/>
      <c r="J762" s="15"/>
      <c r="K762" s="15"/>
      <c r="L762" s="15"/>
      <c r="M762" s="15"/>
      <c r="N762" s="15"/>
      <c r="O762" s="15"/>
      <c r="P762" s="15"/>
      <c r="Q762" s="15"/>
      <c r="R762" s="15"/>
      <c r="S762" s="15"/>
      <c r="T762" s="15"/>
      <c r="U762" s="15"/>
      <c r="V762" s="15"/>
      <c r="W762" s="15"/>
      <c r="X762" s="15"/>
      <c r="Y762" s="15"/>
      <c r="Z762" s="15"/>
    </row>
    <row r="763" spans="1:26" x14ac:dyDescent="0.3">
      <c r="A763" s="15"/>
      <c r="B763" s="15"/>
      <c r="C763" s="15"/>
      <c r="D763" s="15"/>
      <c r="E763" s="15"/>
      <c r="F763" s="15"/>
      <c r="G763" s="15"/>
      <c r="H763" s="52"/>
      <c r="I763" s="52"/>
      <c r="J763" s="15"/>
      <c r="K763" s="15"/>
      <c r="L763" s="15"/>
      <c r="M763" s="15"/>
      <c r="N763" s="15"/>
      <c r="O763" s="15"/>
      <c r="P763" s="15"/>
      <c r="Q763" s="15"/>
      <c r="R763" s="15"/>
      <c r="S763" s="15"/>
      <c r="T763" s="15"/>
      <c r="U763" s="15"/>
      <c r="V763" s="15"/>
      <c r="W763" s="15"/>
      <c r="X763" s="15"/>
      <c r="Y763" s="15"/>
      <c r="Z763" s="15"/>
    </row>
    <row r="764" spans="1:26" x14ac:dyDescent="0.3">
      <c r="A764" s="15"/>
      <c r="B764" s="15"/>
      <c r="C764" s="15"/>
      <c r="D764" s="15"/>
      <c r="E764" s="15"/>
      <c r="F764" s="15"/>
      <c r="G764" s="15"/>
      <c r="H764" s="52"/>
      <c r="I764" s="52"/>
      <c r="J764" s="15"/>
      <c r="K764" s="15"/>
      <c r="L764" s="15"/>
      <c r="M764" s="15"/>
      <c r="N764" s="15"/>
      <c r="O764" s="15"/>
      <c r="P764" s="15"/>
      <c r="Q764" s="15"/>
      <c r="R764" s="15"/>
      <c r="S764" s="15"/>
      <c r="T764" s="15"/>
      <c r="U764" s="15"/>
      <c r="V764" s="15"/>
      <c r="W764" s="15"/>
      <c r="X764" s="15"/>
      <c r="Y764" s="15"/>
      <c r="Z764" s="15"/>
    </row>
    <row r="765" spans="1:26" x14ac:dyDescent="0.3">
      <c r="A765" s="15"/>
      <c r="B765" s="15"/>
      <c r="C765" s="15"/>
      <c r="D765" s="15"/>
      <c r="E765" s="15"/>
      <c r="F765" s="15"/>
      <c r="G765" s="15"/>
      <c r="H765" s="52"/>
      <c r="I765" s="52"/>
      <c r="J765" s="15"/>
      <c r="K765" s="15"/>
      <c r="L765" s="15"/>
      <c r="M765" s="15"/>
      <c r="N765" s="15"/>
      <c r="O765" s="15"/>
      <c r="P765" s="15"/>
      <c r="Q765" s="15"/>
      <c r="R765" s="15"/>
      <c r="S765" s="15"/>
      <c r="T765" s="15"/>
      <c r="U765" s="15"/>
      <c r="V765" s="15"/>
      <c r="W765" s="15"/>
      <c r="X765" s="15"/>
      <c r="Y765" s="15"/>
      <c r="Z765" s="15"/>
    </row>
    <row r="766" spans="1:26" x14ac:dyDescent="0.3">
      <c r="A766" s="15"/>
      <c r="B766" s="15"/>
      <c r="C766" s="15"/>
      <c r="D766" s="15"/>
      <c r="E766" s="15"/>
      <c r="F766" s="15"/>
      <c r="G766" s="15"/>
      <c r="H766" s="52"/>
      <c r="I766" s="52"/>
      <c r="J766" s="15"/>
      <c r="K766" s="15"/>
      <c r="L766" s="15"/>
      <c r="M766" s="15"/>
      <c r="N766" s="15"/>
      <c r="O766" s="15"/>
      <c r="P766" s="15"/>
      <c r="Q766" s="15"/>
      <c r="R766" s="15"/>
      <c r="S766" s="15"/>
      <c r="T766" s="15"/>
      <c r="U766" s="15"/>
      <c r="V766" s="15"/>
      <c r="W766" s="15"/>
      <c r="X766" s="15"/>
      <c r="Y766" s="15"/>
      <c r="Z766" s="15"/>
    </row>
    <row r="767" spans="1:26" x14ac:dyDescent="0.3">
      <c r="A767" s="15"/>
      <c r="B767" s="15"/>
      <c r="C767" s="15"/>
      <c r="D767" s="15"/>
      <c r="E767" s="15"/>
      <c r="F767" s="15"/>
      <c r="G767" s="15"/>
      <c r="H767" s="52"/>
      <c r="I767" s="52"/>
      <c r="J767" s="15"/>
      <c r="K767" s="15"/>
      <c r="L767" s="15"/>
      <c r="M767" s="15"/>
      <c r="N767" s="15"/>
      <c r="O767" s="15"/>
      <c r="P767" s="15"/>
      <c r="Q767" s="15"/>
      <c r="R767" s="15"/>
      <c r="S767" s="15"/>
      <c r="T767" s="15"/>
      <c r="U767" s="15"/>
      <c r="V767" s="15"/>
      <c r="W767" s="15"/>
      <c r="X767" s="15"/>
      <c r="Y767" s="15"/>
      <c r="Z767" s="15"/>
    </row>
    <row r="768" spans="1:26" x14ac:dyDescent="0.3">
      <c r="A768" s="15"/>
      <c r="B768" s="15"/>
      <c r="C768" s="15"/>
      <c r="D768" s="15"/>
      <c r="E768" s="15"/>
      <c r="F768" s="15"/>
      <c r="G768" s="15"/>
      <c r="H768" s="52"/>
      <c r="I768" s="52"/>
      <c r="J768" s="15"/>
      <c r="K768" s="15"/>
      <c r="L768" s="15"/>
      <c r="M768" s="15"/>
      <c r="N768" s="15"/>
      <c r="O768" s="15"/>
      <c r="P768" s="15"/>
      <c r="Q768" s="15"/>
      <c r="R768" s="15"/>
      <c r="S768" s="15"/>
      <c r="T768" s="15"/>
      <c r="U768" s="15"/>
      <c r="V768" s="15"/>
      <c r="W768" s="15"/>
      <c r="X768" s="15"/>
      <c r="Y768" s="15"/>
      <c r="Z768" s="15"/>
    </row>
    <row r="769" spans="1:26" x14ac:dyDescent="0.3">
      <c r="A769" s="15"/>
      <c r="B769" s="15"/>
      <c r="C769" s="15"/>
      <c r="D769" s="15"/>
      <c r="E769" s="15"/>
      <c r="F769" s="15"/>
      <c r="G769" s="15"/>
      <c r="H769" s="52"/>
      <c r="I769" s="52"/>
      <c r="J769" s="15"/>
      <c r="K769" s="15"/>
      <c r="L769" s="15"/>
      <c r="M769" s="15"/>
      <c r="N769" s="15"/>
      <c r="O769" s="15"/>
      <c r="P769" s="15"/>
      <c r="Q769" s="15"/>
      <c r="R769" s="15"/>
      <c r="S769" s="15"/>
      <c r="T769" s="15"/>
      <c r="U769" s="15"/>
      <c r="V769" s="15"/>
      <c r="W769" s="15"/>
      <c r="X769" s="15"/>
      <c r="Y769" s="15"/>
      <c r="Z769" s="15"/>
    </row>
    <row r="770" spans="1:26" x14ac:dyDescent="0.3">
      <c r="A770" s="15"/>
      <c r="B770" s="15"/>
      <c r="C770" s="15"/>
      <c r="D770" s="15"/>
      <c r="E770" s="15"/>
      <c r="F770" s="15"/>
      <c r="G770" s="15"/>
      <c r="H770" s="52"/>
      <c r="I770" s="52"/>
      <c r="J770" s="15"/>
      <c r="K770" s="15"/>
      <c r="L770" s="15"/>
      <c r="M770" s="15"/>
      <c r="N770" s="15"/>
      <c r="O770" s="15"/>
      <c r="P770" s="15"/>
      <c r="Q770" s="15"/>
      <c r="R770" s="15"/>
      <c r="S770" s="15"/>
      <c r="T770" s="15"/>
      <c r="U770" s="15"/>
      <c r="V770" s="15"/>
      <c r="W770" s="15"/>
      <c r="X770" s="15"/>
      <c r="Y770" s="15"/>
      <c r="Z770" s="15"/>
    </row>
    <row r="771" spans="1:26" x14ac:dyDescent="0.3">
      <c r="A771" s="15"/>
      <c r="B771" s="15"/>
      <c r="C771" s="15"/>
      <c r="D771" s="15"/>
      <c r="E771" s="15"/>
      <c r="F771" s="15"/>
      <c r="G771" s="15"/>
      <c r="H771" s="52"/>
      <c r="I771" s="52"/>
      <c r="J771" s="15"/>
      <c r="K771" s="15"/>
      <c r="L771" s="15"/>
      <c r="M771" s="15"/>
      <c r="N771" s="15"/>
      <c r="O771" s="15"/>
      <c r="P771" s="15"/>
      <c r="Q771" s="15"/>
      <c r="R771" s="15"/>
      <c r="S771" s="15"/>
      <c r="T771" s="15"/>
      <c r="U771" s="15"/>
      <c r="V771" s="15"/>
      <c r="W771" s="15"/>
      <c r="X771" s="15"/>
      <c r="Y771" s="15"/>
      <c r="Z771" s="15"/>
    </row>
    <row r="772" spans="1:26" x14ac:dyDescent="0.3">
      <c r="A772" s="15"/>
      <c r="B772" s="15"/>
      <c r="C772" s="15"/>
      <c r="D772" s="15"/>
      <c r="E772" s="15"/>
      <c r="F772" s="15"/>
      <c r="G772" s="15"/>
      <c r="H772" s="52"/>
      <c r="I772" s="52"/>
      <c r="J772" s="15"/>
      <c r="K772" s="15"/>
      <c r="L772" s="15"/>
      <c r="M772" s="15"/>
      <c r="N772" s="15"/>
      <c r="O772" s="15"/>
      <c r="P772" s="15"/>
      <c r="Q772" s="15"/>
      <c r="R772" s="15"/>
      <c r="S772" s="15"/>
      <c r="T772" s="15"/>
      <c r="U772" s="15"/>
      <c r="V772" s="15"/>
      <c r="W772" s="15"/>
      <c r="X772" s="15"/>
      <c r="Y772" s="15"/>
      <c r="Z772" s="15"/>
    </row>
    <row r="773" spans="1:26" x14ac:dyDescent="0.3">
      <c r="A773" s="15"/>
      <c r="B773" s="15"/>
      <c r="C773" s="15"/>
      <c r="D773" s="15"/>
      <c r="E773" s="15"/>
      <c r="F773" s="15"/>
      <c r="G773" s="15"/>
      <c r="H773" s="52"/>
      <c r="I773" s="52"/>
      <c r="J773" s="15"/>
      <c r="K773" s="15"/>
      <c r="L773" s="15"/>
      <c r="M773" s="15"/>
      <c r="N773" s="15"/>
      <c r="O773" s="15"/>
      <c r="P773" s="15"/>
      <c r="Q773" s="15"/>
      <c r="R773" s="15"/>
      <c r="S773" s="15"/>
      <c r="T773" s="15"/>
      <c r="U773" s="15"/>
      <c r="V773" s="15"/>
      <c r="W773" s="15"/>
      <c r="X773" s="15"/>
      <c r="Y773" s="15"/>
      <c r="Z773" s="15"/>
    </row>
    <row r="774" spans="1:26" x14ac:dyDescent="0.3">
      <c r="A774" s="15"/>
      <c r="B774" s="15"/>
      <c r="C774" s="15"/>
      <c r="D774" s="15"/>
      <c r="E774" s="15"/>
      <c r="F774" s="15"/>
      <c r="G774" s="15"/>
      <c r="H774" s="52"/>
      <c r="I774" s="52"/>
      <c r="J774" s="15"/>
      <c r="K774" s="15"/>
      <c r="L774" s="15"/>
      <c r="M774" s="15"/>
      <c r="N774" s="15"/>
      <c r="O774" s="15"/>
      <c r="P774" s="15"/>
      <c r="Q774" s="15"/>
      <c r="R774" s="15"/>
      <c r="S774" s="15"/>
      <c r="T774" s="15"/>
      <c r="U774" s="15"/>
      <c r="V774" s="15"/>
      <c r="W774" s="15"/>
      <c r="X774" s="15"/>
      <c r="Y774" s="15"/>
      <c r="Z774" s="15"/>
    </row>
    <row r="775" spans="1:26" x14ac:dyDescent="0.3">
      <c r="A775" s="15"/>
      <c r="B775" s="15"/>
      <c r="C775" s="15"/>
      <c r="D775" s="15"/>
      <c r="E775" s="15"/>
      <c r="F775" s="15"/>
      <c r="G775" s="15"/>
      <c r="H775" s="52"/>
      <c r="I775" s="52"/>
      <c r="J775" s="15"/>
      <c r="K775" s="15"/>
      <c r="L775" s="15"/>
      <c r="M775" s="15"/>
      <c r="N775" s="15"/>
      <c r="O775" s="15"/>
      <c r="P775" s="15"/>
      <c r="Q775" s="15"/>
      <c r="R775" s="15"/>
      <c r="S775" s="15"/>
      <c r="T775" s="15"/>
      <c r="U775" s="15"/>
      <c r="V775" s="15"/>
      <c r="W775" s="15"/>
      <c r="X775" s="15"/>
      <c r="Y775" s="15"/>
      <c r="Z775" s="15"/>
    </row>
    <row r="776" spans="1:26" x14ac:dyDescent="0.3">
      <c r="A776" s="15"/>
      <c r="B776" s="15"/>
      <c r="C776" s="15"/>
      <c r="D776" s="15"/>
      <c r="E776" s="15"/>
      <c r="F776" s="15"/>
      <c r="G776" s="15"/>
      <c r="H776" s="52"/>
      <c r="I776" s="52"/>
      <c r="J776" s="15"/>
      <c r="K776" s="15"/>
      <c r="L776" s="15"/>
      <c r="M776" s="15"/>
      <c r="N776" s="15"/>
      <c r="O776" s="15"/>
      <c r="P776" s="15"/>
      <c r="Q776" s="15"/>
      <c r="R776" s="15"/>
      <c r="S776" s="15"/>
      <c r="T776" s="15"/>
      <c r="U776" s="15"/>
      <c r="V776" s="15"/>
      <c r="W776" s="15"/>
      <c r="X776" s="15"/>
      <c r="Y776" s="15"/>
      <c r="Z776" s="15"/>
    </row>
    <row r="777" spans="1:26" x14ac:dyDescent="0.3">
      <c r="A777" s="15"/>
      <c r="B777" s="15"/>
      <c r="C777" s="15"/>
      <c r="D777" s="15"/>
      <c r="E777" s="15"/>
      <c r="F777" s="15"/>
      <c r="G777" s="15"/>
      <c r="H777" s="52"/>
      <c r="I777" s="52"/>
      <c r="J777" s="15"/>
      <c r="K777" s="15"/>
      <c r="L777" s="15"/>
      <c r="M777" s="15"/>
      <c r="N777" s="15"/>
      <c r="O777" s="15"/>
      <c r="P777" s="15"/>
      <c r="Q777" s="15"/>
      <c r="R777" s="15"/>
      <c r="S777" s="15"/>
      <c r="T777" s="15"/>
      <c r="U777" s="15"/>
      <c r="V777" s="15"/>
      <c r="W777" s="15"/>
      <c r="X777" s="15"/>
      <c r="Y777" s="15"/>
      <c r="Z777" s="15"/>
    </row>
    <row r="778" spans="1:26" x14ac:dyDescent="0.3">
      <c r="A778" s="15"/>
      <c r="B778" s="15"/>
      <c r="C778" s="15"/>
      <c r="D778" s="15"/>
      <c r="E778" s="15"/>
      <c r="F778" s="15"/>
      <c r="G778" s="15"/>
      <c r="H778" s="52"/>
      <c r="I778" s="52"/>
      <c r="J778" s="15"/>
      <c r="K778" s="15"/>
      <c r="L778" s="15"/>
      <c r="M778" s="15"/>
      <c r="N778" s="15"/>
      <c r="O778" s="15"/>
      <c r="P778" s="15"/>
      <c r="Q778" s="15"/>
      <c r="R778" s="15"/>
      <c r="S778" s="15"/>
      <c r="T778" s="15"/>
      <c r="U778" s="15"/>
      <c r="V778" s="15"/>
      <c r="W778" s="15"/>
      <c r="X778" s="15"/>
      <c r="Y778" s="15"/>
      <c r="Z778" s="15"/>
    </row>
    <row r="779" spans="1:26" x14ac:dyDescent="0.3">
      <c r="A779" s="15"/>
      <c r="B779" s="15"/>
      <c r="C779" s="15"/>
      <c r="D779" s="15"/>
      <c r="E779" s="15"/>
      <c r="F779" s="15"/>
      <c r="G779" s="15"/>
      <c r="H779" s="52"/>
      <c r="I779" s="52"/>
      <c r="J779" s="15"/>
      <c r="K779" s="15"/>
      <c r="L779" s="15"/>
      <c r="M779" s="15"/>
      <c r="N779" s="15"/>
      <c r="O779" s="15"/>
      <c r="P779" s="15"/>
      <c r="Q779" s="15"/>
      <c r="R779" s="15"/>
      <c r="S779" s="15"/>
      <c r="T779" s="15"/>
      <c r="U779" s="15"/>
      <c r="V779" s="15"/>
      <c r="W779" s="15"/>
      <c r="X779" s="15"/>
      <c r="Y779" s="15"/>
      <c r="Z779" s="15"/>
    </row>
    <row r="780" spans="1:26" x14ac:dyDescent="0.3">
      <c r="A780" s="15"/>
      <c r="B780" s="15"/>
      <c r="C780" s="15"/>
      <c r="D780" s="15"/>
      <c r="E780" s="15"/>
      <c r="F780" s="15"/>
      <c r="G780" s="15"/>
      <c r="H780" s="52"/>
      <c r="I780" s="52"/>
      <c r="J780" s="15"/>
      <c r="K780" s="15"/>
      <c r="L780" s="15"/>
      <c r="M780" s="15"/>
      <c r="N780" s="15"/>
      <c r="O780" s="15"/>
      <c r="P780" s="15"/>
      <c r="Q780" s="15"/>
      <c r="R780" s="15"/>
      <c r="S780" s="15"/>
      <c r="T780" s="15"/>
      <c r="U780" s="15"/>
      <c r="V780" s="15"/>
      <c r="W780" s="15"/>
      <c r="X780" s="15"/>
      <c r="Y780" s="15"/>
      <c r="Z780" s="15"/>
    </row>
    <row r="781" spans="1:26" x14ac:dyDescent="0.3">
      <c r="A781" s="15"/>
      <c r="B781" s="15"/>
      <c r="C781" s="15"/>
      <c r="D781" s="15"/>
      <c r="E781" s="15"/>
      <c r="F781" s="15"/>
      <c r="G781" s="15"/>
      <c r="H781" s="52"/>
      <c r="I781" s="52"/>
      <c r="J781" s="15"/>
      <c r="K781" s="15"/>
      <c r="L781" s="15"/>
      <c r="M781" s="15"/>
      <c r="N781" s="15"/>
      <c r="O781" s="15"/>
      <c r="P781" s="15"/>
      <c r="Q781" s="15"/>
      <c r="R781" s="15"/>
      <c r="S781" s="15"/>
      <c r="T781" s="15"/>
      <c r="U781" s="15"/>
      <c r="V781" s="15"/>
      <c r="W781" s="15"/>
      <c r="X781" s="15"/>
      <c r="Y781" s="15"/>
      <c r="Z781" s="15"/>
    </row>
    <row r="782" spans="1:26" x14ac:dyDescent="0.3">
      <c r="A782" s="15"/>
      <c r="B782" s="15"/>
      <c r="C782" s="15"/>
      <c r="D782" s="15"/>
      <c r="E782" s="15"/>
      <c r="F782" s="15"/>
      <c r="G782" s="15"/>
      <c r="H782" s="52"/>
      <c r="I782" s="52"/>
      <c r="J782" s="15"/>
      <c r="K782" s="15"/>
      <c r="L782" s="15"/>
      <c r="M782" s="15"/>
      <c r="N782" s="15"/>
      <c r="O782" s="15"/>
      <c r="P782" s="15"/>
      <c r="Q782" s="15"/>
      <c r="R782" s="15"/>
      <c r="S782" s="15"/>
      <c r="T782" s="15"/>
      <c r="U782" s="15"/>
      <c r="V782" s="15"/>
      <c r="W782" s="15"/>
      <c r="X782" s="15"/>
      <c r="Y782" s="15"/>
      <c r="Z782" s="15"/>
    </row>
    <row r="783" spans="1:26" x14ac:dyDescent="0.3">
      <c r="A783" s="15"/>
      <c r="B783" s="15"/>
      <c r="C783" s="15"/>
      <c r="D783" s="15"/>
      <c r="E783" s="15"/>
      <c r="F783" s="15"/>
      <c r="G783" s="15"/>
      <c r="H783" s="52"/>
      <c r="I783" s="52"/>
      <c r="J783" s="15"/>
      <c r="K783" s="15"/>
      <c r="L783" s="15"/>
      <c r="M783" s="15"/>
      <c r="N783" s="15"/>
      <c r="O783" s="15"/>
      <c r="P783" s="15"/>
      <c r="Q783" s="15"/>
      <c r="R783" s="15"/>
      <c r="S783" s="15"/>
      <c r="T783" s="15"/>
      <c r="U783" s="15"/>
      <c r="V783" s="15"/>
      <c r="W783" s="15"/>
      <c r="X783" s="15"/>
      <c r="Y783" s="15"/>
      <c r="Z783" s="15"/>
    </row>
    <row r="784" spans="1:26" x14ac:dyDescent="0.3">
      <c r="A784" s="15"/>
      <c r="B784" s="15"/>
      <c r="C784" s="15"/>
      <c r="D784" s="15"/>
      <c r="E784" s="15"/>
      <c r="F784" s="15"/>
      <c r="G784" s="15"/>
      <c r="H784" s="52"/>
      <c r="I784" s="52"/>
      <c r="J784" s="15"/>
      <c r="K784" s="15"/>
      <c r="L784" s="15"/>
      <c r="M784" s="15"/>
      <c r="N784" s="15"/>
      <c r="O784" s="15"/>
      <c r="P784" s="15"/>
      <c r="Q784" s="15"/>
      <c r="R784" s="15"/>
      <c r="S784" s="15"/>
      <c r="T784" s="15"/>
      <c r="U784" s="15"/>
      <c r="V784" s="15"/>
      <c r="W784" s="15"/>
      <c r="X784" s="15"/>
      <c r="Y784" s="15"/>
      <c r="Z784" s="15"/>
    </row>
    <row r="785" spans="1:26" x14ac:dyDescent="0.3">
      <c r="A785" s="15"/>
      <c r="B785" s="15"/>
      <c r="C785" s="15"/>
      <c r="D785" s="15"/>
      <c r="E785" s="15"/>
      <c r="F785" s="15"/>
      <c r="G785" s="15"/>
      <c r="H785" s="52"/>
      <c r="I785" s="52"/>
      <c r="J785" s="15"/>
      <c r="K785" s="15"/>
      <c r="L785" s="15"/>
      <c r="M785" s="15"/>
      <c r="N785" s="15"/>
      <c r="O785" s="15"/>
      <c r="P785" s="15"/>
      <c r="Q785" s="15"/>
      <c r="R785" s="15"/>
      <c r="S785" s="15"/>
      <c r="T785" s="15"/>
      <c r="U785" s="15"/>
      <c r="V785" s="15"/>
      <c r="W785" s="15"/>
      <c r="X785" s="15"/>
      <c r="Y785" s="15"/>
      <c r="Z785" s="15"/>
    </row>
    <row r="786" spans="1:26" x14ac:dyDescent="0.3">
      <c r="A786" s="15"/>
      <c r="B786" s="15"/>
      <c r="C786" s="15"/>
      <c r="D786" s="15"/>
      <c r="E786" s="15"/>
      <c r="F786" s="15"/>
      <c r="G786" s="15"/>
      <c r="H786" s="52"/>
      <c r="I786" s="52"/>
      <c r="J786" s="15"/>
      <c r="K786" s="15"/>
      <c r="L786" s="15"/>
      <c r="M786" s="15"/>
      <c r="N786" s="15"/>
      <c r="O786" s="15"/>
      <c r="P786" s="15"/>
      <c r="Q786" s="15"/>
      <c r="R786" s="15"/>
      <c r="S786" s="15"/>
      <c r="T786" s="15"/>
      <c r="U786" s="15"/>
      <c r="V786" s="15"/>
      <c r="W786" s="15"/>
      <c r="X786" s="15"/>
      <c r="Y786" s="15"/>
      <c r="Z786" s="15"/>
    </row>
    <row r="787" spans="1:26" x14ac:dyDescent="0.3">
      <c r="A787" s="15"/>
      <c r="B787" s="15"/>
      <c r="C787" s="15"/>
      <c r="D787" s="15"/>
      <c r="E787" s="15"/>
      <c r="F787" s="15"/>
      <c r="G787" s="15"/>
      <c r="H787" s="52"/>
      <c r="I787" s="52"/>
      <c r="J787" s="15"/>
      <c r="K787" s="15"/>
      <c r="L787" s="15"/>
      <c r="M787" s="15"/>
      <c r="N787" s="15"/>
      <c r="O787" s="15"/>
      <c r="P787" s="15"/>
      <c r="Q787" s="15"/>
      <c r="R787" s="15"/>
      <c r="S787" s="15"/>
      <c r="T787" s="15"/>
      <c r="U787" s="15"/>
      <c r="V787" s="15"/>
      <c r="W787" s="15"/>
      <c r="X787" s="15"/>
      <c r="Y787" s="15"/>
      <c r="Z787" s="15"/>
    </row>
    <row r="788" spans="1:26" x14ac:dyDescent="0.3">
      <c r="A788" s="15"/>
      <c r="B788" s="15"/>
      <c r="C788" s="15"/>
      <c r="D788" s="15"/>
      <c r="E788" s="15"/>
      <c r="F788" s="15"/>
      <c r="G788" s="15"/>
      <c r="H788" s="52"/>
      <c r="I788" s="52"/>
      <c r="J788" s="15"/>
      <c r="K788" s="15"/>
      <c r="L788" s="15"/>
      <c r="M788" s="15"/>
      <c r="N788" s="15"/>
      <c r="O788" s="15"/>
      <c r="P788" s="15"/>
      <c r="Q788" s="15"/>
      <c r="R788" s="15"/>
      <c r="S788" s="15"/>
      <c r="T788" s="15"/>
      <c r="U788" s="15"/>
      <c r="V788" s="15"/>
      <c r="W788" s="15"/>
      <c r="X788" s="15"/>
      <c r="Y788" s="15"/>
      <c r="Z788" s="15"/>
    </row>
    <row r="789" spans="1:26" x14ac:dyDescent="0.3">
      <c r="A789" s="15"/>
      <c r="B789" s="15"/>
      <c r="C789" s="15"/>
      <c r="D789" s="15"/>
      <c r="E789" s="15"/>
      <c r="F789" s="15"/>
      <c r="G789" s="15"/>
      <c r="H789" s="52"/>
      <c r="I789" s="52"/>
      <c r="J789" s="15"/>
      <c r="K789" s="15"/>
      <c r="L789" s="15"/>
      <c r="M789" s="15"/>
      <c r="N789" s="15"/>
      <c r="O789" s="15"/>
      <c r="P789" s="15"/>
      <c r="Q789" s="15"/>
      <c r="R789" s="15"/>
      <c r="S789" s="15"/>
      <c r="T789" s="15"/>
      <c r="U789" s="15"/>
      <c r="V789" s="15"/>
      <c r="W789" s="15"/>
      <c r="X789" s="15"/>
      <c r="Y789" s="15"/>
      <c r="Z789" s="15"/>
    </row>
    <row r="790" spans="1:26" x14ac:dyDescent="0.3">
      <c r="A790" s="15"/>
      <c r="B790" s="15"/>
      <c r="C790" s="15"/>
      <c r="D790" s="15"/>
      <c r="E790" s="15"/>
      <c r="F790" s="15"/>
      <c r="G790" s="15"/>
      <c r="H790" s="52"/>
      <c r="I790" s="52"/>
      <c r="J790" s="15"/>
      <c r="K790" s="15"/>
      <c r="L790" s="15"/>
      <c r="M790" s="15"/>
      <c r="N790" s="15"/>
      <c r="O790" s="15"/>
      <c r="P790" s="15"/>
      <c r="Q790" s="15"/>
      <c r="R790" s="15"/>
      <c r="S790" s="15"/>
      <c r="T790" s="15"/>
      <c r="U790" s="15"/>
      <c r="V790" s="15"/>
      <c r="W790" s="15"/>
      <c r="X790" s="15"/>
      <c r="Y790" s="15"/>
      <c r="Z790" s="15"/>
    </row>
    <row r="791" spans="1:26" x14ac:dyDescent="0.3">
      <c r="A791" s="15"/>
      <c r="B791" s="15"/>
      <c r="C791" s="15"/>
      <c r="D791" s="15"/>
      <c r="E791" s="15"/>
      <c r="F791" s="15"/>
      <c r="G791" s="15"/>
      <c r="H791" s="52"/>
      <c r="I791" s="52"/>
      <c r="J791" s="15"/>
      <c r="K791" s="15"/>
      <c r="L791" s="15"/>
      <c r="M791" s="15"/>
      <c r="N791" s="15"/>
      <c r="O791" s="15"/>
      <c r="P791" s="15"/>
      <c r="Q791" s="15"/>
      <c r="R791" s="15"/>
      <c r="S791" s="15"/>
      <c r="T791" s="15"/>
      <c r="U791" s="15"/>
      <c r="V791" s="15"/>
      <c r="W791" s="15"/>
      <c r="X791" s="15"/>
      <c r="Y791" s="15"/>
      <c r="Z791" s="15"/>
    </row>
    <row r="792" spans="1:26" x14ac:dyDescent="0.3">
      <c r="A792" s="15"/>
      <c r="B792" s="15"/>
      <c r="C792" s="15"/>
      <c r="D792" s="15"/>
      <c r="E792" s="15"/>
      <c r="F792" s="15"/>
      <c r="G792" s="15"/>
      <c r="H792" s="52"/>
      <c r="I792" s="52"/>
      <c r="J792" s="15"/>
      <c r="K792" s="15"/>
      <c r="L792" s="15"/>
      <c r="M792" s="15"/>
      <c r="N792" s="15"/>
      <c r="O792" s="15"/>
      <c r="P792" s="15"/>
      <c r="Q792" s="15"/>
      <c r="R792" s="15"/>
      <c r="S792" s="15"/>
      <c r="T792" s="15"/>
      <c r="U792" s="15"/>
      <c r="V792" s="15"/>
      <c r="W792" s="15"/>
      <c r="X792" s="15"/>
      <c r="Y792" s="15"/>
      <c r="Z792" s="15"/>
    </row>
    <row r="793" spans="1:26" x14ac:dyDescent="0.3">
      <c r="A793" s="15"/>
      <c r="B793" s="15"/>
      <c r="C793" s="15"/>
      <c r="D793" s="15"/>
      <c r="E793" s="15"/>
      <c r="F793" s="15"/>
      <c r="G793" s="15"/>
      <c r="H793" s="52"/>
      <c r="I793" s="52"/>
      <c r="J793" s="15"/>
      <c r="K793" s="15"/>
      <c r="L793" s="15"/>
      <c r="M793" s="15"/>
      <c r="N793" s="15"/>
      <c r="O793" s="15"/>
      <c r="P793" s="15"/>
      <c r="Q793" s="15"/>
      <c r="R793" s="15"/>
      <c r="S793" s="15"/>
      <c r="T793" s="15"/>
      <c r="U793" s="15"/>
      <c r="V793" s="15"/>
      <c r="W793" s="15"/>
      <c r="X793" s="15"/>
      <c r="Y793" s="15"/>
      <c r="Z793" s="15"/>
    </row>
    <row r="794" spans="1:26" x14ac:dyDescent="0.3">
      <c r="A794" s="15"/>
      <c r="B794" s="15"/>
      <c r="C794" s="15"/>
      <c r="D794" s="15"/>
      <c r="E794" s="15"/>
      <c r="F794" s="15"/>
      <c r="G794" s="15"/>
      <c r="H794" s="52"/>
      <c r="I794" s="52"/>
      <c r="J794" s="15"/>
      <c r="K794" s="15"/>
      <c r="L794" s="15"/>
      <c r="M794" s="15"/>
      <c r="N794" s="15"/>
      <c r="O794" s="15"/>
      <c r="P794" s="15"/>
      <c r="Q794" s="15"/>
      <c r="R794" s="15"/>
      <c r="S794" s="15"/>
      <c r="T794" s="15"/>
      <c r="U794" s="15"/>
      <c r="V794" s="15"/>
      <c r="W794" s="15"/>
      <c r="X794" s="15"/>
      <c r="Y794" s="15"/>
      <c r="Z794" s="15"/>
    </row>
    <row r="795" spans="1:26" x14ac:dyDescent="0.3">
      <c r="A795" s="15"/>
      <c r="B795" s="15"/>
      <c r="C795" s="15"/>
      <c r="D795" s="15"/>
      <c r="E795" s="15"/>
      <c r="F795" s="15"/>
      <c r="G795" s="15"/>
      <c r="H795" s="52"/>
      <c r="I795" s="52"/>
      <c r="J795" s="15"/>
      <c r="K795" s="15"/>
      <c r="L795" s="15"/>
      <c r="M795" s="15"/>
      <c r="N795" s="15"/>
      <c r="O795" s="15"/>
      <c r="P795" s="15"/>
      <c r="Q795" s="15"/>
      <c r="R795" s="15"/>
      <c r="S795" s="15"/>
      <c r="T795" s="15"/>
      <c r="U795" s="15"/>
      <c r="V795" s="15"/>
      <c r="W795" s="15"/>
      <c r="X795" s="15"/>
      <c r="Y795" s="15"/>
      <c r="Z795" s="15"/>
    </row>
    <row r="796" spans="1:26" x14ac:dyDescent="0.3">
      <c r="A796" s="15"/>
      <c r="B796" s="15"/>
      <c r="C796" s="15"/>
      <c r="D796" s="15"/>
      <c r="E796" s="15"/>
      <c r="F796" s="15"/>
      <c r="G796" s="15"/>
      <c r="H796" s="52"/>
      <c r="I796" s="52"/>
      <c r="J796" s="15"/>
      <c r="K796" s="15"/>
      <c r="L796" s="15"/>
      <c r="M796" s="15"/>
      <c r="N796" s="15"/>
      <c r="O796" s="15"/>
      <c r="P796" s="15"/>
      <c r="Q796" s="15"/>
      <c r="R796" s="15"/>
      <c r="S796" s="15"/>
      <c r="T796" s="15"/>
      <c r="U796" s="15"/>
      <c r="V796" s="15"/>
      <c r="W796" s="15"/>
      <c r="X796" s="15"/>
      <c r="Y796" s="15"/>
      <c r="Z796" s="15"/>
    </row>
    <row r="797" spans="1:26" x14ac:dyDescent="0.3">
      <c r="A797" s="15"/>
      <c r="B797" s="15"/>
      <c r="C797" s="15"/>
      <c r="D797" s="15"/>
      <c r="E797" s="15"/>
      <c r="F797" s="15"/>
      <c r="G797" s="15"/>
      <c r="H797" s="52"/>
      <c r="I797" s="52"/>
      <c r="J797" s="15"/>
      <c r="K797" s="15"/>
      <c r="L797" s="15"/>
      <c r="M797" s="15"/>
      <c r="N797" s="15"/>
      <c r="O797" s="15"/>
      <c r="P797" s="15"/>
      <c r="Q797" s="15"/>
      <c r="R797" s="15"/>
      <c r="S797" s="15"/>
      <c r="T797" s="15"/>
      <c r="U797" s="15"/>
      <c r="V797" s="15"/>
      <c r="W797" s="15"/>
      <c r="X797" s="15"/>
      <c r="Y797" s="15"/>
      <c r="Z797" s="15"/>
    </row>
    <row r="798" spans="1:26" x14ac:dyDescent="0.3">
      <c r="A798" s="15"/>
      <c r="B798" s="15"/>
      <c r="C798" s="15"/>
      <c r="D798" s="15"/>
      <c r="E798" s="15"/>
      <c r="F798" s="15"/>
      <c r="G798" s="15"/>
      <c r="H798" s="52"/>
      <c r="I798" s="52"/>
      <c r="J798" s="15"/>
      <c r="K798" s="15"/>
      <c r="L798" s="15"/>
      <c r="M798" s="15"/>
      <c r="N798" s="15"/>
      <c r="O798" s="15"/>
      <c r="P798" s="15"/>
      <c r="Q798" s="15"/>
      <c r="R798" s="15"/>
      <c r="S798" s="15"/>
      <c r="T798" s="15"/>
      <c r="U798" s="15"/>
      <c r="V798" s="15"/>
      <c r="W798" s="15"/>
      <c r="X798" s="15"/>
      <c r="Y798" s="15"/>
      <c r="Z798" s="15"/>
    </row>
    <row r="799" spans="1:26" x14ac:dyDescent="0.3">
      <c r="A799" s="15"/>
      <c r="B799" s="15"/>
      <c r="C799" s="15"/>
      <c r="D799" s="15"/>
      <c r="E799" s="15"/>
      <c r="F799" s="15"/>
      <c r="G799" s="15"/>
      <c r="H799" s="52"/>
      <c r="I799" s="52"/>
      <c r="J799" s="15"/>
      <c r="K799" s="15"/>
      <c r="L799" s="15"/>
      <c r="M799" s="15"/>
      <c r="N799" s="15"/>
      <c r="O799" s="15"/>
      <c r="P799" s="15"/>
      <c r="Q799" s="15"/>
      <c r="R799" s="15"/>
      <c r="S799" s="15"/>
      <c r="T799" s="15"/>
      <c r="U799" s="15"/>
      <c r="V799" s="15"/>
      <c r="W799" s="15"/>
      <c r="X799" s="15"/>
      <c r="Y799" s="15"/>
      <c r="Z799" s="15"/>
    </row>
    <row r="800" spans="1:26" x14ac:dyDescent="0.3">
      <c r="A800" s="15"/>
      <c r="B800" s="15"/>
      <c r="C800" s="15"/>
      <c r="D800" s="15"/>
      <c r="E800" s="15"/>
      <c r="F800" s="15"/>
      <c r="G800" s="15"/>
      <c r="H800" s="52"/>
      <c r="I800" s="52"/>
      <c r="J800" s="15"/>
      <c r="K800" s="15"/>
      <c r="L800" s="15"/>
      <c r="M800" s="15"/>
      <c r="N800" s="15"/>
      <c r="O800" s="15"/>
      <c r="P800" s="15"/>
      <c r="Q800" s="15"/>
      <c r="R800" s="15"/>
      <c r="S800" s="15"/>
      <c r="T800" s="15"/>
      <c r="U800" s="15"/>
      <c r="V800" s="15"/>
      <c r="W800" s="15"/>
      <c r="X800" s="15"/>
      <c r="Y800" s="15"/>
      <c r="Z800" s="15"/>
    </row>
    <row r="801" spans="1:26" x14ac:dyDescent="0.3">
      <c r="A801" s="15"/>
      <c r="B801" s="15"/>
      <c r="C801" s="15"/>
      <c r="D801" s="15"/>
      <c r="E801" s="15"/>
      <c r="F801" s="15"/>
      <c r="G801" s="15"/>
      <c r="H801" s="52"/>
      <c r="I801" s="52"/>
      <c r="J801" s="15"/>
      <c r="K801" s="15"/>
      <c r="L801" s="15"/>
      <c r="M801" s="15"/>
      <c r="N801" s="15"/>
      <c r="O801" s="15"/>
      <c r="P801" s="15"/>
      <c r="Q801" s="15"/>
      <c r="R801" s="15"/>
      <c r="S801" s="15"/>
      <c r="T801" s="15"/>
      <c r="U801" s="15"/>
      <c r="V801" s="15"/>
      <c r="W801" s="15"/>
      <c r="X801" s="15"/>
      <c r="Y801" s="15"/>
      <c r="Z801" s="15"/>
    </row>
    <row r="802" spans="1:26" x14ac:dyDescent="0.3">
      <c r="A802" s="15"/>
      <c r="B802" s="15"/>
      <c r="C802" s="15"/>
      <c r="D802" s="15"/>
      <c r="E802" s="15"/>
      <c r="F802" s="15"/>
      <c r="G802" s="15"/>
      <c r="H802" s="52"/>
      <c r="I802" s="52"/>
      <c r="J802" s="15"/>
      <c r="K802" s="15"/>
      <c r="L802" s="15"/>
      <c r="M802" s="15"/>
      <c r="N802" s="15"/>
      <c r="O802" s="15"/>
      <c r="P802" s="15"/>
      <c r="Q802" s="15"/>
      <c r="R802" s="15"/>
      <c r="S802" s="15"/>
      <c r="T802" s="15"/>
      <c r="U802" s="15"/>
      <c r="V802" s="15"/>
      <c r="W802" s="15"/>
      <c r="X802" s="15"/>
      <c r="Y802" s="15"/>
      <c r="Z802" s="15"/>
    </row>
    <row r="803" spans="1:26" x14ac:dyDescent="0.3">
      <c r="A803" s="15"/>
      <c r="B803" s="15"/>
      <c r="C803" s="15"/>
      <c r="D803" s="15"/>
      <c r="E803" s="15"/>
      <c r="F803" s="15"/>
      <c r="G803" s="15"/>
      <c r="H803" s="52"/>
      <c r="I803" s="52"/>
      <c r="J803" s="15"/>
      <c r="K803" s="15"/>
      <c r="L803" s="15"/>
      <c r="M803" s="15"/>
      <c r="N803" s="15"/>
      <c r="O803" s="15"/>
      <c r="P803" s="15"/>
      <c r="Q803" s="15"/>
      <c r="R803" s="15"/>
      <c r="S803" s="15"/>
      <c r="T803" s="15"/>
      <c r="U803" s="15"/>
      <c r="V803" s="15"/>
      <c r="W803" s="15"/>
      <c r="X803" s="15"/>
      <c r="Y803" s="15"/>
      <c r="Z803" s="15"/>
    </row>
    <row r="804" spans="1:26" x14ac:dyDescent="0.3">
      <c r="A804" s="15"/>
      <c r="B804" s="15"/>
      <c r="C804" s="15"/>
      <c r="D804" s="15"/>
      <c r="E804" s="15"/>
      <c r="F804" s="15"/>
      <c r="G804" s="15"/>
      <c r="H804" s="52"/>
      <c r="I804" s="52"/>
      <c r="J804" s="15"/>
      <c r="K804" s="15"/>
      <c r="L804" s="15"/>
      <c r="M804" s="15"/>
      <c r="N804" s="15"/>
      <c r="O804" s="15"/>
      <c r="P804" s="15"/>
      <c r="Q804" s="15"/>
      <c r="R804" s="15"/>
      <c r="S804" s="15"/>
      <c r="T804" s="15"/>
      <c r="U804" s="15"/>
      <c r="V804" s="15"/>
      <c r="W804" s="15"/>
      <c r="X804" s="15"/>
      <c r="Y804" s="15"/>
      <c r="Z804" s="15"/>
    </row>
    <row r="805" spans="1:26" x14ac:dyDescent="0.3">
      <c r="A805" s="15"/>
      <c r="B805" s="15"/>
      <c r="C805" s="15"/>
      <c r="D805" s="15"/>
      <c r="E805" s="15"/>
      <c r="F805" s="15"/>
      <c r="G805" s="15"/>
      <c r="H805" s="52"/>
      <c r="I805" s="52"/>
      <c r="J805" s="15"/>
      <c r="K805" s="15"/>
      <c r="L805" s="15"/>
      <c r="M805" s="15"/>
      <c r="N805" s="15"/>
      <c r="O805" s="15"/>
      <c r="P805" s="15"/>
      <c r="Q805" s="15"/>
      <c r="R805" s="15"/>
      <c r="S805" s="15"/>
      <c r="T805" s="15"/>
      <c r="U805" s="15"/>
      <c r="V805" s="15"/>
      <c r="W805" s="15"/>
      <c r="X805" s="15"/>
      <c r="Y805" s="15"/>
      <c r="Z805" s="15"/>
    </row>
    <row r="806" spans="1:26" x14ac:dyDescent="0.3">
      <c r="A806" s="15"/>
      <c r="B806" s="15"/>
      <c r="C806" s="15"/>
      <c r="D806" s="15"/>
      <c r="E806" s="15"/>
      <c r="F806" s="15"/>
      <c r="G806" s="15"/>
      <c r="H806" s="52"/>
      <c r="I806" s="52"/>
      <c r="J806" s="15"/>
      <c r="K806" s="15"/>
      <c r="L806" s="15"/>
      <c r="M806" s="15"/>
      <c r="N806" s="15"/>
      <c r="O806" s="15"/>
      <c r="P806" s="15"/>
      <c r="Q806" s="15"/>
      <c r="R806" s="15"/>
      <c r="S806" s="15"/>
      <c r="T806" s="15"/>
      <c r="U806" s="15"/>
      <c r="V806" s="15"/>
      <c r="W806" s="15"/>
      <c r="X806" s="15"/>
      <c r="Y806" s="15"/>
      <c r="Z806" s="15"/>
    </row>
    <row r="807" spans="1:26" x14ac:dyDescent="0.3">
      <c r="A807" s="15"/>
      <c r="B807" s="15"/>
      <c r="C807" s="15"/>
      <c r="D807" s="15"/>
      <c r="E807" s="15"/>
      <c r="F807" s="15"/>
      <c r="G807" s="15"/>
      <c r="H807" s="52"/>
      <c r="I807" s="52"/>
      <c r="J807" s="15"/>
      <c r="K807" s="15"/>
      <c r="L807" s="15"/>
      <c r="M807" s="15"/>
      <c r="N807" s="15"/>
      <c r="O807" s="15"/>
      <c r="P807" s="15"/>
      <c r="Q807" s="15"/>
      <c r="R807" s="15"/>
      <c r="S807" s="15"/>
      <c r="T807" s="15"/>
      <c r="U807" s="15"/>
      <c r="V807" s="15"/>
      <c r="W807" s="15"/>
      <c r="X807" s="15"/>
      <c r="Y807" s="15"/>
      <c r="Z807" s="15"/>
    </row>
    <row r="808" spans="1:26" x14ac:dyDescent="0.3">
      <c r="A808" s="15"/>
      <c r="B808" s="15"/>
      <c r="C808" s="15"/>
      <c r="D808" s="15"/>
      <c r="E808" s="15"/>
      <c r="F808" s="15"/>
      <c r="G808" s="15"/>
      <c r="H808" s="52"/>
      <c r="I808" s="52"/>
      <c r="J808" s="15"/>
      <c r="K808" s="15"/>
      <c r="L808" s="15"/>
      <c r="M808" s="15"/>
      <c r="N808" s="15"/>
      <c r="O808" s="15"/>
      <c r="P808" s="15"/>
      <c r="Q808" s="15"/>
      <c r="R808" s="15"/>
      <c r="S808" s="15"/>
      <c r="T808" s="15"/>
      <c r="U808" s="15"/>
      <c r="V808" s="15"/>
      <c r="W808" s="15"/>
      <c r="X808" s="15"/>
      <c r="Y808" s="15"/>
      <c r="Z808" s="15"/>
    </row>
    <row r="809" spans="1:26" x14ac:dyDescent="0.3">
      <c r="A809" s="15"/>
      <c r="B809" s="15"/>
      <c r="C809" s="15"/>
      <c r="D809" s="15"/>
      <c r="E809" s="15"/>
      <c r="F809" s="15"/>
      <c r="G809" s="15"/>
      <c r="H809" s="52"/>
      <c r="I809" s="52"/>
      <c r="J809" s="15"/>
      <c r="K809" s="15"/>
      <c r="L809" s="15"/>
      <c r="M809" s="15"/>
      <c r="N809" s="15"/>
      <c r="O809" s="15"/>
      <c r="P809" s="15"/>
      <c r="Q809" s="15"/>
      <c r="R809" s="15"/>
      <c r="S809" s="15"/>
      <c r="T809" s="15"/>
      <c r="U809" s="15"/>
      <c r="V809" s="15"/>
      <c r="W809" s="15"/>
      <c r="X809" s="15"/>
      <c r="Y809" s="15"/>
      <c r="Z809" s="15"/>
    </row>
    <row r="810" spans="1:26" x14ac:dyDescent="0.3">
      <c r="A810" s="15"/>
      <c r="B810" s="15"/>
      <c r="C810" s="15"/>
      <c r="D810" s="15"/>
      <c r="E810" s="15"/>
      <c r="F810" s="15"/>
      <c r="G810" s="15"/>
      <c r="H810" s="52"/>
      <c r="I810" s="52"/>
      <c r="J810" s="15"/>
      <c r="K810" s="15"/>
      <c r="L810" s="15"/>
      <c r="M810" s="15"/>
      <c r="N810" s="15"/>
      <c r="O810" s="15"/>
      <c r="P810" s="15"/>
      <c r="Q810" s="15"/>
      <c r="R810" s="15"/>
      <c r="S810" s="15"/>
      <c r="T810" s="15"/>
      <c r="U810" s="15"/>
      <c r="V810" s="15"/>
      <c r="W810" s="15"/>
      <c r="X810" s="15"/>
      <c r="Y810" s="15"/>
      <c r="Z810" s="15"/>
    </row>
    <row r="811" spans="1:26" x14ac:dyDescent="0.3">
      <c r="A811" s="15"/>
      <c r="B811" s="15"/>
      <c r="C811" s="15"/>
      <c r="D811" s="15"/>
      <c r="E811" s="15"/>
      <c r="F811" s="15"/>
      <c r="G811" s="15"/>
      <c r="H811" s="52"/>
      <c r="I811" s="52"/>
      <c r="J811" s="15"/>
      <c r="K811" s="15"/>
      <c r="L811" s="15"/>
      <c r="M811" s="15"/>
      <c r="N811" s="15"/>
      <c r="O811" s="15"/>
      <c r="P811" s="15"/>
      <c r="Q811" s="15"/>
      <c r="R811" s="15"/>
      <c r="S811" s="15"/>
      <c r="T811" s="15"/>
      <c r="U811" s="15"/>
      <c r="V811" s="15"/>
      <c r="W811" s="15"/>
      <c r="X811" s="15"/>
      <c r="Y811" s="15"/>
      <c r="Z811" s="15"/>
    </row>
    <row r="812" spans="1:26" x14ac:dyDescent="0.3">
      <c r="A812" s="15"/>
      <c r="B812" s="15"/>
      <c r="C812" s="15"/>
      <c r="D812" s="15"/>
      <c r="E812" s="15"/>
      <c r="F812" s="15"/>
      <c r="G812" s="15"/>
      <c r="H812" s="52"/>
      <c r="I812" s="52"/>
      <c r="J812" s="15"/>
      <c r="K812" s="15"/>
      <c r="L812" s="15"/>
      <c r="M812" s="15"/>
      <c r="N812" s="15"/>
      <c r="O812" s="15"/>
      <c r="P812" s="15"/>
      <c r="Q812" s="15"/>
      <c r="R812" s="15"/>
      <c r="S812" s="15"/>
      <c r="T812" s="15"/>
      <c r="U812" s="15"/>
      <c r="V812" s="15"/>
      <c r="W812" s="15"/>
      <c r="X812" s="15"/>
      <c r="Y812" s="15"/>
      <c r="Z812" s="15"/>
    </row>
    <row r="813" spans="1:26" x14ac:dyDescent="0.3">
      <c r="A813" s="15"/>
      <c r="B813" s="15"/>
      <c r="C813" s="15"/>
      <c r="D813" s="15"/>
      <c r="E813" s="15"/>
      <c r="F813" s="15"/>
      <c r="G813" s="15"/>
      <c r="H813" s="52"/>
      <c r="I813" s="52"/>
      <c r="J813" s="15"/>
      <c r="K813" s="15"/>
      <c r="L813" s="15"/>
      <c r="M813" s="15"/>
      <c r="N813" s="15"/>
      <c r="O813" s="15"/>
      <c r="P813" s="15"/>
      <c r="Q813" s="15"/>
      <c r="R813" s="15"/>
      <c r="S813" s="15"/>
      <c r="T813" s="15"/>
      <c r="U813" s="15"/>
      <c r="V813" s="15"/>
      <c r="W813" s="15"/>
      <c r="X813" s="15"/>
      <c r="Y813" s="15"/>
      <c r="Z813" s="15"/>
    </row>
    <row r="814" spans="1:26" x14ac:dyDescent="0.3">
      <c r="A814" s="15"/>
      <c r="B814" s="15"/>
      <c r="C814" s="15"/>
      <c r="D814" s="15"/>
      <c r="E814" s="15"/>
      <c r="F814" s="15"/>
      <c r="G814" s="15"/>
      <c r="H814" s="52"/>
      <c r="I814" s="52"/>
      <c r="J814" s="15"/>
      <c r="K814" s="15"/>
      <c r="L814" s="15"/>
      <c r="M814" s="15"/>
      <c r="N814" s="15"/>
      <c r="O814" s="15"/>
      <c r="P814" s="15"/>
      <c r="Q814" s="15"/>
      <c r="R814" s="15"/>
      <c r="S814" s="15"/>
      <c r="T814" s="15"/>
      <c r="U814" s="15"/>
      <c r="V814" s="15"/>
      <c r="W814" s="15"/>
      <c r="X814" s="15"/>
      <c r="Y814" s="15"/>
      <c r="Z814" s="15"/>
    </row>
    <row r="815" spans="1:26" x14ac:dyDescent="0.3">
      <c r="A815" s="15"/>
      <c r="B815" s="15"/>
      <c r="C815" s="15"/>
      <c r="D815" s="15"/>
      <c r="E815" s="15"/>
      <c r="F815" s="15"/>
      <c r="G815" s="15"/>
      <c r="H815" s="52"/>
      <c r="I815" s="52"/>
      <c r="J815" s="15"/>
      <c r="K815" s="15"/>
      <c r="L815" s="15"/>
      <c r="M815" s="15"/>
      <c r="N815" s="15"/>
      <c r="O815" s="15"/>
      <c r="P815" s="15"/>
      <c r="Q815" s="15"/>
      <c r="R815" s="15"/>
      <c r="S815" s="15"/>
      <c r="T815" s="15"/>
      <c r="U815" s="15"/>
      <c r="V815" s="15"/>
      <c r="W815" s="15"/>
      <c r="X815" s="15"/>
      <c r="Y815" s="15"/>
      <c r="Z815" s="15"/>
    </row>
    <row r="816" spans="1:26" x14ac:dyDescent="0.3">
      <c r="A816" s="15"/>
      <c r="B816" s="15"/>
      <c r="C816" s="15"/>
      <c r="D816" s="15"/>
      <c r="E816" s="15"/>
      <c r="F816" s="15"/>
      <c r="G816" s="15"/>
      <c r="H816" s="52"/>
      <c r="I816" s="52"/>
      <c r="J816" s="15"/>
      <c r="K816" s="15"/>
      <c r="L816" s="15"/>
      <c r="M816" s="15"/>
      <c r="N816" s="15"/>
      <c r="O816" s="15"/>
      <c r="P816" s="15"/>
      <c r="Q816" s="15"/>
      <c r="R816" s="15"/>
      <c r="S816" s="15"/>
      <c r="T816" s="15"/>
      <c r="U816" s="15"/>
      <c r="V816" s="15"/>
      <c r="W816" s="15"/>
      <c r="X816" s="15"/>
      <c r="Y816" s="15"/>
      <c r="Z816" s="15"/>
    </row>
    <row r="817" spans="1:26" x14ac:dyDescent="0.3">
      <c r="A817" s="15"/>
      <c r="B817" s="15"/>
      <c r="C817" s="15"/>
      <c r="D817" s="15"/>
      <c r="E817" s="15"/>
      <c r="F817" s="15"/>
      <c r="G817" s="15"/>
      <c r="H817" s="52"/>
      <c r="I817" s="52"/>
      <c r="J817" s="15"/>
      <c r="K817" s="15"/>
      <c r="L817" s="15"/>
      <c r="M817" s="15"/>
      <c r="N817" s="15"/>
      <c r="O817" s="15"/>
      <c r="P817" s="15"/>
      <c r="Q817" s="15"/>
      <c r="R817" s="15"/>
      <c r="S817" s="15"/>
      <c r="T817" s="15"/>
      <c r="U817" s="15"/>
      <c r="V817" s="15"/>
      <c r="W817" s="15"/>
      <c r="X817" s="15"/>
      <c r="Y817" s="15"/>
      <c r="Z817" s="15"/>
    </row>
    <row r="818" spans="1:26" x14ac:dyDescent="0.3">
      <c r="A818" s="15"/>
      <c r="B818" s="15"/>
      <c r="C818" s="15"/>
      <c r="D818" s="15"/>
      <c r="E818" s="15"/>
      <c r="F818" s="15"/>
      <c r="G818" s="15"/>
      <c r="H818" s="52"/>
      <c r="I818" s="52"/>
      <c r="J818" s="15"/>
      <c r="K818" s="15"/>
      <c r="L818" s="15"/>
      <c r="M818" s="15"/>
      <c r="N818" s="15"/>
      <c r="O818" s="15"/>
      <c r="P818" s="15"/>
      <c r="Q818" s="15"/>
      <c r="R818" s="15"/>
      <c r="S818" s="15"/>
      <c r="T818" s="15"/>
      <c r="U818" s="15"/>
      <c r="V818" s="15"/>
      <c r="W818" s="15"/>
      <c r="X818" s="15"/>
      <c r="Y818" s="15"/>
      <c r="Z818" s="15"/>
    </row>
    <row r="819" spans="1:26" x14ac:dyDescent="0.3">
      <c r="A819" s="15"/>
      <c r="B819" s="15"/>
      <c r="C819" s="15"/>
      <c r="D819" s="15"/>
      <c r="E819" s="15"/>
      <c r="F819" s="15"/>
      <c r="G819" s="15"/>
      <c r="H819" s="52"/>
      <c r="I819" s="52"/>
      <c r="J819" s="15"/>
      <c r="K819" s="15"/>
      <c r="L819" s="15"/>
      <c r="M819" s="15"/>
      <c r="N819" s="15"/>
      <c r="O819" s="15"/>
      <c r="P819" s="15"/>
      <c r="Q819" s="15"/>
      <c r="R819" s="15"/>
      <c r="S819" s="15"/>
      <c r="T819" s="15"/>
      <c r="U819" s="15"/>
      <c r="V819" s="15"/>
      <c r="W819" s="15"/>
      <c r="X819" s="15"/>
      <c r="Y819" s="15"/>
      <c r="Z819" s="15"/>
    </row>
    <row r="820" spans="1:26" x14ac:dyDescent="0.3">
      <c r="A820" s="15"/>
      <c r="B820" s="15"/>
      <c r="C820" s="15"/>
      <c r="D820" s="15"/>
      <c r="E820" s="15"/>
      <c r="F820" s="15"/>
      <c r="G820" s="15"/>
      <c r="H820" s="52"/>
      <c r="I820" s="52"/>
      <c r="J820" s="15"/>
      <c r="K820" s="15"/>
      <c r="L820" s="15"/>
      <c r="M820" s="15"/>
      <c r="N820" s="15"/>
      <c r="O820" s="15"/>
      <c r="P820" s="15"/>
      <c r="Q820" s="15"/>
      <c r="R820" s="15"/>
      <c r="S820" s="15"/>
      <c r="T820" s="15"/>
      <c r="U820" s="15"/>
      <c r="V820" s="15"/>
      <c r="W820" s="15"/>
      <c r="X820" s="15"/>
      <c r="Y820" s="15"/>
      <c r="Z820" s="15"/>
    </row>
    <row r="821" spans="1:26" x14ac:dyDescent="0.3">
      <c r="A821" s="15"/>
      <c r="B821" s="15"/>
      <c r="C821" s="15"/>
      <c r="D821" s="15"/>
      <c r="E821" s="15"/>
      <c r="F821" s="15"/>
      <c r="G821" s="15"/>
      <c r="H821" s="52"/>
      <c r="I821" s="52"/>
      <c r="J821" s="15"/>
      <c r="K821" s="15"/>
      <c r="L821" s="15"/>
      <c r="M821" s="15"/>
      <c r="N821" s="15"/>
      <c r="O821" s="15"/>
      <c r="P821" s="15"/>
      <c r="Q821" s="15"/>
      <c r="R821" s="15"/>
      <c r="S821" s="15"/>
      <c r="T821" s="15"/>
      <c r="U821" s="15"/>
      <c r="V821" s="15"/>
      <c r="W821" s="15"/>
      <c r="X821" s="15"/>
      <c r="Y821" s="15"/>
      <c r="Z821" s="15"/>
    </row>
    <row r="822" spans="1:26" x14ac:dyDescent="0.3">
      <c r="A822" s="15"/>
      <c r="B822" s="15"/>
      <c r="C822" s="15"/>
      <c r="D822" s="15"/>
      <c r="E822" s="15"/>
      <c r="F822" s="15"/>
      <c r="G822" s="15"/>
      <c r="H822" s="52"/>
      <c r="I822" s="52"/>
      <c r="J822" s="15"/>
      <c r="K822" s="15"/>
      <c r="L822" s="15"/>
      <c r="M822" s="15"/>
      <c r="N822" s="15"/>
      <c r="O822" s="15"/>
      <c r="P822" s="15"/>
      <c r="Q822" s="15"/>
      <c r="R822" s="15"/>
      <c r="S822" s="15"/>
      <c r="T822" s="15"/>
      <c r="U822" s="15"/>
      <c r="V822" s="15"/>
      <c r="W822" s="15"/>
      <c r="X822" s="15"/>
      <c r="Y822" s="15"/>
      <c r="Z822" s="15"/>
    </row>
    <row r="823" spans="1:26" x14ac:dyDescent="0.3">
      <c r="A823" s="15"/>
      <c r="B823" s="15"/>
      <c r="C823" s="15"/>
      <c r="D823" s="15"/>
      <c r="E823" s="15"/>
      <c r="F823" s="15"/>
      <c r="G823" s="15"/>
      <c r="H823" s="52"/>
      <c r="I823" s="52"/>
      <c r="J823" s="15"/>
      <c r="K823" s="15"/>
      <c r="L823" s="15"/>
      <c r="M823" s="15"/>
      <c r="N823" s="15"/>
      <c r="O823" s="15"/>
      <c r="P823" s="15"/>
      <c r="Q823" s="15"/>
      <c r="R823" s="15"/>
      <c r="S823" s="15"/>
      <c r="T823" s="15"/>
      <c r="U823" s="15"/>
      <c r="V823" s="15"/>
      <c r="W823" s="15"/>
      <c r="X823" s="15"/>
      <c r="Y823" s="15"/>
      <c r="Z823" s="15"/>
    </row>
    <row r="824" spans="1:26" x14ac:dyDescent="0.3">
      <c r="A824" s="15"/>
      <c r="B824" s="15"/>
      <c r="C824" s="15"/>
      <c r="D824" s="15"/>
      <c r="E824" s="15"/>
      <c r="F824" s="15"/>
      <c r="G824" s="15"/>
      <c r="H824" s="52"/>
      <c r="I824" s="52"/>
      <c r="J824" s="15"/>
      <c r="K824" s="15"/>
      <c r="L824" s="15"/>
      <c r="M824" s="15"/>
      <c r="N824" s="15"/>
      <c r="O824" s="15"/>
      <c r="P824" s="15"/>
      <c r="Q824" s="15"/>
      <c r="R824" s="15"/>
      <c r="S824" s="15"/>
      <c r="T824" s="15"/>
      <c r="U824" s="15"/>
      <c r="V824" s="15"/>
      <c r="W824" s="15"/>
      <c r="X824" s="15"/>
      <c r="Y824" s="15"/>
      <c r="Z824" s="15"/>
    </row>
    <row r="825" spans="1:26" x14ac:dyDescent="0.3">
      <c r="A825" s="15"/>
      <c r="B825" s="15"/>
      <c r="C825" s="15"/>
      <c r="D825" s="15"/>
      <c r="E825" s="15"/>
      <c r="F825" s="15"/>
      <c r="G825" s="15"/>
      <c r="H825" s="52"/>
      <c r="I825" s="52"/>
      <c r="J825" s="15"/>
      <c r="K825" s="15"/>
      <c r="L825" s="15"/>
      <c r="M825" s="15"/>
      <c r="N825" s="15"/>
      <c r="O825" s="15"/>
      <c r="P825" s="15"/>
      <c r="Q825" s="15"/>
      <c r="R825" s="15"/>
      <c r="S825" s="15"/>
      <c r="T825" s="15"/>
      <c r="U825" s="15"/>
      <c r="V825" s="15"/>
      <c r="W825" s="15"/>
      <c r="X825" s="15"/>
      <c r="Y825" s="15"/>
      <c r="Z825" s="15"/>
    </row>
    <row r="826" spans="1:26" x14ac:dyDescent="0.3">
      <c r="A826" s="15"/>
      <c r="B826" s="15"/>
      <c r="C826" s="15"/>
      <c r="D826" s="15"/>
      <c r="E826" s="15"/>
      <c r="F826" s="15"/>
      <c r="G826" s="15"/>
      <c r="H826" s="52"/>
      <c r="I826" s="52"/>
      <c r="J826" s="15"/>
      <c r="K826" s="15"/>
      <c r="L826" s="15"/>
      <c r="M826" s="15"/>
      <c r="N826" s="15"/>
      <c r="O826" s="15"/>
      <c r="P826" s="15"/>
      <c r="Q826" s="15"/>
      <c r="R826" s="15"/>
      <c r="S826" s="15"/>
      <c r="T826" s="15"/>
      <c r="U826" s="15"/>
      <c r="V826" s="15"/>
      <c r="W826" s="15"/>
      <c r="X826" s="15"/>
      <c r="Y826" s="15"/>
      <c r="Z826" s="15"/>
    </row>
    <row r="827" spans="1:26" x14ac:dyDescent="0.3">
      <c r="A827" s="15"/>
      <c r="B827" s="15"/>
      <c r="C827" s="15"/>
      <c r="D827" s="15"/>
      <c r="E827" s="15"/>
      <c r="F827" s="15"/>
      <c r="G827" s="15"/>
      <c r="H827" s="52"/>
      <c r="I827" s="52"/>
      <c r="J827" s="15"/>
      <c r="K827" s="15"/>
      <c r="L827" s="15"/>
      <c r="M827" s="15"/>
      <c r="N827" s="15"/>
      <c r="O827" s="15"/>
      <c r="P827" s="15"/>
      <c r="Q827" s="15"/>
      <c r="R827" s="15"/>
      <c r="S827" s="15"/>
      <c r="T827" s="15"/>
      <c r="U827" s="15"/>
      <c r="V827" s="15"/>
      <c r="W827" s="15"/>
      <c r="X827" s="15"/>
      <c r="Y827" s="15"/>
      <c r="Z827" s="15"/>
    </row>
    <row r="828" spans="1:26" x14ac:dyDescent="0.3">
      <c r="A828" s="15"/>
      <c r="B828" s="15"/>
      <c r="C828" s="15"/>
      <c r="D828" s="15"/>
      <c r="E828" s="15"/>
      <c r="F828" s="15"/>
      <c r="G828" s="15"/>
      <c r="H828" s="52"/>
      <c r="I828" s="52"/>
      <c r="J828" s="15"/>
      <c r="K828" s="15"/>
      <c r="L828" s="15"/>
      <c r="M828" s="15"/>
      <c r="N828" s="15"/>
      <c r="O828" s="15"/>
      <c r="P828" s="15"/>
      <c r="Q828" s="15"/>
      <c r="R828" s="15"/>
      <c r="S828" s="15"/>
      <c r="T828" s="15"/>
      <c r="U828" s="15"/>
      <c r="V828" s="15"/>
      <c r="W828" s="15"/>
      <c r="X828" s="15"/>
      <c r="Y828" s="15"/>
      <c r="Z828" s="15"/>
    </row>
    <row r="829" spans="1:26" x14ac:dyDescent="0.3">
      <c r="A829" s="15"/>
      <c r="B829" s="15"/>
      <c r="C829" s="15"/>
      <c r="D829" s="15"/>
      <c r="E829" s="15"/>
      <c r="F829" s="15"/>
      <c r="G829" s="15"/>
      <c r="H829" s="52"/>
      <c r="I829" s="52"/>
      <c r="J829" s="15"/>
      <c r="K829" s="15"/>
      <c r="L829" s="15"/>
      <c r="M829" s="15"/>
      <c r="N829" s="15"/>
      <c r="O829" s="15"/>
      <c r="P829" s="15"/>
      <c r="Q829" s="15"/>
      <c r="R829" s="15"/>
      <c r="S829" s="15"/>
      <c r="T829" s="15"/>
      <c r="U829" s="15"/>
      <c r="V829" s="15"/>
      <c r="W829" s="15"/>
      <c r="X829" s="15"/>
      <c r="Y829" s="15"/>
      <c r="Z829" s="15"/>
    </row>
    <row r="830" spans="1:26" x14ac:dyDescent="0.3">
      <c r="A830" s="15"/>
      <c r="B830" s="15"/>
      <c r="C830" s="15"/>
      <c r="D830" s="15"/>
      <c r="E830" s="15"/>
      <c r="F830" s="15"/>
      <c r="G830" s="15"/>
      <c r="H830" s="52"/>
      <c r="I830" s="52"/>
      <c r="J830" s="15"/>
      <c r="K830" s="15"/>
      <c r="L830" s="15"/>
      <c r="M830" s="15"/>
      <c r="N830" s="15"/>
      <c r="O830" s="15"/>
      <c r="P830" s="15"/>
      <c r="Q830" s="15"/>
      <c r="R830" s="15"/>
      <c r="S830" s="15"/>
      <c r="T830" s="15"/>
      <c r="U830" s="15"/>
      <c r="V830" s="15"/>
      <c r="W830" s="15"/>
      <c r="X830" s="15"/>
      <c r="Y830" s="15"/>
      <c r="Z830" s="15"/>
    </row>
    <row r="831" spans="1:26" x14ac:dyDescent="0.3">
      <c r="A831" s="15"/>
      <c r="B831" s="15"/>
      <c r="C831" s="15"/>
      <c r="D831" s="15"/>
      <c r="E831" s="15"/>
      <c r="F831" s="15"/>
      <c r="G831" s="15"/>
      <c r="H831" s="52"/>
      <c r="I831" s="52"/>
      <c r="J831" s="15"/>
      <c r="K831" s="15"/>
      <c r="L831" s="15"/>
      <c r="M831" s="15"/>
      <c r="N831" s="15"/>
      <c r="O831" s="15"/>
      <c r="P831" s="15"/>
      <c r="Q831" s="15"/>
      <c r="R831" s="15"/>
      <c r="S831" s="15"/>
      <c r="T831" s="15"/>
      <c r="U831" s="15"/>
      <c r="V831" s="15"/>
      <c r="W831" s="15"/>
      <c r="X831" s="15"/>
      <c r="Y831" s="15"/>
      <c r="Z831" s="15"/>
    </row>
    <row r="832" spans="1:26" x14ac:dyDescent="0.3">
      <c r="A832" s="15"/>
      <c r="B832" s="15"/>
      <c r="C832" s="15"/>
      <c r="D832" s="15"/>
      <c r="E832" s="15"/>
      <c r="F832" s="15"/>
      <c r="G832" s="15"/>
      <c r="H832" s="52"/>
      <c r="I832" s="52"/>
      <c r="J832" s="15"/>
      <c r="K832" s="15"/>
      <c r="L832" s="15"/>
      <c r="M832" s="15"/>
      <c r="N832" s="15"/>
      <c r="O832" s="15"/>
      <c r="P832" s="15"/>
      <c r="Q832" s="15"/>
      <c r="R832" s="15"/>
      <c r="S832" s="15"/>
      <c r="T832" s="15"/>
      <c r="U832" s="15"/>
      <c r="V832" s="15"/>
      <c r="W832" s="15"/>
      <c r="X832" s="15"/>
      <c r="Y832" s="15"/>
      <c r="Z832" s="15"/>
    </row>
    <row r="833" spans="1:26" x14ac:dyDescent="0.3">
      <c r="A833" s="15"/>
      <c r="B833" s="15"/>
      <c r="C833" s="15"/>
      <c r="D833" s="15"/>
      <c r="E833" s="15"/>
      <c r="F833" s="15"/>
      <c r="G833" s="15"/>
      <c r="H833" s="52"/>
      <c r="I833" s="52"/>
      <c r="J833" s="15"/>
      <c r="K833" s="15"/>
      <c r="L833" s="15"/>
      <c r="M833" s="15"/>
      <c r="N833" s="15"/>
      <c r="O833" s="15"/>
      <c r="P833" s="15"/>
      <c r="Q833" s="15"/>
      <c r="R833" s="15"/>
      <c r="S833" s="15"/>
      <c r="T833" s="15"/>
      <c r="U833" s="15"/>
      <c r="V833" s="15"/>
      <c r="W833" s="15"/>
      <c r="X833" s="15"/>
      <c r="Y833" s="15"/>
      <c r="Z833" s="15"/>
    </row>
    <row r="834" spans="1:26" x14ac:dyDescent="0.3">
      <c r="A834" s="15"/>
      <c r="B834" s="15"/>
      <c r="C834" s="15"/>
      <c r="D834" s="15"/>
      <c r="E834" s="15"/>
      <c r="F834" s="15"/>
      <c r="G834" s="15"/>
      <c r="H834" s="52"/>
      <c r="I834" s="52"/>
      <c r="J834" s="15"/>
      <c r="K834" s="15"/>
      <c r="L834" s="15"/>
      <c r="M834" s="15"/>
      <c r="N834" s="15"/>
      <c r="O834" s="15"/>
      <c r="P834" s="15"/>
      <c r="Q834" s="15"/>
      <c r="R834" s="15"/>
      <c r="S834" s="15"/>
      <c r="T834" s="15"/>
      <c r="U834" s="15"/>
      <c r="V834" s="15"/>
      <c r="W834" s="15"/>
      <c r="X834" s="15"/>
      <c r="Y834" s="15"/>
      <c r="Z834" s="15"/>
    </row>
    <row r="835" spans="1:26" x14ac:dyDescent="0.3">
      <c r="A835" s="15"/>
      <c r="B835" s="15"/>
      <c r="C835" s="15"/>
      <c r="D835" s="15"/>
      <c r="E835" s="15"/>
      <c r="F835" s="15"/>
      <c r="G835" s="15"/>
      <c r="H835" s="52"/>
      <c r="I835" s="52"/>
      <c r="J835" s="15"/>
      <c r="K835" s="15"/>
      <c r="L835" s="15"/>
      <c r="M835" s="15"/>
      <c r="N835" s="15"/>
      <c r="O835" s="15"/>
      <c r="P835" s="15"/>
      <c r="Q835" s="15"/>
      <c r="R835" s="15"/>
      <c r="S835" s="15"/>
      <c r="T835" s="15"/>
      <c r="U835" s="15"/>
      <c r="V835" s="15"/>
      <c r="W835" s="15"/>
      <c r="X835" s="15"/>
      <c r="Y835" s="15"/>
      <c r="Z835" s="15"/>
    </row>
    <row r="836" spans="1:26" x14ac:dyDescent="0.3">
      <c r="A836" s="15"/>
      <c r="B836" s="15"/>
      <c r="C836" s="15"/>
      <c r="D836" s="15"/>
      <c r="E836" s="15"/>
      <c r="F836" s="15"/>
      <c r="G836" s="15"/>
      <c r="H836" s="52"/>
      <c r="I836" s="52"/>
      <c r="J836" s="15"/>
      <c r="K836" s="15"/>
      <c r="L836" s="15"/>
      <c r="M836" s="15"/>
      <c r="N836" s="15"/>
      <c r="O836" s="15"/>
      <c r="P836" s="15"/>
      <c r="Q836" s="15"/>
      <c r="R836" s="15"/>
      <c r="S836" s="15"/>
      <c r="T836" s="15"/>
      <c r="U836" s="15"/>
      <c r="V836" s="15"/>
      <c r="W836" s="15"/>
      <c r="X836" s="15"/>
      <c r="Y836" s="15"/>
      <c r="Z836" s="15"/>
    </row>
    <row r="837" spans="1:26" x14ac:dyDescent="0.3">
      <c r="A837" s="15"/>
      <c r="B837" s="15"/>
      <c r="C837" s="15"/>
      <c r="D837" s="15"/>
      <c r="E837" s="15"/>
      <c r="F837" s="15"/>
      <c r="G837" s="15"/>
      <c r="H837" s="52"/>
      <c r="I837" s="52"/>
      <c r="J837" s="15"/>
      <c r="K837" s="15"/>
      <c r="L837" s="15"/>
      <c r="M837" s="15"/>
      <c r="N837" s="15"/>
      <c r="O837" s="15"/>
      <c r="P837" s="15"/>
      <c r="Q837" s="15"/>
      <c r="R837" s="15"/>
      <c r="S837" s="15"/>
      <c r="T837" s="15"/>
      <c r="U837" s="15"/>
      <c r="V837" s="15"/>
      <c r="W837" s="15"/>
      <c r="X837" s="15"/>
      <c r="Y837" s="15"/>
      <c r="Z837" s="15"/>
    </row>
    <row r="838" spans="1:26" x14ac:dyDescent="0.3">
      <c r="A838" s="15"/>
      <c r="B838" s="15"/>
      <c r="C838" s="15"/>
      <c r="D838" s="15"/>
      <c r="E838" s="15"/>
      <c r="F838" s="15"/>
      <c r="G838" s="15"/>
      <c r="H838" s="52"/>
      <c r="I838" s="52"/>
      <c r="J838" s="15"/>
      <c r="K838" s="15"/>
      <c r="L838" s="15"/>
      <c r="M838" s="15"/>
      <c r="N838" s="15"/>
      <c r="O838" s="15"/>
      <c r="P838" s="15"/>
      <c r="Q838" s="15"/>
      <c r="R838" s="15"/>
      <c r="S838" s="15"/>
      <c r="T838" s="15"/>
      <c r="U838" s="15"/>
      <c r="V838" s="15"/>
      <c r="W838" s="15"/>
      <c r="X838" s="15"/>
      <c r="Y838" s="15"/>
      <c r="Z838" s="15"/>
    </row>
    <row r="839" spans="1:26" x14ac:dyDescent="0.3">
      <c r="A839" s="15"/>
      <c r="B839" s="15"/>
      <c r="C839" s="15"/>
      <c r="D839" s="15"/>
      <c r="E839" s="15"/>
      <c r="F839" s="15"/>
      <c r="G839" s="15"/>
      <c r="H839" s="52"/>
      <c r="I839" s="52"/>
      <c r="J839" s="15"/>
      <c r="K839" s="15"/>
      <c r="L839" s="15"/>
      <c r="M839" s="15"/>
      <c r="N839" s="15"/>
      <c r="O839" s="15"/>
      <c r="P839" s="15"/>
      <c r="Q839" s="15"/>
      <c r="R839" s="15"/>
      <c r="S839" s="15"/>
      <c r="T839" s="15"/>
      <c r="U839" s="15"/>
      <c r="V839" s="15"/>
      <c r="W839" s="15"/>
      <c r="X839" s="15"/>
      <c r="Y839" s="15"/>
      <c r="Z839" s="15"/>
    </row>
    <row r="840" spans="1:26" x14ac:dyDescent="0.3">
      <c r="A840" s="15"/>
      <c r="B840" s="15"/>
      <c r="C840" s="15"/>
      <c r="D840" s="15"/>
      <c r="E840" s="15"/>
      <c r="F840" s="15"/>
      <c r="G840" s="15"/>
      <c r="H840" s="52"/>
      <c r="I840" s="52"/>
      <c r="J840" s="15"/>
      <c r="K840" s="15"/>
      <c r="L840" s="15"/>
      <c r="M840" s="15"/>
      <c r="N840" s="15"/>
      <c r="O840" s="15"/>
      <c r="P840" s="15"/>
      <c r="Q840" s="15"/>
      <c r="R840" s="15"/>
      <c r="S840" s="15"/>
      <c r="T840" s="15"/>
      <c r="U840" s="15"/>
      <c r="V840" s="15"/>
      <c r="W840" s="15"/>
      <c r="X840" s="15"/>
      <c r="Y840" s="15"/>
      <c r="Z840" s="15"/>
    </row>
    <row r="841" spans="1:26" x14ac:dyDescent="0.3">
      <c r="A841" s="15"/>
      <c r="B841" s="15"/>
      <c r="C841" s="15"/>
      <c r="D841" s="15"/>
      <c r="E841" s="15"/>
      <c r="F841" s="15"/>
      <c r="G841" s="15"/>
      <c r="H841" s="52"/>
      <c r="I841" s="52"/>
      <c r="J841" s="15"/>
      <c r="K841" s="15"/>
      <c r="L841" s="15"/>
      <c r="M841" s="15"/>
      <c r="N841" s="15"/>
      <c r="O841" s="15"/>
      <c r="P841" s="15"/>
      <c r="Q841" s="15"/>
      <c r="R841" s="15"/>
      <c r="S841" s="15"/>
      <c r="T841" s="15"/>
      <c r="U841" s="15"/>
      <c r="V841" s="15"/>
      <c r="W841" s="15"/>
      <c r="X841" s="15"/>
      <c r="Y841" s="15"/>
      <c r="Z841" s="15"/>
    </row>
    <row r="842" spans="1:26" x14ac:dyDescent="0.3">
      <c r="A842" s="15"/>
      <c r="B842" s="15"/>
      <c r="C842" s="15"/>
      <c r="D842" s="15"/>
      <c r="E842" s="15"/>
      <c r="F842" s="15"/>
      <c r="G842" s="15"/>
      <c r="H842" s="52"/>
      <c r="I842" s="52"/>
      <c r="J842" s="15"/>
      <c r="K842" s="15"/>
      <c r="L842" s="15"/>
      <c r="M842" s="15"/>
      <c r="N842" s="15"/>
      <c r="O842" s="15"/>
      <c r="P842" s="15"/>
      <c r="Q842" s="15"/>
      <c r="R842" s="15"/>
      <c r="S842" s="15"/>
      <c r="T842" s="15"/>
      <c r="U842" s="15"/>
      <c r="V842" s="15"/>
      <c r="W842" s="15"/>
      <c r="X842" s="15"/>
      <c r="Y842" s="15"/>
      <c r="Z842" s="15"/>
    </row>
    <row r="843" spans="1:26" x14ac:dyDescent="0.3">
      <c r="A843" s="15"/>
      <c r="B843" s="15"/>
      <c r="C843" s="15"/>
      <c r="D843" s="15"/>
      <c r="E843" s="15"/>
      <c r="F843" s="15"/>
      <c r="G843" s="15"/>
      <c r="H843" s="52"/>
      <c r="I843" s="52"/>
      <c r="J843" s="15"/>
      <c r="K843" s="15"/>
      <c r="L843" s="15"/>
      <c r="M843" s="15"/>
      <c r="N843" s="15"/>
      <c r="O843" s="15"/>
      <c r="P843" s="15"/>
      <c r="Q843" s="15"/>
      <c r="R843" s="15"/>
      <c r="S843" s="15"/>
      <c r="T843" s="15"/>
      <c r="U843" s="15"/>
      <c r="V843" s="15"/>
      <c r="W843" s="15"/>
      <c r="X843" s="15"/>
      <c r="Y843" s="15"/>
      <c r="Z843" s="15"/>
    </row>
    <row r="844" spans="1:26" x14ac:dyDescent="0.3">
      <c r="A844" s="15"/>
      <c r="B844" s="15"/>
      <c r="C844" s="15"/>
      <c r="D844" s="15"/>
      <c r="E844" s="15"/>
      <c r="F844" s="15"/>
      <c r="G844" s="15"/>
      <c r="H844" s="52"/>
      <c r="I844" s="52"/>
      <c r="J844" s="15"/>
      <c r="K844" s="15"/>
      <c r="L844" s="15"/>
      <c r="M844" s="15"/>
      <c r="N844" s="15"/>
      <c r="O844" s="15"/>
      <c r="P844" s="15"/>
      <c r="Q844" s="15"/>
      <c r="R844" s="15"/>
      <c r="S844" s="15"/>
      <c r="T844" s="15"/>
      <c r="U844" s="15"/>
      <c r="V844" s="15"/>
      <c r="W844" s="15"/>
      <c r="X844" s="15"/>
      <c r="Y844" s="15"/>
      <c r="Z844" s="15"/>
    </row>
    <row r="845" spans="1:26" x14ac:dyDescent="0.3">
      <c r="A845" s="15"/>
      <c r="B845" s="15"/>
      <c r="C845" s="15"/>
      <c r="D845" s="15"/>
      <c r="E845" s="15"/>
      <c r="F845" s="15"/>
      <c r="G845" s="15"/>
      <c r="H845" s="52"/>
      <c r="I845" s="52"/>
      <c r="J845" s="15"/>
      <c r="K845" s="15"/>
      <c r="L845" s="15"/>
      <c r="M845" s="15"/>
      <c r="N845" s="15"/>
      <c r="O845" s="15"/>
      <c r="P845" s="15"/>
      <c r="Q845" s="15"/>
      <c r="R845" s="15"/>
      <c r="S845" s="15"/>
      <c r="T845" s="15"/>
      <c r="U845" s="15"/>
      <c r="V845" s="15"/>
      <c r="W845" s="15"/>
      <c r="X845" s="15"/>
      <c r="Y845" s="15"/>
      <c r="Z845" s="15"/>
    </row>
    <row r="846" spans="1:26" x14ac:dyDescent="0.3">
      <c r="A846" s="15"/>
      <c r="B846" s="15"/>
      <c r="C846" s="15"/>
      <c r="D846" s="15"/>
      <c r="E846" s="15"/>
      <c r="F846" s="15"/>
      <c r="G846" s="15"/>
      <c r="H846" s="52"/>
      <c r="I846" s="52"/>
      <c r="J846" s="15"/>
      <c r="K846" s="15"/>
      <c r="L846" s="15"/>
      <c r="M846" s="15"/>
      <c r="N846" s="15"/>
      <c r="O846" s="15"/>
      <c r="P846" s="15"/>
      <c r="Q846" s="15"/>
      <c r="R846" s="15"/>
      <c r="S846" s="15"/>
      <c r="T846" s="15"/>
      <c r="U846" s="15"/>
      <c r="V846" s="15"/>
      <c r="W846" s="15"/>
      <c r="X846" s="15"/>
      <c r="Y846" s="15"/>
      <c r="Z846" s="15"/>
    </row>
    <row r="847" spans="1:26" x14ac:dyDescent="0.3">
      <c r="A847" s="15"/>
      <c r="B847" s="15"/>
      <c r="C847" s="15"/>
      <c r="D847" s="15"/>
      <c r="E847" s="15"/>
      <c r="F847" s="15"/>
      <c r="G847" s="15"/>
      <c r="H847" s="52"/>
      <c r="I847" s="52"/>
      <c r="J847" s="15"/>
      <c r="K847" s="15"/>
      <c r="L847" s="15"/>
      <c r="M847" s="15"/>
      <c r="N847" s="15"/>
      <c r="O847" s="15"/>
      <c r="P847" s="15"/>
      <c r="Q847" s="15"/>
      <c r="R847" s="15"/>
      <c r="S847" s="15"/>
      <c r="T847" s="15"/>
      <c r="U847" s="15"/>
      <c r="V847" s="15"/>
      <c r="W847" s="15"/>
      <c r="X847" s="15"/>
      <c r="Y847" s="15"/>
      <c r="Z847" s="15"/>
    </row>
    <row r="848" spans="1:26" x14ac:dyDescent="0.3">
      <c r="A848" s="15"/>
      <c r="B848" s="15"/>
      <c r="C848" s="15"/>
      <c r="D848" s="15"/>
      <c r="E848" s="15"/>
      <c r="F848" s="15"/>
      <c r="G848" s="15"/>
      <c r="H848" s="52"/>
      <c r="I848" s="52"/>
      <c r="J848" s="15"/>
      <c r="K848" s="15"/>
      <c r="L848" s="15"/>
      <c r="M848" s="15"/>
      <c r="N848" s="15"/>
      <c r="O848" s="15"/>
      <c r="P848" s="15"/>
      <c r="Q848" s="15"/>
      <c r="R848" s="15"/>
      <c r="S848" s="15"/>
      <c r="T848" s="15"/>
      <c r="U848" s="15"/>
      <c r="V848" s="15"/>
      <c r="W848" s="15"/>
      <c r="X848" s="15"/>
      <c r="Y848" s="15"/>
      <c r="Z848" s="15"/>
    </row>
    <row r="849" spans="1:26" x14ac:dyDescent="0.3">
      <c r="A849" s="15"/>
      <c r="B849" s="15"/>
      <c r="C849" s="15"/>
      <c r="D849" s="15"/>
      <c r="E849" s="15"/>
      <c r="F849" s="15"/>
      <c r="G849" s="15"/>
      <c r="H849" s="52"/>
      <c r="I849" s="52"/>
      <c r="J849" s="15"/>
      <c r="K849" s="15"/>
      <c r="L849" s="15"/>
      <c r="M849" s="15"/>
      <c r="N849" s="15"/>
      <c r="O849" s="15"/>
      <c r="P849" s="15"/>
      <c r="Q849" s="15"/>
      <c r="R849" s="15"/>
      <c r="S849" s="15"/>
      <c r="T849" s="15"/>
      <c r="U849" s="15"/>
      <c r="V849" s="15"/>
      <c r="W849" s="15"/>
      <c r="X849" s="15"/>
      <c r="Y849" s="15"/>
      <c r="Z849" s="15"/>
    </row>
    <row r="850" spans="1:26" x14ac:dyDescent="0.3">
      <c r="A850" s="15"/>
      <c r="B850" s="15"/>
      <c r="C850" s="15"/>
      <c r="D850" s="15"/>
      <c r="E850" s="15"/>
      <c r="F850" s="15"/>
      <c r="G850" s="15"/>
      <c r="H850" s="52"/>
      <c r="I850" s="52"/>
      <c r="J850" s="15"/>
      <c r="K850" s="15"/>
      <c r="L850" s="15"/>
      <c r="M850" s="15"/>
      <c r="N850" s="15"/>
      <c r="O850" s="15"/>
      <c r="P850" s="15"/>
      <c r="Q850" s="15"/>
      <c r="R850" s="15"/>
      <c r="S850" s="15"/>
      <c r="T850" s="15"/>
      <c r="U850" s="15"/>
      <c r="V850" s="15"/>
      <c r="W850" s="15"/>
      <c r="X850" s="15"/>
      <c r="Y850" s="15"/>
      <c r="Z850" s="15"/>
    </row>
    <row r="851" spans="1:26" x14ac:dyDescent="0.3">
      <c r="A851" s="15"/>
      <c r="B851" s="15"/>
      <c r="C851" s="15"/>
      <c r="D851" s="15"/>
      <c r="E851" s="15"/>
      <c r="F851" s="15"/>
      <c r="G851" s="15"/>
      <c r="H851" s="52"/>
      <c r="I851" s="52"/>
      <c r="J851" s="15"/>
      <c r="K851" s="15"/>
      <c r="L851" s="15"/>
      <c r="M851" s="15"/>
      <c r="N851" s="15"/>
      <c r="O851" s="15"/>
      <c r="P851" s="15"/>
      <c r="Q851" s="15"/>
      <c r="R851" s="15"/>
      <c r="S851" s="15"/>
      <c r="T851" s="15"/>
      <c r="U851" s="15"/>
      <c r="V851" s="15"/>
      <c r="W851" s="15"/>
      <c r="X851" s="15"/>
      <c r="Y851" s="15"/>
      <c r="Z851" s="15"/>
    </row>
    <row r="852" spans="1:26" x14ac:dyDescent="0.3">
      <c r="A852" s="15"/>
      <c r="B852" s="15"/>
      <c r="C852" s="15"/>
      <c r="D852" s="15"/>
      <c r="E852" s="15"/>
      <c r="F852" s="15"/>
      <c r="G852" s="15"/>
      <c r="H852" s="52"/>
      <c r="I852" s="52"/>
      <c r="J852" s="15"/>
      <c r="K852" s="15"/>
      <c r="L852" s="15"/>
      <c r="M852" s="15"/>
      <c r="N852" s="15"/>
      <c r="O852" s="15"/>
      <c r="P852" s="15"/>
      <c r="Q852" s="15"/>
      <c r="R852" s="15"/>
      <c r="S852" s="15"/>
      <c r="T852" s="15"/>
      <c r="U852" s="15"/>
      <c r="V852" s="15"/>
      <c r="W852" s="15"/>
      <c r="X852" s="15"/>
      <c r="Y852" s="15"/>
      <c r="Z852" s="15"/>
    </row>
    <row r="853" spans="1:26" x14ac:dyDescent="0.3">
      <c r="A853" s="15"/>
      <c r="B853" s="15"/>
      <c r="C853" s="15"/>
      <c r="D853" s="15"/>
      <c r="E853" s="15"/>
      <c r="F853" s="15"/>
      <c r="G853" s="15"/>
      <c r="H853" s="52"/>
      <c r="I853" s="52"/>
      <c r="J853" s="15"/>
      <c r="K853" s="15"/>
      <c r="L853" s="15"/>
      <c r="M853" s="15"/>
      <c r="N853" s="15"/>
      <c r="O853" s="15"/>
      <c r="P853" s="15"/>
      <c r="Q853" s="15"/>
      <c r="R853" s="15"/>
      <c r="S853" s="15"/>
      <c r="T853" s="15"/>
      <c r="U853" s="15"/>
      <c r="V853" s="15"/>
      <c r="W853" s="15"/>
      <c r="X853" s="15"/>
      <c r="Y853" s="15"/>
      <c r="Z853" s="15"/>
    </row>
    <row r="854" spans="1:26" x14ac:dyDescent="0.3">
      <c r="A854" s="15"/>
      <c r="B854" s="15"/>
      <c r="C854" s="15"/>
      <c r="D854" s="15"/>
      <c r="E854" s="15"/>
      <c r="F854" s="15"/>
      <c r="G854" s="15"/>
      <c r="H854" s="52"/>
      <c r="I854" s="52"/>
      <c r="J854" s="15"/>
      <c r="K854" s="15"/>
      <c r="L854" s="15"/>
      <c r="M854" s="15"/>
      <c r="N854" s="15"/>
      <c r="O854" s="15"/>
      <c r="P854" s="15"/>
      <c r="Q854" s="15"/>
      <c r="R854" s="15"/>
      <c r="S854" s="15"/>
      <c r="T854" s="15"/>
      <c r="U854" s="15"/>
      <c r="V854" s="15"/>
      <c r="W854" s="15"/>
      <c r="X854" s="15"/>
      <c r="Y854" s="15"/>
      <c r="Z854" s="15"/>
    </row>
    <row r="855" spans="1:26" x14ac:dyDescent="0.3">
      <c r="A855" s="15"/>
      <c r="B855" s="15"/>
      <c r="C855" s="15"/>
      <c r="D855" s="15"/>
      <c r="E855" s="15"/>
      <c r="F855" s="15"/>
      <c r="G855" s="15"/>
      <c r="H855" s="52"/>
      <c r="I855" s="52"/>
      <c r="J855" s="15"/>
      <c r="K855" s="15"/>
      <c r="L855" s="15"/>
      <c r="M855" s="15"/>
      <c r="N855" s="15"/>
      <c r="O855" s="15"/>
      <c r="P855" s="15"/>
      <c r="Q855" s="15"/>
      <c r="R855" s="15"/>
      <c r="S855" s="15"/>
      <c r="T855" s="15"/>
      <c r="U855" s="15"/>
      <c r="V855" s="15"/>
      <c r="W855" s="15"/>
      <c r="X855" s="15"/>
      <c r="Y855" s="15"/>
      <c r="Z855" s="15"/>
    </row>
    <row r="856" spans="1:26" x14ac:dyDescent="0.3">
      <c r="A856" s="15"/>
      <c r="B856" s="15"/>
      <c r="C856" s="15"/>
      <c r="D856" s="15"/>
      <c r="E856" s="15"/>
      <c r="F856" s="15"/>
      <c r="G856" s="15"/>
      <c r="H856" s="52"/>
      <c r="I856" s="52"/>
      <c r="J856" s="15"/>
      <c r="K856" s="15"/>
      <c r="L856" s="15"/>
      <c r="M856" s="15"/>
      <c r="N856" s="15"/>
      <c r="O856" s="15"/>
      <c r="P856" s="15"/>
      <c r="Q856" s="15"/>
      <c r="R856" s="15"/>
      <c r="S856" s="15"/>
      <c r="T856" s="15"/>
      <c r="U856" s="15"/>
      <c r="V856" s="15"/>
      <c r="W856" s="15"/>
      <c r="X856" s="15"/>
      <c r="Y856" s="15"/>
      <c r="Z856" s="15"/>
    </row>
    <row r="857" spans="1:26" x14ac:dyDescent="0.3">
      <c r="A857" s="15"/>
      <c r="B857" s="15"/>
      <c r="C857" s="15"/>
      <c r="D857" s="15"/>
      <c r="E857" s="15"/>
      <c r="F857" s="15"/>
      <c r="G857" s="15"/>
      <c r="H857" s="52"/>
      <c r="I857" s="52"/>
      <c r="J857" s="15"/>
      <c r="K857" s="15"/>
      <c r="L857" s="15"/>
      <c r="M857" s="15"/>
      <c r="N857" s="15"/>
      <c r="O857" s="15"/>
      <c r="P857" s="15"/>
      <c r="Q857" s="15"/>
      <c r="R857" s="15"/>
      <c r="S857" s="15"/>
      <c r="T857" s="15"/>
      <c r="U857" s="15"/>
      <c r="V857" s="15"/>
      <c r="W857" s="15"/>
      <c r="X857" s="15"/>
      <c r="Y857" s="15"/>
      <c r="Z857" s="15"/>
    </row>
    <row r="858" spans="1:26" x14ac:dyDescent="0.3">
      <c r="A858" s="15"/>
      <c r="B858" s="15"/>
      <c r="C858" s="15"/>
      <c r="D858" s="15"/>
      <c r="E858" s="15"/>
      <c r="F858" s="15"/>
      <c r="G858" s="15"/>
      <c r="H858" s="52"/>
      <c r="I858" s="52"/>
      <c r="J858" s="15"/>
      <c r="K858" s="15"/>
      <c r="L858" s="15"/>
      <c r="M858" s="15"/>
      <c r="N858" s="15"/>
      <c r="O858" s="15"/>
      <c r="P858" s="15"/>
      <c r="Q858" s="15"/>
      <c r="R858" s="15"/>
      <c r="S858" s="15"/>
      <c r="T858" s="15"/>
      <c r="U858" s="15"/>
      <c r="V858" s="15"/>
      <c r="W858" s="15"/>
      <c r="X858" s="15"/>
      <c r="Y858" s="15"/>
      <c r="Z858" s="15"/>
    </row>
    <row r="859" spans="1:26" x14ac:dyDescent="0.3">
      <c r="A859" s="15"/>
      <c r="B859" s="15"/>
      <c r="C859" s="15"/>
      <c r="D859" s="15"/>
      <c r="E859" s="15"/>
      <c r="F859" s="15"/>
      <c r="G859" s="15"/>
      <c r="H859" s="52"/>
      <c r="I859" s="52"/>
      <c r="J859" s="15"/>
      <c r="K859" s="15"/>
      <c r="L859" s="15"/>
      <c r="M859" s="15"/>
      <c r="N859" s="15"/>
      <c r="O859" s="15"/>
      <c r="P859" s="15"/>
      <c r="Q859" s="15"/>
      <c r="R859" s="15"/>
      <c r="S859" s="15"/>
      <c r="T859" s="15"/>
      <c r="U859" s="15"/>
      <c r="V859" s="15"/>
      <c r="W859" s="15"/>
      <c r="X859" s="15"/>
      <c r="Y859" s="15"/>
      <c r="Z859" s="15"/>
    </row>
    <row r="860" spans="1:26" x14ac:dyDescent="0.3">
      <c r="A860" s="15"/>
      <c r="B860" s="15"/>
      <c r="C860" s="15"/>
      <c r="D860" s="15"/>
      <c r="E860" s="15"/>
      <c r="F860" s="15"/>
      <c r="G860" s="15"/>
      <c r="H860" s="52"/>
      <c r="I860" s="52"/>
      <c r="J860" s="15"/>
      <c r="K860" s="15"/>
      <c r="L860" s="15"/>
      <c r="M860" s="15"/>
      <c r="N860" s="15"/>
      <c r="O860" s="15"/>
      <c r="P860" s="15"/>
      <c r="Q860" s="15"/>
      <c r="R860" s="15"/>
      <c r="S860" s="15"/>
      <c r="T860" s="15"/>
      <c r="U860" s="15"/>
      <c r="V860" s="15"/>
      <c r="W860" s="15"/>
      <c r="X860" s="15"/>
      <c r="Y860" s="15"/>
      <c r="Z860" s="15"/>
    </row>
    <row r="861" spans="1:26" x14ac:dyDescent="0.3">
      <c r="A861" s="15"/>
      <c r="B861" s="15"/>
      <c r="C861" s="15"/>
      <c r="D861" s="15"/>
      <c r="E861" s="15"/>
      <c r="F861" s="15"/>
      <c r="G861" s="15"/>
      <c r="H861" s="52"/>
      <c r="I861" s="52"/>
      <c r="J861" s="15"/>
      <c r="K861" s="15"/>
      <c r="L861" s="15"/>
      <c r="M861" s="15"/>
      <c r="N861" s="15"/>
      <c r="O861" s="15"/>
      <c r="P861" s="15"/>
      <c r="Q861" s="15"/>
      <c r="R861" s="15"/>
      <c r="S861" s="15"/>
      <c r="T861" s="15"/>
      <c r="U861" s="15"/>
      <c r="V861" s="15"/>
      <c r="W861" s="15"/>
      <c r="X861" s="15"/>
      <c r="Y861" s="15"/>
      <c r="Z861" s="15"/>
    </row>
    <row r="862" spans="1:26" x14ac:dyDescent="0.3">
      <c r="A862" s="15"/>
      <c r="B862" s="15"/>
      <c r="C862" s="15"/>
      <c r="D862" s="15"/>
      <c r="E862" s="15"/>
      <c r="F862" s="15"/>
      <c r="G862" s="15"/>
      <c r="H862" s="52"/>
      <c r="I862" s="52"/>
      <c r="J862" s="15"/>
      <c r="K862" s="15"/>
      <c r="L862" s="15"/>
      <c r="M862" s="15"/>
      <c r="N862" s="15"/>
      <c r="O862" s="15"/>
      <c r="P862" s="15"/>
      <c r="Q862" s="15"/>
      <c r="R862" s="15"/>
      <c r="S862" s="15"/>
      <c r="T862" s="15"/>
      <c r="U862" s="15"/>
      <c r="V862" s="15"/>
      <c r="W862" s="15"/>
      <c r="X862" s="15"/>
      <c r="Y862" s="15"/>
      <c r="Z862" s="15"/>
    </row>
    <row r="863" spans="1:26" x14ac:dyDescent="0.3">
      <c r="A863" s="15"/>
      <c r="B863" s="15"/>
      <c r="C863" s="15"/>
      <c r="D863" s="15"/>
      <c r="E863" s="15"/>
      <c r="F863" s="15"/>
      <c r="G863" s="15"/>
      <c r="H863" s="52"/>
      <c r="I863" s="52"/>
      <c r="J863" s="15"/>
      <c r="K863" s="15"/>
      <c r="L863" s="15"/>
      <c r="M863" s="15"/>
      <c r="N863" s="15"/>
      <c r="O863" s="15"/>
      <c r="P863" s="15"/>
      <c r="Q863" s="15"/>
      <c r="R863" s="15"/>
      <c r="S863" s="15"/>
      <c r="T863" s="15"/>
      <c r="U863" s="15"/>
      <c r="V863" s="15"/>
      <c r="W863" s="15"/>
      <c r="X863" s="15"/>
      <c r="Y863" s="15"/>
      <c r="Z863" s="15"/>
    </row>
    <row r="864" spans="1:26" x14ac:dyDescent="0.3">
      <c r="A864" s="15"/>
      <c r="B864" s="15"/>
      <c r="C864" s="15"/>
      <c r="D864" s="15"/>
      <c r="E864" s="15"/>
      <c r="F864" s="15"/>
      <c r="G864" s="15"/>
      <c r="H864" s="52"/>
      <c r="I864" s="52"/>
      <c r="J864" s="15"/>
      <c r="K864" s="15"/>
      <c r="L864" s="15"/>
      <c r="M864" s="15"/>
      <c r="N864" s="15"/>
      <c r="O864" s="15"/>
      <c r="P864" s="15"/>
      <c r="Q864" s="15"/>
      <c r="R864" s="15"/>
      <c r="S864" s="15"/>
      <c r="T864" s="15"/>
      <c r="U864" s="15"/>
      <c r="V864" s="15"/>
      <c r="W864" s="15"/>
      <c r="X864" s="15"/>
      <c r="Y864" s="15"/>
      <c r="Z864" s="15"/>
    </row>
    <row r="865" spans="1:26" x14ac:dyDescent="0.3">
      <c r="A865" s="15"/>
      <c r="B865" s="15"/>
      <c r="C865" s="15"/>
      <c r="D865" s="15"/>
      <c r="E865" s="15"/>
      <c r="F865" s="15"/>
      <c r="G865" s="15"/>
      <c r="H865" s="52"/>
      <c r="I865" s="52"/>
      <c r="J865" s="15"/>
      <c r="K865" s="15"/>
      <c r="L865" s="15"/>
      <c r="M865" s="15"/>
      <c r="N865" s="15"/>
      <c r="O865" s="15"/>
      <c r="P865" s="15"/>
      <c r="Q865" s="15"/>
      <c r="R865" s="15"/>
      <c r="S865" s="15"/>
      <c r="T865" s="15"/>
      <c r="U865" s="15"/>
      <c r="V865" s="15"/>
      <c r="W865" s="15"/>
      <c r="X865" s="15"/>
      <c r="Y865" s="15"/>
      <c r="Z865" s="15"/>
    </row>
    <row r="866" spans="1:26" x14ac:dyDescent="0.3">
      <c r="A866" s="15"/>
      <c r="B866" s="15"/>
      <c r="C866" s="15"/>
      <c r="D866" s="15"/>
      <c r="E866" s="15"/>
      <c r="F866" s="15"/>
      <c r="G866" s="15"/>
      <c r="H866" s="52"/>
      <c r="I866" s="52"/>
      <c r="J866" s="15"/>
      <c r="K866" s="15"/>
      <c r="L866" s="15"/>
      <c r="M866" s="15"/>
      <c r="N866" s="15"/>
      <c r="O866" s="15"/>
      <c r="P866" s="15"/>
      <c r="Q866" s="15"/>
      <c r="R866" s="15"/>
      <c r="S866" s="15"/>
      <c r="T866" s="15"/>
      <c r="U866" s="15"/>
      <c r="V866" s="15"/>
      <c r="W866" s="15"/>
      <c r="X866" s="15"/>
      <c r="Y866" s="15"/>
      <c r="Z866" s="15"/>
    </row>
    <row r="867" spans="1:26" x14ac:dyDescent="0.3">
      <c r="A867" s="15"/>
      <c r="B867" s="15"/>
      <c r="C867" s="15"/>
      <c r="D867" s="15"/>
      <c r="E867" s="15"/>
      <c r="F867" s="15"/>
      <c r="G867" s="15"/>
      <c r="H867" s="52"/>
      <c r="I867" s="52"/>
      <c r="J867" s="15"/>
      <c r="K867" s="15"/>
      <c r="L867" s="15"/>
      <c r="M867" s="15"/>
      <c r="N867" s="15"/>
      <c r="O867" s="15"/>
      <c r="P867" s="15"/>
      <c r="Q867" s="15"/>
      <c r="R867" s="15"/>
      <c r="S867" s="15"/>
      <c r="T867" s="15"/>
      <c r="U867" s="15"/>
      <c r="V867" s="15"/>
      <c r="W867" s="15"/>
      <c r="X867" s="15"/>
      <c r="Y867" s="15"/>
      <c r="Z867" s="15"/>
    </row>
    <row r="868" spans="1:26" x14ac:dyDescent="0.3">
      <c r="A868" s="15"/>
      <c r="B868" s="15"/>
      <c r="C868" s="15"/>
      <c r="D868" s="15"/>
      <c r="E868" s="15"/>
      <c r="F868" s="15"/>
      <c r="G868" s="15"/>
      <c r="H868" s="52"/>
      <c r="I868" s="52"/>
      <c r="J868" s="15"/>
      <c r="K868" s="15"/>
      <c r="L868" s="15"/>
      <c r="M868" s="15"/>
      <c r="N868" s="15"/>
      <c r="O868" s="15"/>
      <c r="P868" s="15"/>
      <c r="Q868" s="15"/>
      <c r="R868" s="15"/>
      <c r="S868" s="15"/>
      <c r="T868" s="15"/>
      <c r="U868" s="15"/>
      <c r="V868" s="15"/>
      <c r="W868" s="15"/>
      <c r="X868" s="15"/>
      <c r="Y868" s="15"/>
      <c r="Z868" s="15"/>
    </row>
    <row r="869" spans="1:26" x14ac:dyDescent="0.3">
      <c r="A869" s="15"/>
      <c r="B869" s="15"/>
      <c r="C869" s="15"/>
      <c r="D869" s="15"/>
      <c r="E869" s="15"/>
      <c r="F869" s="15"/>
      <c r="G869" s="15"/>
      <c r="H869" s="52"/>
      <c r="I869" s="52"/>
      <c r="J869" s="15"/>
      <c r="K869" s="15"/>
      <c r="L869" s="15"/>
      <c r="M869" s="15"/>
      <c r="N869" s="15"/>
      <c r="O869" s="15"/>
      <c r="P869" s="15"/>
      <c r="Q869" s="15"/>
      <c r="R869" s="15"/>
      <c r="S869" s="15"/>
      <c r="T869" s="15"/>
      <c r="U869" s="15"/>
      <c r="V869" s="15"/>
      <c r="W869" s="15"/>
      <c r="X869" s="15"/>
      <c r="Y869" s="15"/>
      <c r="Z869" s="15"/>
    </row>
    <row r="870" spans="1:26" x14ac:dyDescent="0.3">
      <c r="A870" s="15"/>
      <c r="B870" s="15"/>
      <c r="C870" s="15"/>
      <c r="D870" s="15"/>
      <c r="E870" s="15"/>
      <c r="F870" s="15"/>
      <c r="G870" s="15"/>
      <c r="H870" s="52"/>
      <c r="I870" s="52"/>
      <c r="J870" s="15"/>
      <c r="K870" s="15"/>
      <c r="L870" s="15"/>
      <c r="M870" s="15"/>
      <c r="N870" s="15"/>
      <c r="O870" s="15"/>
      <c r="P870" s="15"/>
      <c r="Q870" s="15"/>
      <c r="R870" s="15"/>
      <c r="S870" s="15"/>
      <c r="T870" s="15"/>
      <c r="U870" s="15"/>
      <c r="V870" s="15"/>
      <c r="W870" s="15"/>
      <c r="X870" s="15"/>
      <c r="Y870" s="15"/>
      <c r="Z870" s="15"/>
    </row>
    <row r="871" spans="1:26" x14ac:dyDescent="0.3">
      <c r="A871" s="15"/>
      <c r="B871" s="15"/>
      <c r="C871" s="15"/>
      <c r="D871" s="15"/>
      <c r="E871" s="15"/>
      <c r="F871" s="15"/>
      <c r="G871" s="15"/>
      <c r="H871" s="52"/>
      <c r="I871" s="52"/>
      <c r="J871" s="15"/>
      <c r="K871" s="15"/>
      <c r="L871" s="15"/>
      <c r="M871" s="15"/>
      <c r="N871" s="15"/>
      <c r="O871" s="15"/>
      <c r="P871" s="15"/>
      <c r="Q871" s="15"/>
      <c r="R871" s="15"/>
      <c r="S871" s="15"/>
      <c r="T871" s="15"/>
      <c r="U871" s="15"/>
      <c r="V871" s="15"/>
      <c r="W871" s="15"/>
      <c r="X871" s="15"/>
      <c r="Y871" s="15"/>
      <c r="Z871" s="15"/>
    </row>
    <row r="872" spans="1:26" x14ac:dyDescent="0.3">
      <c r="A872" s="15"/>
      <c r="B872" s="15"/>
      <c r="C872" s="15"/>
      <c r="D872" s="15"/>
      <c r="E872" s="15"/>
      <c r="F872" s="15"/>
      <c r="G872" s="15"/>
      <c r="H872" s="52"/>
      <c r="I872" s="52"/>
      <c r="J872" s="15"/>
      <c r="K872" s="15"/>
      <c r="L872" s="15"/>
      <c r="M872" s="15"/>
      <c r="N872" s="15"/>
      <c r="O872" s="15"/>
      <c r="P872" s="15"/>
      <c r="Q872" s="15"/>
      <c r="R872" s="15"/>
      <c r="S872" s="15"/>
      <c r="T872" s="15"/>
      <c r="U872" s="15"/>
      <c r="V872" s="15"/>
      <c r="W872" s="15"/>
      <c r="X872" s="15"/>
      <c r="Y872" s="15"/>
      <c r="Z872" s="15"/>
    </row>
    <row r="873" spans="1:26" x14ac:dyDescent="0.3">
      <c r="A873" s="15"/>
      <c r="B873" s="15"/>
      <c r="C873" s="15"/>
      <c r="D873" s="15"/>
      <c r="E873" s="15"/>
      <c r="F873" s="15"/>
      <c r="G873" s="15"/>
      <c r="H873" s="52"/>
      <c r="I873" s="52"/>
      <c r="J873" s="15"/>
      <c r="K873" s="15"/>
      <c r="L873" s="15"/>
      <c r="M873" s="15"/>
      <c r="N873" s="15"/>
      <c r="O873" s="15"/>
      <c r="P873" s="15"/>
      <c r="Q873" s="15"/>
      <c r="R873" s="15"/>
      <c r="S873" s="15"/>
      <c r="T873" s="15"/>
      <c r="U873" s="15"/>
      <c r="V873" s="15"/>
      <c r="W873" s="15"/>
      <c r="X873" s="15"/>
      <c r="Y873" s="15"/>
      <c r="Z873" s="15"/>
    </row>
    <row r="874" spans="1:26" x14ac:dyDescent="0.3">
      <c r="A874" s="15"/>
      <c r="B874" s="15"/>
      <c r="C874" s="15"/>
      <c r="D874" s="15"/>
      <c r="E874" s="15"/>
      <c r="F874" s="15"/>
      <c r="G874" s="15"/>
      <c r="H874" s="52"/>
      <c r="I874" s="52"/>
      <c r="J874" s="15"/>
      <c r="K874" s="15"/>
      <c r="L874" s="15"/>
      <c r="M874" s="15"/>
      <c r="N874" s="15"/>
      <c r="O874" s="15"/>
      <c r="P874" s="15"/>
      <c r="Q874" s="15"/>
      <c r="R874" s="15"/>
      <c r="S874" s="15"/>
      <c r="T874" s="15"/>
      <c r="U874" s="15"/>
      <c r="V874" s="15"/>
      <c r="W874" s="15"/>
      <c r="X874" s="15"/>
      <c r="Y874" s="15"/>
      <c r="Z874" s="15"/>
    </row>
    <row r="875" spans="1:26" x14ac:dyDescent="0.3">
      <c r="A875" s="15"/>
      <c r="B875" s="15"/>
      <c r="C875" s="15"/>
      <c r="D875" s="15"/>
      <c r="E875" s="15"/>
      <c r="F875" s="15"/>
      <c r="G875" s="15"/>
      <c r="H875" s="52"/>
      <c r="I875" s="52"/>
      <c r="J875" s="15"/>
      <c r="K875" s="15"/>
      <c r="L875" s="15"/>
      <c r="M875" s="15"/>
      <c r="N875" s="15"/>
      <c r="O875" s="15"/>
      <c r="P875" s="15"/>
      <c r="Q875" s="15"/>
      <c r="R875" s="15"/>
      <c r="S875" s="15"/>
      <c r="T875" s="15"/>
      <c r="U875" s="15"/>
      <c r="V875" s="15"/>
      <c r="W875" s="15"/>
      <c r="X875" s="15"/>
      <c r="Y875" s="15"/>
      <c r="Z875" s="15"/>
    </row>
    <row r="876" spans="1:26" x14ac:dyDescent="0.3">
      <c r="A876" s="15"/>
      <c r="B876" s="15"/>
      <c r="C876" s="15"/>
      <c r="D876" s="15"/>
      <c r="E876" s="15"/>
      <c r="F876" s="15"/>
      <c r="G876" s="15"/>
      <c r="H876" s="52"/>
      <c r="I876" s="52"/>
      <c r="J876" s="15"/>
      <c r="K876" s="15"/>
      <c r="L876" s="15"/>
      <c r="M876" s="15"/>
      <c r="N876" s="15"/>
      <c r="O876" s="15"/>
      <c r="P876" s="15"/>
      <c r="Q876" s="15"/>
      <c r="R876" s="15"/>
      <c r="S876" s="15"/>
      <c r="T876" s="15"/>
      <c r="U876" s="15"/>
      <c r="V876" s="15"/>
      <c r="W876" s="15"/>
      <c r="X876" s="15"/>
      <c r="Y876" s="15"/>
      <c r="Z876" s="15"/>
    </row>
    <row r="877" spans="1:26" x14ac:dyDescent="0.3">
      <c r="A877" s="15"/>
      <c r="B877" s="15"/>
      <c r="C877" s="15"/>
      <c r="D877" s="15"/>
      <c r="E877" s="15"/>
      <c r="F877" s="15"/>
      <c r="G877" s="15"/>
      <c r="H877" s="52"/>
      <c r="I877" s="52"/>
      <c r="J877" s="15"/>
      <c r="K877" s="15"/>
      <c r="L877" s="15"/>
      <c r="M877" s="15"/>
      <c r="N877" s="15"/>
      <c r="O877" s="15"/>
      <c r="P877" s="15"/>
      <c r="Q877" s="15"/>
      <c r="R877" s="15"/>
      <c r="S877" s="15"/>
      <c r="T877" s="15"/>
      <c r="U877" s="15"/>
      <c r="V877" s="15"/>
      <c r="W877" s="15"/>
      <c r="X877" s="15"/>
      <c r="Y877" s="15"/>
      <c r="Z877" s="15"/>
    </row>
    <row r="878" spans="1:26" x14ac:dyDescent="0.3">
      <c r="A878" s="15"/>
      <c r="B878" s="15"/>
      <c r="C878" s="15"/>
      <c r="D878" s="15"/>
      <c r="E878" s="15"/>
      <c r="F878" s="15"/>
      <c r="G878" s="15"/>
      <c r="H878" s="52"/>
      <c r="I878" s="52"/>
      <c r="J878" s="15"/>
      <c r="K878" s="15"/>
      <c r="L878" s="15"/>
      <c r="M878" s="15"/>
      <c r="N878" s="15"/>
      <c r="O878" s="15"/>
      <c r="P878" s="15"/>
      <c r="Q878" s="15"/>
      <c r="R878" s="15"/>
      <c r="S878" s="15"/>
      <c r="T878" s="15"/>
      <c r="U878" s="15"/>
      <c r="V878" s="15"/>
      <c r="W878" s="15"/>
      <c r="X878" s="15"/>
      <c r="Y878" s="15"/>
      <c r="Z878" s="15"/>
    </row>
    <row r="879" spans="1:26" x14ac:dyDescent="0.3">
      <c r="A879" s="15"/>
      <c r="B879" s="15"/>
      <c r="C879" s="15"/>
      <c r="D879" s="15"/>
      <c r="E879" s="15"/>
      <c r="F879" s="15"/>
      <c r="G879" s="15"/>
      <c r="H879" s="52"/>
      <c r="I879" s="52"/>
      <c r="J879" s="15"/>
      <c r="K879" s="15"/>
      <c r="L879" s="15"/>
      <c r="M879" s="15"/>
      <c r="N879" s="15"/>
      <c r="O879" s="15"/>
      <c r="P879" s="15"/>
      <c r="Q879" s="15"/>
      <c r="R879" s="15"/>
      <c r="S879" s="15"/>
      <c r="T879" s="15"/>
      <c r="U879" s="15"/>
      <c r="V879" s="15"/>
      <c r="W879" s="15"/>
      <c r="X879" s="15"/>
      <c r="Y879" s="15"/>
      <c r="Z879" s="15"/>
    </row>
    <row r="880" spans="1:26" x14ac:dyDescent="0.3">
      <c r="A880" s="15"/>
      <c r="B880" s="15"/>
      <c r="C880" s="15"/>
      <c r="D880" s="15"/>
      <c r="E880" s="15"/>
      <c r="F880" s="15"/>
      <c r="G880" s="15"/>
      <c r="H880" s="52"/>
      <c r="I880" s="52"/>
      <c r="J880" s="15"/>
      <c r="K880" s="15"/>
      <c r="L880" s="15"/>
      <c r="M880" s="15"/>
      <c r="N880" s="15"/>
      <c r="O880" s="15"/>
      <c r="P880" s="15"/>
      <c r="Q880" s="15"/>
      <c r="R880" s="15"/>
      <c r="S880" s="15"/>
      <c r="T880" s="15"/>
      <c r="U880" s="15"/>
      <c r="V880" s="15"/>
      <c r="W880" s="15"/>
      <c r="X880" s="15"/>
      <c r="Y880" s="15"/>
      <c r="Z880" s="15"/>
    </row>
    <row r="881" spans="1:26" x14ac:dyDescent="0.3">
      <c r="A881" s="15"/>
      <c r="B881" s="15"/>
      <c r="C881" s="15"/>
      <c r="D881" s="15"/>
      <c r="E881" s="15"/>
      <c r="F881" s="15"/>
      <c r="G881" s="15"/>
      <c r="H881" s="52"/>
      <c r="I881" s="52"/>
      <c r="J881" s="15"/>
      <c r="K881" s="15"/>
      <c r="L881" s="15"/>
      <c r="M881" s="15"/>
      <c r="N881" s="15"/>
      <c r="O881" s="15"/>
      <c r="P881" s="15"/>
      <c r="Q881" s="15"/>
      <c r="R881" s="15"/>
      <c r="S881" s="15"/>
      <c r="T881" s="15"/>
      <c r="U881" s="15"/>
      <c r="V881" s="15"/>
      <c r="W881" s="15"/>
      <c r="X881" s="15"/>
      <c r="Y881" s="15"/>
      <c r="Z881" s="15"/>
    </row>
    <row r="882" spans="1:26" x14ac:dyDescent="0.3">
      <c r="A882" s="15"/>
      <c r="B882" s="15"/>
      <c r="C882" s="15"/>
      <c r="D882" s="15"/>
      <c r="E882" s="15"/>
      <c r="F882" s="15"/>
      <c r="G882" s="15"/>
      <c r="H882" s="52"/>
      <c r="I882" s="52"/>
      <c r="J882" s="15"/>
      <c r="K882" s="15"/>
      <c r="L882" s="15"/>
      <c r="M882" s="15"/>
      <c r="N882" s="15"/>
      <c r="O882" s="15"/>
      <c r="P882" s="15"/>
      <c r="Q882" s="15"/>
      <c r="R882" s="15"/>
      <c r="S882" s="15"/>
      <c r="T882" s="15"/>
      <c r="U882" s="15"/>
      <c r="V882" s="15"/>
      <c r="W882" s="15"/>
      <c r="X882" s="15"/>
      <c r="Y882" s="15"/>
      <c r="Z882" s="15"/>
    </row>
    <row r="883" spans="1:26" x14ac:dyDescent="0.3">
      <c r="A883" s="15"/>
      <c r="B883" s="15"/>
      <c r="C883" s="15"/>
      <c r="D883" s="15"/>
      <c r="E883" s="15"/>
      <c r="F883" s="15"/>
      <c r="G883" s="15"/>
      <c r="H883" s="52"/>
      <c r="I883" s="52"/>
      <c r="J883" s="15"/>
      <c r="K883" s="15"/>
      <c r="L883" s="15"/>
      <c r="M883" s="15"/>
      <c r="N883" s="15"/>
      <c r="O883" s="15"/>
      <c r="P883" s="15"/>
      <c r="Q883" s="15"/>
      <c r="R883" s="15"/>
      <c r="S883" s="15"/>
      <c r="T883" s="15"/>
      <c r="U883" s="15"/>
      <c r="V883" s="15"/>
      <c r="W883" s="15"/>
      <c r="X883" s="15"/>
      <c r="Y883" s="15"/>
      <c r="Z883" s="15"/>
    </row>
    <row r="884" spans="1:26" x14ac:dyDescent="0.3">
      <c r="A884" s="15"/>
      <c r="B884" s="15"/>
      <c r="C884" s="15"/>
      <c r="D884" s="15"/>
      <c r="E884" s="15"/>
      <c r="F884" s="15"/>
      <c r="G884" s="15"/>
      <c r="H884" s="52"/>
      <c r="I884" s="52"/>
      <c r="J884" s="15"/>
      <c r="K884" s="15"/>
      <c r="L884" s="15"/>
      <c r="M884" s="15"/>
      <c r="N884" s="15"/>
      <c r="O884" s="15"/>
      <c r="P884" s="15"/>
      <c r="Q884" s="15"/>
      <c r="R884" s="15"/>
      <c r="S884" s="15"/>
      <c r="T884" s="15"/>
      <c r="U884" s="15"/>
      <c r="V884" s="15"/>
      <c r="W884" s="15"/>
      <c r="X884" s="15"/>
      <c r="Y884" s="15"/>
      <c r="Z884" s="15"/>
    </row>
    <row r="885" spans="1:26" x14ac:dyDescent="0.3">
      <c r="A885" s="15"/>
      <c r="B885" s="15"/>
      <c r="C885" s="15"/>
      <c r="D885" s="15"/>
      <c r="E885" s="15"/>
      <c r="F885" s="15"/>
      <c r="G885" s="15"/>
      <c r="H885" s="52"/>
      <c r="I885" s="52"/>
      <c r="J885" s="15"/>
      <c r="K885" s="15"/>
      <c r="L885" s="15"/>
      <c r="M885" s="15"/>
      <c r="N885" s="15"/>
      <c r="O885" s="15"/>
      <c r="P885" s="15"/>
      <c r="Q885" s="15"/>
      <c r="R885" s="15"/>
      <c r="S885" s="15"/>
      <c r="T885" s="15"/>
      <c r="U885" s="15"/>
      <c r="V885" s="15"/>
      <c r="W885" s="15"/>
      <c r="X885" s="15"/>
      <c r="Y885" s="15"/>
      <c r="Z885" s="15"/>
    </row>
    <row r="886" spans="1:26" x14ac:dyDescent="0.3">
      <c r="A886" s="15"/>
      <c r="B886" s="15"/>
      <c r="C886" s="15"/>
      <c r="D886" s="15"/>
      <c r="E886" s="15"/>
      <c r="F886" s="15"/>
      <c r="G886" s="15"/>
      <c r="H886" s="52"/>
      <c r="I886" s="52"/>
      <c r="J886" s="15"/>
      <c r="K886" s="15"/>
      <c r="L886" s="15"/>
      <c r="M886" s="15"/>
      <c r="N886" s="15"/>
      <c r="O886" s="15"/>
      <c r="P886" s="15"/>
      <c r="Q886" s="15"/>
      <c r="R886" s="15"/>
      <c r="S886" s="15"/>
      <c r="T886" s="15"/>
      <c r="U886" s="15"/>
      <c r="V886" s="15"/>
      <c r="W886" s="15"/>
      <c r="X886" s="15"/>
      <c r="Y886" s="15"/>
      <c r="Z886" s="15"/>
    </row>
    <row r="887" spans="1:26" x14ac:dyDescent="0.3">
      <c r="A887" s="15"/>
      <c r="B887" s="15"/>
      <c r="C887" s="15"/>
      <c r="D887" s="15"/>
      <c r="E887" s="15"/>
      <c r="F887" s="15"/>
      <c r="G887" s="15"/>
      <c r="H887" s="52"/>
      <c r="I887" s="52"/>
      <c r="J887" s="15"/>
      <c r="K887" s="15"/>
      <c r="L887" s="15"/>
      <c r="M887" s="15"/>
      <c r="N887" s="15"/>
      <c r="O887" s="15"/>
      <c r="P887" s="15"/>
      <c r="Q887" s="15"/>
      <c r="R887" s="15"/>
      <c r="S887" s="15"/>
      <c r="T887" s="15"/>
      <c r="U887" s="15"/>
      <c r="V887" s="15"/>
      <c r="W887" s="15"/>
      <c r="X887" s="15"/>
      <c r="Y887" s="15"/>
      <c r="Z887" s="15"/>
    </row>
    <row r="888" spans="1:26" x14ac:dyDescent="0.3">
      <c r="A888" s="15"/>
      <c r="B888" s="15"/>
      <c r="C888" s="15"/>
      <c r="D888" s="15"/>
      <c r="E888" s="15"/>
      <c r="F888" s="15"/>
      <c r="G888" s="15"/>
      <c r="H888" s="52"/>
      <c r="I888" s="52"/>
      <c r="J888" s="15"/>
      <c r="K888" s="15"/>
      <c r="L888" s="15"/>
      <c r="M888" s="15"/>
      <c r="N888" s="15"/>
      <c r="O888" s="15"/>
      <c r="P888" s="15"/>
      <c r="Q888" s="15"/>
      <c r="R888" s="15"/>
      <c r="S888" s="15"/>
      <c r="T888" s="15"/>
      <c r="U888" s="15"/>
      <c r="V888" s="15"/>
      <c r="W888" s="15"/>
      <c r="X888" s="15"/>
      <c r="Y888" s="15"/>
      <c r="Z888" s="15"/>
    </row>
    <row r="889" spans="1:26" x14ac:dyDescent="0.3">
      <c r="A889" s="15"/>
      <c r="B889" s="15"/>
      <c r="C889" s="15"/>
      <c r="D889" s="15"/>
      <c r="E889" s="15"/>
      <c r="F889" s="15"/>
      <c r="G889" s="15"/>
      <c r="H889" s="52"/>
      <c r="I889" s="52"/>
      <c r="J889" s="15"/>
      <c r="K889" s="15"/>
      <c r="L889" s="15"/>
      <c r="M889" s="15"/>
      <c r="N889" s="15"/>
      <c r="O889" s="15"/>
      <c r="P889" s="15"/>
      <c r="Q889" s="15"/>
      <c r="R889" s="15"/>
      <c r="S889" s="15"/>
      <c r="T889" s="15"/>
      <c r="U889" s="15"/>
      <c r="V889" s="15"/>
      <c r="W889" s="15"/>
      <c r="X889" s="15"/>
      <c r="Y889" s="15"/>
      <c r="Z889" s="15"/>
    </row>
    <row r="890" spans="1:26" x14ac:dyDescent="0.3">
      <c r="A890" s="15"/>
      <c r="B890" s="15"/>
      <c r="C890" s="15"/>
      <c r="D890" s="15"/>
      <c r="E890" s="15"/>
      <c r="F890" s="15"/>
      <c r="G890" s="15"/>
      <c r="H890" s="52"/>
      <c r="I890" s="52"/>
      <c r="J890" s="15"/>
      <c r="K890" s="15"/>
      <c r="L890" s="15"/>
      <c r="M890" s="15"/>
      <c r="N890" s="15"/>
      <c r="O890" s="15"/>
      <c r="P890" s="15"/>
      <c r="Q890" s="15"/>
      <c r="R890" s="15"/>
      <c r="S890" s="15"/>
      <c r="T890" s="15"/>
      <c r="U890" s="15"/>
      <c r="V890" s="15"/>
      <c r="W890" s="15"/>
      <c r="X890" s="15"/>
      <c r="Y890" s="15"/>
      <c r="Z890" s="15"/>
    </row>
    <row r="891" spans="1:26" x14ac:dyDescent="0.3">
      <c r="A891" s="15"/>
      <c r="B891" s="15"/>
      <c r="C891" s="15"/>
      <c r="D891" s="15"/>
      <c r="E891" s="15"/>
      <c r="F891" s="15"/>
      <c r="G891" s="15"/>
      <c r="H891" s="52"/>
      <c r="I891" s="52"/>
      <c r="J891" s="15"/>
      <c r="K891" s="15"/>
      <c r="L891" s="15"/>
      <c r="M891" s="15"/>
      <c r="N891" s="15"/>
      <c r="O891" s="15"/>
      <c r="P891" s="15"/>
      <c r="Q891" s="15"/>
      <c r="R891" s="15"/>
      <c r="S891" s="15"/>
      <c r="T891" s="15"/>
      <c r="U891" s="15"/>
      <c r="V891" s="15"/>
      <c r="W891" s="15"/>
      <c r="X891" s="15"/>
      <c r="Y891" s="15"/>
      <c r="Z891" s="15"/>
    </row>
    <row r="892" spans="1:26" x14ac:dyDescent="0.3">
      <c r="A892" s="15"/>
      <c r="B892" s="15"/>
      <c r="C892" s="15"/>
      <c r="D892" s="15"/>
      <c r="E892" s="15"/>
      <c r="F892" s="15"/>
      <c r="G892" s="15"/>
      <c r="H892" s="52"/>
      <c r="I892" s="52"/>
      <c r="J892" s="15"/>
      <c r="K892" s="15"/>
      <c r="L892" s="15"/>
      <c r="M892" s="15"/>
      <c r="N892" s="15"/>
      <c r="O892" s="15"/>
      <c r="P892" s="15"/>
      <c r="Q892" s="15"/>
      <c r="R892" s="15"/>
      <c r="S892" s="15"/>
      <c r="T892" s="15"/>
      <c r="U892" s="15"/>
      <c r="V892" s="15"/>
      <c r="W892" s="15"/>
      <c r="X892" s="15"/>
      <c r="Y892" s="15"/>
      <c r="Z892" s="15"/>
    </row>
    <row r="893" spans="1:26" x14ac:dyDescent="0.3">
      <c r="A893" s="15"/>
      <c r="B893" s="15"/>
      <c r="C893" s="15"/>
      <c r="D893" s="15"/>
      <c r="E893" s="15"/>
      <c r="F893" s="15"/>
      <c r="G893" s="15"/>
      <c r="H893" s="52"/>
      <c r="I893" s="52"/>
      <c r="J893" s="15"/>
      <c r="K893" s="15"/>
      <c r="L893" s="15"/>
      <c r="M893" s="15"/>
      <c r="N893" s="15"/>
      <c r="O893" s="15"/>
      <c r="P893" s="15"/>
      <c r="Q893" s="15"/>
      <c r="R893" s="15"/>
      <c r="S893" s="15"/>
      <c r="T893" s="15"/>
      <c r="U893" s="15"/>
      <c r="V893" s="15"/>
      <c r="W893" s="15"/>
      <c r="X893" s="15"/>
      <c r="Y893" s="15"/>
      <c r="Z893" s="15"/>
    </row>
    <row r="894" spans="1:26" x14ac:dyDescent="0.3">
      <c r="A894" s="15"/>
      <c r="B894" s="15"/>
      <c r="C894" s="15"/>
      <c r="D894" s="15"/>
      <c r="E894" s="15"/>
      <c r="F894" s="15"/>
      <c r="G894" s="15"/>
      <c r="H894" s="52"/>
      <c r="I894" s="52"/>
      <c r="J894" s="15"/>
      <c r="K894" s="15"/>
      <c r="L894" s="15"/>
      <c r="M894" s="15"/>
      <c r="N894" s="15"/>
      <c r="O894" s="15"/>
      <c r="P894" s="15"/>
      <c r="Q894" s="15"/>
      <c r="R894" s="15"/>
      <c r="S894" s="15"/>
      <c r="T894" s="15"/>
      <c r="U894" s="15"/>
      <c r="V894" s="15"/>
      <c r="W894" s="15"/>
      <c r="X894" s="15"/>
      <c r="Y894" s="15"/>
      <c r="Z894" s="15"/>
    </row>
    <row r="895" spans="1:26" x14ac:dyDescent="0.3">
      <c r="A895" s="15"/>
      <c r="B895" s="15"/>
      <c r="C895" s="15"/>
      <c r="D895" s="15"/>
      <c r="E895" s="15"/>
      <c r="F895" s="15"/>
      <c r="G895" s="15"/>
      <c r="H895" s="52"/>
      <c r="I895" s="52"/>
      <c r="J895" s="15"/>
      <c r="K895" s="15"/>
      <c r="L895" s="15"/>
      <c r="M895" s="15"/>
      <c r="N895" s="15"/>
      <c r="O895" s="15"/>
      <c r="P895" s="15"/>
      <c r="Q895" s="15"/>
      <c r="R895" s="15"/>
      <c r="S895" s="15"/>
      <c r="T895" s="15"/>
      <c r="U895" s="15"/>
      <c r="V895" s="15"/>
      <c r="W895" s="15"/>
      <c r="X895" s="15"/>
      <c r="Y895" s="15"/>
      <c r="Z895" s="15"/>
    </row>
    <row r="896" spans="1:26" x14ac:dyDescent="0.3">
      <c r="A896" s="15"/>
      <c r="B896" s="15"/>
      <c r="C896" s="15"/>
      <c r="D896" s="15"/>
      <c r="E896" s="15"/>
      <c r="F896" s="15"/>
      <c r="G896" s="15"/>
      <c r="H896" s="52"/>
      <c r="I896" s="52"/>
      <c r="J896" s="15"/>
      <c r="K896" s="15"/>
      <c r="L896" s="15"/>
      <c r="M896" s="15"/>
      <c r="N896" s="15"/>
      <c r="O896" s="15"/>
      <c r="P896" s="15"/>
      <c r="Q896" s="15"/>
      <c r="R896" s="15"/>
      <c r="S896" s="15"/>
      <c r="T896" s="15"/>
      <c r="U896" s="15"/>
      <c r="V896" s="15"/>
      <c r="W896" s="15"/>
      <c r="X896" s="15"/>
      <c r="Y896" s="15"/>
      <c r="Z896" s="15"/>
    </row>
    <row r="897" spans="1:26" x14ac:dyDescent="0.3">
      <c r="A897" s="15"/>
      <c r="B897" s="15"/>
      <c r="C897" s="15"/>
      <c r="D897" s="15"/>
      <c r="E897" s="15"/>
      <c r="F897" s="15"/>
      <c r="G897" s="15"/>
      <c r="H897" s="52"/>
      <c r="I897" s="52"/>
      <c r="J897" s="15"/>
      <c r="K897" s="15"/>
      <c r="L897" s="15"/>
      <c r="M897" s="15"/>
      <c r="N897" s="15"/>
      <c r="O897" s="15"/>
      <c r="P897" s="15"/>
      <c r="Q897" s="15"/>
      <c r="R897" s="15"/>
      <c r="S897" s="15"/>
      <c r="T897" s="15"/>
      <c r="U897" s="15"/>
      <c r="V897" s="15"/>
      <c r="W897" s="15"/>
      <c r="X897" s="15"/>
      <c r="Y897" s="15"/>
      <c r="Z897" s="15"/>
    </row>
    <row r="898" spans="1:26" x14ac:dyDescent="0.3">
      <c r="A898" s="15"/>
      <c r="B898" s="15"/>
      <c r="C898" s="15"/>
      <c r="D898" s="15"/>
      <c r="E898" s="15"/>
      <c r="F898" s="15"/>
      <c r="G898" s="15"/>
      <c r="H898" s="52"/>
      <c r="I898" s="52"/>
      <c r="J898" s="15"/>
      <c r="K898" s="15"/>
      <c r="L898" s="15"/>
      <c r="M898" s="15"/>
      <c r="N898" s="15"/>
      <c r="O898" s="15"/>
      <c r="P898" s="15"/>
      <c r="Q898" s="15"/>
      <c r="R898" s="15"/>
      <c r="S898" s="15"/>
      <c r="T898" s="15"/>
      <c r="U898" s="15"/>
      <c r="V898" s="15"/>
      <c r="W898" s="15"/>
      <c r="X898" s="15"/>
      <c r="Y898" s="15"/>
      <c r="Z898" s="15"/>
    </row>
    <row r="899" spans="1:26" x14ac:dyDescent="0.3">
      <c r="A899" s="15"/>
      <c r="B899" s="15"/>
      <c r="C899" s="15"/>
      <c r="D899" s="15"/>
      <c r="E899" s="15"/>
      <c r="F899" s="15"/>
      <c r="G899" s="15"/>
      <c r="H899" s="52"/>
      <c r="I899" s="52"/>
      <c r="J899" s="15"/>
      <c r="K899" s="15"/>
      <c r="L899" s="15"/>
      <c r="M899" s="15"/>
      <c r="N899" s="15"/>
      <c r="O899" s="15"/>
      <c r="P899" s="15"/>
      <c r="Q899" s="15"/>
      <c r="R899" s="15"/>
      <c r="S899" s="15"/>
      <c r="T899" s="15"/>
      <c r="U899" s="15"/>
      <c r="V899" s="15"/>
      <c r="W899" s="15"/>
      <c r="X899" s="15"/>
      <c r="Y899" s="15"/>
      <c r="Z899" s="15"/>
    </row>
    <row r="900" spans="1:26" x14ac:dyDescent="0.3">
      <c r="A900" s="15"/>
      <c r="B900" s="15"/>
      <c r="C900" s="15"/>
      <c r="D900" s="15"/>
      <c r="E900" s="15"/>
      <c r="F900" s="15"/>
      <c r="G900" s="15"/>
      <c r="H900" s="52"/>
      <c r="I900" s="52"/>
      <c r="J900" s="15"/>
      <c r="K900" s="15"/>
      <c r="L900" s="15"/>
      <c r="M900" s="15"/>
      <c r="N900" s="15"/>
      <c r="O900" s="15"/>
      <c r="P900" s="15"/>
      <c r="Q900" s="15"/>
      <c r="R900" s="15"/>
      <c r="S900" s="15"/>
      <c r="T900" s="15"/>
      <c r="U900" s="15"/>
      <c r="V900" s="15"/>
      <c r="W900" s="15"/>
      <c r="X900" s="15"/>
      <c r="Y900" s="15"/>
      <c r="Z900" s="15"/>
    </row>
    <row r="901" spans="1:26" x14ac:dyDescent="0.3">
      <c r="A901" s="15"/>
      <c r="B901" s="15"/>
      <c r="C901" s="15"/>
      <c r="D901" s="15"/>
      <c r="E901" s="15"/>
      <c r="F901" s="15"/>
      <c r="G901" s="15"/>
      <c r="H901" s="52"/>
      <c r="I901" s="52"/>
      <c r="J901" s="15"/>
      <c r="K901" s="15"/>
      <c r="L901" s="15"/>
      <c r="M901" s="15"/>
      <c r="N901" s="15"/>
      <c r="O901" s="15"/>
      <c r="P901" s="15"/>
      <c r="Q901" s="15"/>
      <c r="R901" s="15"/>
      <c r="S901" s="15"/>
      <c r="T901" s="15"/>
      <c r="U901" s="15"/>
      <c r="V901" s="15"/>
      <c r="W901" s="15"/>
      <c r="X901" s="15"/>
      <c r="Y901" s="15"/>
      <c r="Z901" s="15"/>
    </row>
    <row r="902" spans="1:26" x14ac:dyDescent="0.3">
      <c r="A902" s="15"/>
      <c r="B902" s="15"/>
      <c r="C902" s="15"/>
      <c r="D902" s="15"/>
      <c r="E902" s="15"/>
      <c r="F902" s="15"/>
      <c r="G902" s="15"/>
      <c r="H902" s="52"/>
      <c r="I902" s="52"/>
      <c r="J902" s="15"/>
      <c r="K902" s="15"/>
      <c r="L902" s="15"/>
      <c r="M902" s="15"/>
      <c r="N902" s="15"/>
      <c r="O902" s="15"/>
      <c r="P902" s="15"/>
      <c r="Q902" s="15"/>
      <c r="R902" s="15"/>
      <c r="S902" s="15"/>
      <c r="T902" s="15"/>
      <c r="U902" s="15"/>
      <c r="V902" s="15"/>
      <c r="W902" s="15"/>
      <c r="X902" s="15"/>
      <c r="Y902" s="15"/>
      <c r="Z902" s="15"/>
    </row>
    <row r="903" spans="1:26" x14ac:dyDescent="0.3">
      <c r="A903" s="15"/>
      <c r="B903" s="15"/>
      <c r="C903" s="15"/>
      <c r="D903" s="15"/>
      <c r="E903" s="15"/>
      <c r="F903" s="15"/>
      <c r="G903" s="15"/>
      <c r="H903" s="52"/>
      <c r="I903" s="52"/>
      <c r="J903" s="15"/>
      <c r="K903" s="15"/>
      <c r="L903" s="15"/>
      <c r="M903" s="15"/>
      <c r="N903" s="15"/>
      <c r="O903" s="15"/>
      <c r="P903" s="15"/>
      <c r="Q903" s="15"/>
      <c r="R903" s="15"/>
      <c r="S903" s="15"/>
      <c r="T903" s="15"/>
      <c r="U903" s="15"/>
      <c r="V903" s="15"/>
      <c r="W903" s="15"/>
      <c r="X903" s="15"/>
      <c r="Y903" s="15"/>
      <c r="Z903" s="15"/>
    </row>
    <row r="904" spans="1:26" x14ac:dyDescent="0.3">
      <c r="A904" s="15"/>
      <c r="B904" s="15"/>
      <c r="C904" s="15"/>
      <c r="D904" s="15"/>
      <c r="E904" s="15"/>
      <c r="F904" s="15"/>
      <c r="G904" s="15"/>
      <c r="H904" s="52"/>
      <c r="I904" s="52"/>
      <c r="J904" s="15"/>
      <c r="K904" s="15"/>
      <c r="L904" s="15"/>
      <c r="M904" s="15"/>
      <c r="N904" s="15"/>
      <c r="O904" s="15"/>
      <c r="P904" s="15"/>
      <c r="Q904" s="15"/>
      <c r="R904" s="15"/>
      <c r="S904" s="15"/>
      <c r="T904" s="15"/>
      <c r="U904" s="15"/>
      <c r="V904" s="15"/>
      <c r="W904" s="15"/>
      <c r="X904" s="15"/>
      <c r="Y904" s="15"/>
      <c r="Z904" s="15"/>
    </row>
    <row r="905" spans="1:26" x14ac:dyDescent="0.3">
      <c r="A905" s="15"/>
      <c r="B905" s="15"/>
      <c r="C905" s="15"/>
      <c r="D905" s="15"/>
      <c r="E905" s="15"/>
      <c r="F905" s="15"/>
      <c r="G905" s="15"/>
      <c r="H905" s="52"/>
      <c r="I905" s="52"/>
      <c r="J905" s="15"/>
      <c r="K905" s="15"/>
      <c r="L905" s="15"/>
      <c r="M905" s="15"/>
      <c r="N905" s="15"/>
      <c r="O905" s="15"/>
      <c r="P905" s="15"/>
      <c r="Q905" s="15"/>
      <c r="R905" s="15"/>
      <c r="S905" s="15"/>
      <c r="T905" s="15"/>
      <c r="U905" s="15"/>
      <c r="V905" s="15"/>
      <c r="W905" s="15"/>
      <c r="X905" s="15"/>
      <c r="Y905" s="15"/>
      <c r="Z905" s="15"/>
    </row>
    <row r="906" spans="1:26" x14ac:dyDescent="0.3">
      <c r="A906" s="15"/>
      <c r="B906" s="15"/>
      <c r="C906" s="15"/>
      <c r="D906" s="15"/>
      <c r="E906" s="15"/>
      <c r="F906" s="15"/>
      <c r="G906" s="15"/>
      <c r="H906" s="52"/>
      <c r="I906" s="52"/>
      <c r="J906" s="15"/>
      <c r="K906" s="15"/>
      <c r="L906" s="15"/>
      <c r="M906" s="15"/>
      <c r="N906" s="15"/>
      <c r="O906" s="15"/>
      <c r="P906" s="15"/>
      <c r="Q906" s="15"/>
      <c r="R906" s="15"/>
      <c r="S906" s="15"/>
      <c r="T906" s="15"/>
      <c r="U906" s="15"/>
      <c r="V906" s="15"/>
      <c r="W906" s="15"/>
      <c r="X906" s="15"/>
      <c r="Y906" s="15"/>
      <c r="Z906" s="15"/>
    </row>
    <row r="907" spans="1:26" x14ac:dyDescent="0.3">
      <c r="A907" s="15"/>
      <c r="B907" s="15"/>
      <c r="C907" s="15"/>
      <c r="D907" s="15"/>
      <c r="E907" s="15"/>
      <c r="F907" s="15"/>
      <c r="G907" s="15"/>
      <c r="H907" s="52"/>
      <c r="I907" s="52"/>
      <c r="J907" s="15"/>
      <c r="K907" s="15"/>
      <c r="L907" s="15"/>
      <c r="M907" s="15"/>
      <c r="N907" s="15"/>
      <c r="O907" s="15"/>
      <c r="P907" s="15"/>
      <c r="Q907" s="15"/>
      <c r="R907" s="15"/>
      <c r="S907" s="15"/>
      <c r="T907" s="15"/>
      <c r="U907" s="15"/>
      <c r="V907" s="15"/>
      <c r="W907" s="15"/>
      <c r="X907" s="15"/>
      <c r="Y907" s="15"/>
      <c r="Z907" s="15"/>
    </row>
    <row r="908" spans="1:26" x14ac:dyDescent="0.3">
      <c r="A908" s="15"/>
      <c r="B908" s="15"/>
      <c r="C908" s="15"/>
      <c r="D908" s="15"/>
      <c r="E908" s="15"/>
      <c r="F908" s="15"/>
      <c r="G908" s="15"/>
      <c r="H908" s="52"/>
      <c r="I908" s="52"/>
      <c r="J908" s="15"/>
      <c r="K908" s="15"/>
      <c r="L908" s="15"/>
      <c r="M908" s="15"/>
      <c r="N908" s="15"/>
      <c r="O908" s="15"/>
      <c r="P908" s="15"/>
      <c r="Q908" s="15"/>
      <c r="R908" s="15"/>
      <c r="S908" s="15"/>
      <c r="T908" s="15"/>
      <c r="U908" s="15"/>
      <c r="V908" s="15"/>
      <c r="W908" s="15"/>
      <c r="X908" s="15"/>
      <c r="Y908" s="15"/>
      <c r="Z908" s="15"/>
    </row>
    <row r="909" spans="1:26" x14ac:dyDescent="0.3">
      <c r="A909" s="15"/>
      <c r="B909" s="15"/>
      <c r="C909" s="15"/>
      <c r="D909" s="15"/>
      <c r="E909" s="15"/>
      <c r="F909" s="15"/>
      <c r="G909" s="15"/>
      <c r="H909" s="52"/>
      <c r="I909" s="52"/>
      <c r="J909" s="15"/>
      <c r="K909" s="15"/>
      <c r="L909" s="15"/>
      <c r="M909" s="15"/>
      <c r="N909" s="15"/>
      <c r="O909" s="15"/>
      <c r="P909" s="15"/>
      <c r="Q909" s="15"/>
      <c r="R909" s="15"/>
      <c r="S909" s="15"/>
      <c r="T909" s="15"/>
      <c r="U909" s="15"/>
      <c r="V909" s="15"/>
      <c r="W909" s="15"/>
      <c r="X909" s="15"/>
      <c r="Y909" s="15"/>
      <c r="Z909" s="15"/>
    </row>
    <row r="910" spans="1:26" x14ac:dyDescent="0.3">
      <c r="A910" s="15"/>
      <c r="B910" s="15"/>
      <c r="C910" s="15"/>
      <c r="D910" s="15"/>
      <c r="E910" s="15"/>
      <c r="F910" s="15"/>
      <c r="G910" s="15"/>
      <c r="H910" s="52"/>
      <c r="I910" s="52"/>
      <c r="J910" s="15"/>
      <c r="K910" s="15"/>
      <c r="L910" s="15"/>
      <c r="M910" s="15"/>
      <c r="N910" s="15"/>
      <c r="O910" s="15"/>
      <c r="P910" s="15"/>
      <c r="Q910" s="15"/>
      <c r="R910" s="15"/>
      <c r="S910" s="15"/>
      <c r="T910" s="15"/>
      <c r="U910" s="15"/>
      <c r="V910" s="15"/>
      <c r="W910" s="15"/>
      <c r="X910" s="15"/>
      <c r="Y910" s="15"/>
      <c r="Z910" s="15"/>
    </row>
    <row r="911" spans="1:26" x14ac:dyDescent="0.3">
      <c r="A911" s="15"/>
      <c r="B911" s="15"/>
      <c r="C911" s="15"/>
      <c r="D911" s="15"/>
      <c r="E911" s="15"/>
      <c r="F911" s="15"/>
      <c r="G911" s="15"/>
      <c r="H911" s="52"/>
      <c r="I911" s="52"/>
      <c r="J911" s="15"/>
      <c r="K911" s="15"/>
      <c r="L911" s="15"/>
      <c r="M911" s="15"/>
      <c r="N911" s="15"/>
      <c r="O911" s="15"/>
      <c r="P911" s="15"/>
      <c r="Q911" s="15"/>
      <c r="R911" s="15"/>
      <c r="S911" s="15"/>
      <c r="T911" s="15"/>
      <c r="U911" s="15"/>
      <c r="V911" s="15"/>
      <c r="W911" s="15"/>
      <c r="X911" s="15"/>
      <c r="Y911" s="15"/>
      <c r="Z911" s="15"/>
    </row>
    <row r="912" spans="1:26" x14ac:dyDescent="0.3">
      <c r="A912" s="15"/>
      <c r="B912" s="15"/>
      <c r="C912" s="15"/>
      <c r="D912" s="15"/>
      <c r="E912" s="15"/>
      <c r="F912" s="15"/>
      <c r="G912" s="15"/>
      <c r="H912" s="52"/>
      <c r="I912" s="52"/>
      <c r="J912" s="15"/>
      <c r="K912" s="15"/>
      <c r="L912" s="15"/>
      <c r="M912" s="15"/>
      <c r="N912" s="15"/>
      <c r="O912" s="15"/>
      <c r="P912" s="15"/>
      <c r="Q912" s="15"/>
      <c r="R912" s="15"/>
      <c r="S912" s="15"/>
      <c r="T912" s="15"/>
      <c r="U912" s="15"/>
      <c r="V912" s="15"/>
      <c r="W912" s="15"/>
      <c r="X912" s="15"/>
      <c r="Y912" s="15"/>
      <c r="Z912" s="15"/>
    </row>
    <row r="913" spans="1:26" x14ac:dyDescent="0.3">
      <c r="A913" s="15"/>
      <c r="B913" s="15"/>
      <c r="C913" s="15"/>
      <c r="D913" s="15"/>
      <c r="E913" s="15"/>
      <c r="F913" s="15"/>
      <c r="G913" s="15"/>
      <c r="H913" s="52"/>
      <c r="I913" s="52"/>
      <c r="J913" s="15"/>
      <c r="K913" s="15"/>
      <c r="L913" s="15"/>
      <c r="M913" s="15"/>
      <c r="N913" s="15"/>
      <c r="O913" s="15"/>
      <c r="P913" s="15"/>
      <c r="Q913" s="15"/>
      <c r="R913" s="15"/>
      <c r="S913" s="15"/>
      <c r="T913" s="15"/>
      <c r="U913" s="15"/>
      <c r="V913" s="15"/>
      <c r="W913" s="15"/>
      <c r="X913" s="15"/>
      <c r="Y913" s="15"/>
      <c r="Z913" s="15"/>
    </row>
    <row r="914" spans="1:26" x14ac:dyDescent="0.3">
      <c r="A914" s="15"/>
      <c r="B914" s="15"/>
      <c r="C914" s="15"/>
      <c r="D914" s="15"/>
      <c r="E914" s="15"/>
      <c r="F914" s="15"/>
      <c r="G914" s="15"/>
      <c r="H914" s="52"/>
      <c r="I914" s="52"/>
      <c r="J914" s="15"/>
      <c r="K914" s="15"/>
      <c r="L914" s="15"/>
      <c r="M914" s="15"/>
      <c r="N914" s="15"/>
      <c r="O914" s="15"/>
      <c r="P914" s="15"/>
      <c r="Q914" s="15"/>
      <c r="R914" s="15"/>
      <c r="S914" s="15"/>
      <c r="T914" s="15"/>
      <c r="U914" s="15"/>
      <c r="V914" s="15"/>
      <c r="W914" s="15"/>
      <c r="X914" s="15"/>
      <c r="Y914" s="15"/>
      <c r="Z914" s="15"/>
    </row>
    <row r="915" spans="1:26" x14ac:dyDescent="0.3">
      <c r="A915" s="15"/>
      <c r="B915" s="15"/>
      <c r="C915" s="15"/>
      <c r="D915" s="15"/>
      <c r="E915" s="15"/>
      <c r="F915" s="15"/>
      <c r="G915" s="15"/>
      <c r="H915" s="52"/>
      <c r="I915" s="52"/>
      <c r="J915" s="15"/>
      <c r="K915" s="15"/>
      <c r="L915" s="15"/>
      <c r="M915" s="15"/>
      <c r="N915" s="15"/>
      <c r="O915" s="15"/>
      <c r="P915" s="15"/>
      <c r="Q915" s="15"/>
      <c r="R915" s="15"/>
      <c r="S915" s="15"/>
      <c r="T915" s="15"/>
      <c r="U915" s="15"/>
      <c r="V915" s="15"/>
      <c r="W915" s="15"/>
      <c r="X915" s="15"/>
      <c r="Y915" s="15"/>
      <c r="Z915" s="15"/>
    </row>
    <row r="916" spans="1:26" x14ac:dyDescent="0.3">
      <c r="A916" s="15"/>
      <c r="B916" s="15"/>
      <c r="C916" s="15"/>
      <c r="D916" s="15"/>
      <c r="E916" s="15"/>
      <c r="F916" s="15"/>
      <c r="G916" s="15"/>
      <c r="H916" s="52"/>
      <c r="I916" s="52"/>
      <c r="J916" s="15"/>
      <c r="K916" s="15"/>
      <c r="L916" s="15"/>
      <c r="M916" s="15"/>
      <c r="N916" s="15"/>
      <c r="O916" s="15"/>
      <c r="P916" s="15"/>
      <c r="Q916" s="15"/>
      <c r="R916" s="15"/>
      <c r="S916" s="15"/>
      <c r="T916" s="15"/>
      <c r="U916" s="15"/>
      <c r="V916" s="15"/>
      <c r="W916" s="15"/>
      <c r="X916" s="15"/>
      <c r="Y916" s="15"/>
      <c r="Z916" s="15"/>
    </row>
    <row r="917" spans="1:26" x14ac:dyDescent="0.3">
      <c r="A917" s="15"/>
      <c r="B917" s="15"/>
      <c r="C917" s="15"/>
      <c r="D917" s="15"/>
      <c r="E917" s="15"/>
      <c r="F917" s="15"/>
      <c r="G917" s="15"/>
      <c r="H917" s="52"/>
      <c r="I917" s="52"/>
      <c r="J917" s="15"/>
      <c r="K917" s="15"/>
      <c r="L917" s="15"/>
      <c r="M917" s="15"/>
      <c r="N917" s="15"/>
      <c r="O917" s="15"/>
      <c r="P917" s="15"/>
      <c r="Q917" s="15"/>
      <c r="R917" s="15"/>
      <c r="S917" s="15"/>
      <c r="T917" s="15"/>
      <c r="U917" s="15"/>
      <c r="V917" s="15"/>
      <c r="W917" s="15"/>
      <c r="X917" s="15"/>
      <c r="Y917" s="15"/>
      <c r="Z917" s="15"/>
    </row>
    <row r="918" spans="1:26" x14ac:dyDescent="0.3">
      <c r="A918" s="15"/>
      <c r="B918" s="15"/>
      <c r="C918" s="15"/>
      <c r="D918" s="15"/>
      <c r="E918" s="15"/>
      <c r="F918" s="15"/>
      <c r="G918" s="15"/>
      <c r="H918" s="52"/>
      <c r="I918" s="52"/>
      <c r="J918" s="15"/>
      <c r="K918" s="15"/>
      <c r="L918" s="15"/>
      <c r="M918" s="15"/>
      <c r="N918" s="15"/>
      <c r="O918" s="15"/>
      <c r="P918" s="15"/>
      <c r="Q918" s="15"/>
      <c r="R918" s="15"/>
      <c r="S918" s="15"/>
      <c r="T918" s="15"/>
      <c r="U918" s="15"/>
      <c r="V918" s="15"/>
      <c r="W918" s="15"/>
      <c r="X918" s="15"/>
      <c r="Y918" s="15"/>
      <c r="Z918" s="15"/>
    </row>
    <row r="919" spans="1:26" x14ac:dyDescent="0.3">
      <c r="A919" s="15"/>
      <c r="B919" s="15"/>
      <c r="C919" s="15"/>
      <c r="D919" s="15"/>
      <c r="E919" s="15"/>
      <c r="F919" s="15"/>
      <c r="G919" s="15"/>
      <c r="H919" s="52"/>
      <c r="I919" s="52"/>
      <c r="J919" s="15"/>
      <c r="K919" s="15"/>
      <c r="L919" s="15"/>
      <c r="M919" s="15"/>
      <c r="N919" s="15"/>
      <c r="O919" s="15"/>
      <c r="P919" s="15"/>
      <c r="Q919" s="15"/>
      <c r="R919" s="15"/>
      <c r="S919" s="15"/>
      <c r="T919" s="15"/>
      <c r="U919" s="15"/>
      <c r="V919" s="15"/>
      <c r="W919" s="15"/>
      <c r="X919" s="15"/>
      <c r="Y919" s="15"/>
      <c r="Z919" s="15"/>
    </row>
    <row r="920" spans="1:26" x14ac:dyDescent="0.3">
      <c r="A920" s="15"/>
      <c r="B920" s="15"/>
      <c r="C920" s="15"/>
      <c r="D920" s="15"/>
      <c r="E920" s="15"/>
      <c r="F920" s="15"/>
      <c r="G920" s="15"/>
      <c r="H920" s="52"/>
      <c r="I920" s="52"/>
      <c r="J920" s="15"/>
      <c r="K920" s="15"/>
      <c r="L920" s="15"/>
      <c r="M920" s="15"/>
      <c r="N920" s="15"/>
      <c r="O920" s="15"/>
      <c r="P920" s="15"/>
      <c r="Q920" s="15"/>
      <c r="R920" s="15"/>
      <c r="S920" s="15"/>
      <c r="T920" s="15"/>
      <c r="U920" s="15"/>
      <c r="V920" s="15"/>
      <c r="W920" s="15"/>
      <c r="X920" s="15"/>
      <c r="Y920" s="15"/>
      <c r="Z920" s="15"/>
    </row>
    <row r="921" spans="1:26" x14ac:dyDescent="0.3">
      <c r="A921" s="15"/>
      <c r="B921" s="15"/>
      <c r="C921" s="15"/>
      <c r="D921" s="15"/>
      <c r="E921" s="15"/>
      <c r="F921" s="15"/>
      <c r="G921" s="15"/>
      <c r="H921" s="52"/>
      <c r="I921" s="52"/>
      <c r="J921" s="15"/>
      <c r="K921" s="15"/>
      <c r="L921" s="15"/>
      <c r="M921" s="15"/>
      <c r="N921" s="15"/>
      <c r="O921" s="15"/>
      <c r="P921" s="15"/>
      <c r="Q921" s="15"/>
      <c r="R921" s="15"/>
      <c r="S921" s="15"/>
      <c r="T921" s="15"/>
      <c r="U921" s="15"/>
      <c r="V921" s="15"/>
      <c r="W921" s="15"/>
      <c r="X921" s="15"/>
      <c r="Y921" s="15"/>
      <c r="Z921" s="15"/>
    </row>
    <row r="922" spans="1:26" x14ac:dyDescent="0.3">
      <c r="A922" s="15"/>
      <c r="B922" s="15"/>
      <c r="C922" s="15"/>
      <c r="D922" s="15"/>
      <c r="E922" s="15"/>
      <c r="F922" s="15"/>
      <c r="G922" s="15"/>
      <c r="H922" s="52"/>
      <c r="I922" s="52"/>
      <c r="J922" s="15"/>
      <c r="K922" s="15"/>
      <c r="L922" s="15"/>
      <c r="M922" s="15"/>
      <c r="N922" s="15"/>
      <c r="O922" s="15"/>
      <c r="P922" s="15"/>
      <c r="Q922" s="15"/>
      <c r="R922" s="15"/>
      <c r="S922" s="15"/>
      <c r="T922" s="15"/>
      <c r="U922" s="15"/>
      <c r="V922" s="15"/>
      <c r="W922" s="15"/>
      <c r="X922" s="15"/>
      <c r="Y922" s="15"/>
      <c r="Z922" s="15"/>
    </row>
    <row r="923" spans="1:26" x14ac:dyDescent="0.3">
      <c r="A923" s="15"/>
      <c r="B923" s="15"/>
      <c r="C923" s="15"/>
      <c r="D923" s="15"/>
      <c r="E923" s="15"/>
      <c r="F923" s="15"/>
      <c r="G923" s="15"/>
      <c r="H923" s="52"/>
      <c r="I923" s="52"/>
      <c r="J923" s="15"/>
      <c r="K923" s="15"/>
      <c r="L923" s="15"/>
      <c r="M923" s="15"/>
      <c r="N923" s="15"/>
      <c r="O923" s="15"/>
      <c r="P923" s="15"/>
      <c r="Q923" s="15"/>
      <c r="R923" s="15"/>
      <c r="S923" s="15"/>
      <c r="T923" s="15"/>
      <c r="U923" s="15"/>
      <c r="V923" s="15"/>
      <c r="W923" s="15"/>
      <c r="X923" s="15"/>
      <c r="Y923" s="15"/>
      <c r="Z923" s="15"/>
    </row>
    <row r="924" spans="1:26" x14ac:dyDescent="0.3">
      <c r="A924" s="15"/>
      <c r="B924" s="15"/>
      <c r="C924" s="15"/>
      <c r="D924" s="15"/>
      <c r="E924" s="15"/>
      <c r="F924" s="15"/>
      <c r="G924" s="15"/>
      <c r="H924" s="52"/>
      <c r="I924" s="52"/>
      <c r="J924" s="15"/>
      <c r="K924" s="15"/>
      <c r="L924" s="15"/>
      <c r="M924" s="15"/>
      <c r="N924" s="15"/>
      <c r="O924" s="15"/>
      <c r="P924" s="15"/>
      <c r="Q924" s="15"/>
      <c r="R924" s="15"/>
      <c r="S924" s="15"/>
      <c r="T924" s="15"/>
      <c r="U924" s="15"/>
      <c r="V924" s="15"/>
      <c r="W924" s="15"/>
      <c r="X924" s="15"/>
      <c r="Y924" s="15"/>
      <c r="Z924" s="15"/>
    </row>
    <row r="925" spans="1:26" x14ac:dyDescent="0.3">
      <c r="A925" s="15"/>
      <c r="B925" s="15"/>
      <c r="C925" s="15"/>
      <c r="D925" s="15"/>
      <c r="E925" s="15"/>
      <c r="F925" s="15"/>
      <c r="G925" s="15"/>
      <c r="H925" s="52"/>
      <c r="I925" s="52"/>
      <c r="J925" s="15"/>
      <c r="K925" s="15"/>
      <c r="L925" s="15"/>
      <c r="M925" s="15"/>
      <c r="N925" s="15"/>
      <c r="O925" s="15"/>
      <c r="P925" s="15"/>
      <c r="Q925" s="15"/>
      <c r="R925" s="15"/>
      <c r="S925" s="15"/>
      <c r="T925" s="15"/>
      <c r="U925" s="15"/>
      <c r="V925" s="15"/>
      <c r="W925" s="15"/>
      <c r="X925" s="15"/>
      <c r="Y925" s="15"/>
      <c r="Z925" s="15"/>
    </row>
    <row r="926" spans="1:26" x14ac:dyDescent="0.3">
      <c r="A926" s="15"/>
      <c r="B926" s="15"/>
      <c r="C926" s="15"/>
      <c r="D926" s="15"/>
      <c r="E926" s="15"/>
      <c r="F926" s="15"/>
      <c r="G926" s="15"/>
      <c r="H926" s="52"/>
      <c r="I926" s="52"/>
      <c r="J926" s="15"/>
      <c r="K926" s="15"/>
      <c r="L926" s="15"/>
      <c r="M926" s="15"/>
      <c r="N926" s="15"/>
      <c r="O926" s="15"/>
      <c r="P926" s="15"/>
      <c r="Q926" s="15"/>
      <c r="R926" s="15"/>
      <c r="S926" s="15"/>
      <c r="T926" s="15"/>
      <c r="U926" s="15"/>
      <c r="V926" s="15"/>
      <c r="W926" s="15"/>
      <c r="X926" s="15"/>
      <c r="Y926" s="15"/>
      <c r="Z926" s="15"/>
    </row>
    <row r="927" spans="1:26" x14ac:dyDescent="0.3">
      <c r="A927" s="15"/>
      <c r="B927" s="15"/>
      <c r="C927" s="15"/>
      <c r="D927" s="15"/>
      <c r="E927" s="15"/>
      <c r="F927" s="15"/>
      <c r="G927" s="15"/>
      <c r="H927" s="52"/>
      <c r="I927" s="52"/>
      <c r="J927" s="15"/>
      <c r="K927" s="15"/>
      <c r="L927" s="15"/>
      <c r="M927" s="15"/>
      <c r="N927" s="15"/>
      <c r="O927" s="15"/>
      <c r="P927" s="15"/>
      <c r="Q927" s="15"/>
      <c r="R927" s="15"/>
      <c r="S927" s="15"/>
      <c r="T927" s="15"/>
      <c r="U927" s="15"/>
      <c r="V927" s="15"/>
      <c r="W927" s="15"/>
      <c r="X927" s="15"/>
      <c r="Y927" s="15"/>
      <c r="Z927" s="15"/>
    </row>
    <row r="928" spans="1:26" x14ac:dyDescent="0.3">
      <c r="A928" s="15"/>
      <c r="B928" s="15"/>
      <c r="C928" s="15"/>
      <c r="D928" s="15"/>
      <c r="E928" s="15"/>
      <c r="F928" s="15"/>
      <c r="G928" s="15"/>
      <c r="H928" s="52"/>
      <c r="I928" s="52"/>
      <c r="J928" s="15"/>
      <c r="K928" s="15"/>
      <c r="L928" s="15"/>
      <c r="M928" s="15"/>
      <c r="N928" s="15"/>
      <c r="O928" s="15"/>
      <c r="P928" s="15"/>
      <c r="Q928" s="15"/>
      <c r="R928" s="15"/>
      <c r="S928" s="15"/>
      <c r="T928" s="15"/>
      <c r="U928" s="15"/>
      <c r="V928" s="15"/>
      <c r="W928" s="15"/>
      <c r="X928" s="15"/>
      <c r="Y928" s="15"/>
      <c r="Z928" s="15"/>
    </row>
    <row r="929" spans="1:26" x14ac:dyDescent="0.3">
      <c r="A929" s="15"/>
      <c r="B929" s="15"/>
      <c r="C929" s="15"/>
      <c r="D929" s="15"/>
      <c r="E929" s="15"/>
      <c r="F929" s="15"/>
      <c r="G929" s="15"/>
      <c r="H929" s="52"/>
      <c r="I929" s="52"/>
      <c r="J929" s="15"/>
      <c r="K929" s="15"/>
      <c r="L929" s="15"/>
      <c r="M929" s="15"/>
      <c r="N929" s="15"/>
      <c r="O929" s="15"/>
      <c r="P929" s="15"/>
      <c r="Q929" s="15"/>
      <c r="R929" s="15"/>
      <c r="S929" s="15"/>
      <c r="T929" s="15"/>
      <c r="U929" s="15"/>
      <c r="V929" s="15"/>
      <c r="W929" s="15"/>
      <c r="X929" s="15"/>
      <c r="Y929" s="15"/>
      <c r="Z929" s="15"/>
    </row>
    <row r="930" spans="1:26" x14ac:dyDescent="0.3">
      <c r="A930" s="15"/>
      <c r="B930" s="15"/>
      <c r="C930" s="15"/>
      <c r="D930" s="15"/>
      <c r="E930" s="15"/>
      <c r="F930" s="15"/>
      <c r="G930" s="15"/>
      <c r="H930" s="52"/>
      <c r="I930" s="52"/>
      <c r="J930" s="15"/>
      <c r="K930" s="15"/>
      <c r="L930" s="15"/>
      <c r="M930" s="15"/>
      <c r="N930" s="15"/>
      <c r="O930" s="15"/>
      <c r="P930" s="15"/>
      <c r="Q930" s="15"/>
      <c r="R930" s="15"/>
      <c r="S930" s="15"/>
      <c r="T930" s="15"/>
      <c r="U930" s="15"/>
      <c r="V930" s="15"/>
      <c r="W930" s="15"/>
      <c r="X930" s="15"/>
      <c r="Y930" s="15"/>
      <c r="Z930" s="15"/>
    </row>
    <row r="931" spans="1:26" x14ac:dyDescent="0.3">
      <c r="A931" s="15"/>
      <c r="B931" s="15"/>
      <c r="C931" s="15"/>
      <c r="D931" s="15"/>
      <c r="E931" s="15"/>
      <c r="F931" s="15"/>
      <c r="G931" s="15"/>
      <c r="H931" s="52"/>
      <c r="I931" s="52"/>
      <c r="J931" s="15"/>
      <c r="K931" s="15"/>
      <c r="L931" s="15"/>
      <c r="M931" s="15"/>
      <c r="N931" s="15"/>
      <c r="O931" s="15"/>
      <c r="P931" s="15"/>
      <c r="Q931" s="15"/>
      <c r="R931" s="15"/>
      <c r="S931" s="15"/>
      <c r="T931" s="15"/>
      <c r="U931" s="15"/>
      <c r="V931" s="15"/>
      <c r="W931" s="15"/>
      <c r="X931" s="15"/>
      <c r="Y931" s="15"/>
      <c r="Z931" s="15"/>
    </row>
    <row r="932" spans="1:26" x14ac:dyDescent="0.3">
      <c r="A932" s="15"/>
      <c r="B932" s="15"/>
      <c r="C932" s="15"/>
      <c r="D932" s="15"/>
      <c r="E932" s="15"/>
      <c r="F932" s="15"/>
      <c r="G932" s="15"/>
      <c r="H932" s="52"/>
      <c r="I932" s="52"/>
      <c r="J932" s="15"/>
      <c r="K932" s="15"/>
      <c r="L932" s="15"/>
      <c r="M932" s="15"/>
      <c r="N932" s="15"/>
      <c r="O932" s="15"/>
      <c r="P932" s="15"/>
      <c r="Q932" s="15"/>
      <c r="R932" s="15"/>
      <c r="S932" s="15"/>
      <c r="T932" s="15"/>
      <c r="U932" s="15"/>
      <c r="V932" s="15"/>
      <c r="W932" s="15"/>
      <c r="X932" s="15"/>
      <c r="Y932" s="15"/>
      <c r="Z932" s="15"/>
    </row>
    <row r="933" spans="1:26" x14ac:dyDescent="0.3">
      <c r="A933" s="15"/>
      <c r="B933" s="15"/>
      <c r="C933" s="15"/>
      <c r="D933" s="15"/>
      <c r="E933" s="15"/>
      <c r="F933" s="15"/>
      <c r="G933" s="15"/>
      <c r="H933" s="52"/>
      <c r="I933" s="52"/>
      <c r="J933" s="15"/>
      <c r="K933" s="15"/>
      <c r="L933" s="15"/>
      <c r="M933" s="15"/>
      <c r="N933" s="15"/>
      <c r="O933" s="15"/>
      <c r="P933" s="15"/>
      <c r="Q933" s="15"/>
      <c r="R933" s="15"/>
      <c r="S933" s="15"/>
      <c r="T933" s="15"/>
      <c r="U933" s="15"/>
      <c r="V933" s="15"/>
      <c r="W933" s="15"/>
      <c r="X933" s="15"/>
      <c r="Y933" s="15"/>
      <c r="Z933" s="15"/>
    </row>
    <row r="934" spans="1:26" x14ac:dyDescent="0.3">
      <c r="A934" s="15"/>
      <c r="B934" s="15"/>
      <c r="C934" s="15"/>
      <c r="D934" s="15"/>
      <c r="E934" s="15"/>
      <c r="F934" s="15"/>
      <c r="G934" s="15"/>
      <c r="H934" s="52"/>
      <c r="I934" s="52"/>
      <c r="J934" s="15"/>
      <c r="K934" s="15"/>
      <c r="L934" s="15"/>
      <c r="M934" s="15"/>
      <c r="N934" s="15"/>
      <c r="O934" s="15"/>
      <c r="P934" s="15"/>
      <c r="Q934" s="15"/>
      <c r="R934" s="15"/>
      <c r="S934" s="15"/>
      <c r="T934" s="15"/>
      <c r="U934" s="15"/>
      <c r="V934" s="15"/>
      <c r="W934" s="15"/>
      <c r="X934" s="15"/>
      <c r="Y934" s="15"/>
      <c r="Z934" s="15"/>
    </row>
    <row r="935" spans="1:26" x14ac:dyDescent="0.3">
      <c r="A935" s="15"/>
      <c r="B935" s="15"/>
      <c r="C935" s="15"/>
      <c r="D935" s="15"/>
      <c r="E935" s="15"/>
      <c r="F935" s="15"/>
      <c r="G935" s="15"/>
      <c r="H935" s="52"/>
      <c r="I935" s="52"/>
      <c r="J935" s="15"/>
      <c r="K935" s="15"/>
      <c r="L935" s="15"/>
      <c r="M935" s="15"/>
      <c r="N935" s="15"/>
      <c r="O935" s="15"/>
      <c r="P935" s="15"/>
      <c r="Q935" s="15"/>
      <c r="R935" s="15"/>
      <c r="S935" s="15"/>
      <c r="T935" s="15"/>
      <c r="U935" s="15"/>
      <c r="V935" s="15"/>
      <c r="W935" s="15"/>
      <c r="X935" s="15"/>
      <c r="Y935" s="15"/>
      <c r="Z935" s="15"/>
    </row>
    <row r="936" spans="1:26" x14ac:dyDescent="0.3">
      <c r="A936" s="15"/>
      <c r="B936" s="15"/>
      <c r="C936" s="15"/>
      <c r="D936" s="15"/>
      <c r="E936" s="15"/>
      <c r="F936" s="15"/>
      <c r="G936" s="15"/>
      <c r="H936" s="52"/>
      <c r="I936" s="52"/>
      <c r="J936" s="15"/>
      <c r="K936" s="15"/>
      <c r="L936" s="15"/>
      <c r="M936" s="15"/>
      <c r="N936" s="15"/>
      <c r="O936" s="15"/>
      <c r="P936" s="15"/>
      <c r="Q936" s="15"/>
      <c r="R936" s="15"/>
      <c r="S936" s="15"/>
      <c r="T936" s="15"/>
      <c r="U936" s="15"/>
      <c r="V936" s="15"/>
      <c r="W936" s="15"/>
      <c r="X936" s="15"/>
      <c r="Y936" s="15"/>
      <c r="Z936" s="15"/>
    </row>
    <row r="937" spans="1:26" x14ac:dyDescent="0.3">
      <c r="A937" s="15"/>
      <c r="B937" s="15"/>
      <c r="C937" s="15"/>
      <c r="D937" s="15"/>
      <c r="E937" s="15"/>
      <c r="F937" s="15"/>
      <c r="G937" s="15"/>
      <c r="H937" s="52"/>
      <c r="I937" s="52"/>
      <c r="J937" s="15"/>
      <c r="K937" s="15"/>
      <c r="L937" s="15"/>
      <c r="M937" s="15"/>
      <c r="N937" s="15"/>
      <c r="O937" s="15"/>
      <c r="P937" s="15"/>
      <c r="Q937" s="15"/>
      <c r="R937" s="15"/>
      <c r="S937" s="15"/>
      <c r="T937" s="15"/>
      <c r="U937" s="15"/>
      <c r="V937" s="15"/>
      <c r="W937" s="15"/>
      <c r="X937" s="15"/>
      <c r="Y937" s="15"/>
      <c r="Z937" s="15"/>
    </row>
    <row r="938" spans="1:26" x14ac:dyDescent="0.3">
      <c r="A938" s="15"/>
      <c r="B938" s="15"/>
      <c r="C938" s="15"/>
      <c r="D938" s="15"/>
      <c r="E938" s="15"/>
      <c r="F938" s="15"/>
      <c r="G938" s="15"/>
      <c r="H938" s="52"/>
      <c r="I938" s="52"/>
      <c r="J938" s="15"/>
      <c r="K938" s="15"/>
      <c r="L938" s="15"/>
      <c r="M938" s="15"/>
      <c r="N938" s="15"/>
      <c r="O938" s="15"/>
      <c r="P938" s="15"/>
      <c r="Q938" s="15"/>
      <c r="R938" s="15"/>
      <c r="S938" s="15"/>
      <c r="T938" s="15"/>
      <c r="U938" s="15"/>
      <c r="V938" s="15"/>
      <c r="W938" s="15"/>
      <c r="X938" s="15"/>
      <c r="Y938" s="15"/>
      <c r="Z938" s="15"/>
    </row>
    <row r="939" spans="1:26" x14ac:dyDescent="0.3">
      <c r="A939" s="15"/>
      <c r="B939" s="15"/>
      <c r="C939" s="15"/>
      <c r="D939" s="15"/>
      <c r="E939" s="15"/>
      <c r="F939" s="15"/>
      <c r="G939" s="15"/>
      <c r="H939" s="52"/>
      <c r="I939" s="52"/>
      <c r="J939" s="15"/>
      <c r="K939" s="15"/>
      <c r="L939" s="15"/>
      <c r="M939" s="15"/>
      <c r="N939" s="15"/>
      <c r="O939" s="15"/>
      <c r="P939" s="15"/>
      <c r="Q939" s="15"/>
      <c r="R939" s="15"/>
      <c r="S939" s="15"/>
      <c r="T939" s="15"/>
      <c r="U939" s="15"/>
      <c r="V939" s="15"/>
      <c r="W939" s="15"/>
      <c r="X939" s="15"/>
      <c r="Y939" s="15"/>
      <c r="Z939" s="15"/>
    </row>
    <row r="940" spans="1:26" x14ac:dyDescent="0.3">
      <c r="A940" s="15"/>
      <c r="B940" s="15"/>
      <c r="C940" s="15"/>
      <c r="D940" s="15"/>
      <c r="E940" s="15"/>
      <c r="F940" s="15"/>
      <c r="G940" s="15"/>
      <c r="H940" s="52"/>
      <c r="I940" s="52"/>
      <c r="J940" s="15"/>
      <c r="K940" s="15"/>
      <c r="L940" s="15"/>
      <c r="M940" s="15"/>
      <c r="N940" s="15"/>
      <c r="O940" s="15"/>
      <c r="P940" s="15"/>
      <c r="Q940" s="15"/>
      <c r="R940" s="15"/>
      <c r="S940" s="15"/>
      <c r="T940" s="15"/>
      <c r="U940" s="15"/>
      <c r="V940" s="15"/>
      <c r="W940" s="15"/>
      <c r="X940" s="15"/>
      <c r="Y940" s="15"/>
      <c r="Z940" s="15"/>
    </row>
    <row r="941" spans="1:26" x14ac:dyDescent="0.3">
      <c r="A941" s="15"/>
      <c r="B941" s="15"/>
      <c r="C941" s="15"/>
      <c r="D941" s="15"/>
      <c r="E941" s="15"/>
      <c r="F941" s="15"/>
      <c r="G941" s="15"/>
      <c r="H941" s="52"/>
      <c r="I941" s="52"/>
      <c r="J941" s="15"/>
      <c r="K941" s="15"/>
      <c r="L941" s="15"/>
      <c r="M941" s="15"/>
      <c r="N941" s="15"/>
      <c r="O941" s="15"/>
      <c r="P941" s="15"/>
      <c r="Q941" s="15"/>
      <c r="R941" s="15"/>
      <c r="S941" s="15"/>
      <c r="T941" s="15"/>
      <c r="U941" s="15"/>
      <c r="V941" s="15"/>
      <c r="W941" s="15"/>
      <c r="X941" s="15"/>
      <c r="Y941" s="15"/>
      <c r="Z941" s="15"/>
    </row>
    <row r="942" spans="1:26" x14ac:dyDescent="0.3">
      <c r="A942" s="15"/>
      <c r="B942" s="15"/>
      <c r="C942" s="15"/>
      <c r="D942" s="15"/>
      <c r="E942" s="15"/>
      <c r="F942" s="15"/>
      <c r="G942" s="15"/>
      <c r="H942" s="52"/>
      <c r="I942" s="52"/>
      <c r="J942" s="15"/>
      <c r="K942" s="15"/>
      <c r="L942" s="15"/>
      <c r="M942" s="15"/>
      <c r="N942" s="15"/>
      <c r="O942" s="15"/>
      <c r="P942" s="15"/>
      <c r="Q942" s="15"/>
      <c r="R942" s="15"/>
      <c r="S942" s="15"/>
      <c r="T942" s="15"/>
      <c r="U942" s="15"/>
      <c r="V942" s="15"/>
      <c r="W942" s="15"/>
      <c r="X942" s="15"/>
      <c r="Y942" s="15"/>
      <c r="Z942" s="15"/>
    </row>
    <row r="943" spans="1:26" x14ac:dyDescent="0.3">
      <c r="A943" s="15"/>
      <c r="B943" s="15"/>
      <c r="C943" s="15"/>
      <c r="D943" s="15"/>
      <c r="E943" s="15"/>
      <c r="F943" s="15"/>
      <c r="G943" s="15"/>
      <c r="H943" s="52"/>
      <c r="I943" s="52"/>
      <c r="J943" s="15"/>
      <c r="K943" s="15"/>
      <c r="L943" s="15"/>
      <c r="M943" s="15"/>
      <c r="N943" s="15"/>
      <c r="O943" s="15"/>
      <c r="P943" s="15"/>
      <c r="Q943" s="15"/>
      <c r="R943" s="15"/>
      <c r="S943" s="15"/>
      <c r="T943" s="15"/>
      <c r="U943" s="15"/>
      <c r="V943" s="15"/>
      <c r="W943" s="15"/>
      <c r="X943" s="15"/>
      <c r="Y943" s="15"/>
      <c r="Z943" s="15"/>
    </row>
    <row r="944" spans="1:26" x14ac:dyDescent="0.3">
      <c r="A944" s="15"/>
      <c r="B944" s="15"/>
      <c r="C944" s="15"/>
      <c r="D944" s="15"/>
      <c r="E944" s="15"/>
      <c r="F944" s="15"/>
      <c r="G944" s="15"/>
      <c r="H944" s="52"/>
      <c r="I944" s="52"/>
      <c r="J944" s="15"/>
      <c r="K944" s="15"/>
      <c r="L944" s="15"/>
      <c r="M944" s="15"/>
      <c r="N944" s="15"/>
      <c r="O944" s="15"/>
      <c r="P944" s="15"/>
      <c r="Q944" s="15"/>
      <c r="R944" s="15"/>
      <c r="S944" s="15"/>
      <c r="T944" s="15"/>
      <c r="U944" s="15"/>
      <c r="V944" s="15"/>
      <c r="W944" s="15"/>
      <c r="X944" s="15"/>
      <c r="Y944" s="15"/>
      <c r="Z944" s="15"/>
    </row>
    <row r="945" spans="1:26" x14ac:dyDescent="0.3">
      <c r="A945" s="15"/>
      <c r="B945" s="15"/>
      <c r="C945" s="15"/>
      <c r="D945" s="15"/>
      <c r="E945" s="15"/>
      <c r="F945" s="15"/>
      <c r="G945" s="15"/>
      <c r="H945" s="52"/>
      <c r="I945" s="52"/>
      <c r="J945" s="15"/>
      <c r="K945" s="15"/>
      <c r="L945" s="15"/>
      <c r="M945" s="15"/>
      <c r="N945" s="15"/>
      <c r="O945" s="15"/>
      <c r="P945" s="15"/>
      <c r="Q945" s="15"/>
      <c r="R945" s="15"/>
      <c r="S945" s="15"/>
      <c r="T945" s="15"/>
      <c r="U945" s="15"/>
      <c r="V945" s="15"/>
      <c r="W945" s="15"/>
      <c r="X945" s="15"/>
      <c r="Y945" s="15"/>
      <c r="Z945" s="15"/>
    </row>
    <row r="946" spans="1:26" x14ac:dyDescent="0.3">
      <c r="A946" s="15"/>
      <c r="B946" s="15"/>
      <c r="C946" s="15"/>
      <c r="D946" s="15"/>
      <c r="E946" s="15"/>
      <c r="F946" s="15"/>
      <c r="G946" s="15"/>
      <c r="H946" s="52"/>
      <c r="I946" s="52"/>
      <c r="J946" s="15"/>
      <c r="K946" s="15"/>
      <c r="L946" s="15"/>
      <c r="M946" s="15"/>
      <c r="N946" s="15"/>
      <c r="O946" s="15"/>
      <c r="P946" s="15"/>
      <c r="Q946" s="15"/>
      <c r="R946" s="15"/>
      <c r="S946" s="15"/>
      <c r="T946" s="15"/>
      <c r="U946" s="15"/>
      <c r="V946" s="15"/>
      <c r="W946" s="15"/>
      <c r="X946" s="15"/>
      <c r="Y946" s="15"/>
      <c r="Z946" s="15"/>
    </row>
    <row r="947" spans="1:26" x14ac:dyDescent="0.3">
      <c r="A947" s="15"/>
      <c r="B947" s="15"/>
      <c r="C947" s="15"/>
      <c r="D947" s="15"/>
      <c r="E947" s="15"/>
      <c r="F947" s="15"/>
      <c r="G947" s="15"/>
      <c r="H947" s="52"/>
      <c r="I947" s="52"/>
      <c r="J947" s="15"/>
      <c r="K947" s="15"/>
      <c r="L947" s="15"/>
      <c r="M947" s="15"/>
      <c r="N947" s="15"/>
      <c r="O947" s="15"/>
      <c r="P947" s="15"/>
      <c r="Q947" s="15"/>
      <c r="R947" s="15"/>
      <c r="S947" s="15"/>
      <c r="T947" s="15"/>
      <c r="U947" s="15"/>
      <c r="V947" s="15"/>
      <c r="W947" s="15"/>
      <c r="X947" s="15"/>
      <c r="Y947" s="15"/>
      <c r="Z947" s="15"/>
    </row>
    <row r="948" spans="1:26" x14ac:dyDescent="0.3">
      <c r="A948" s="15"/>
      <c r="B948" s="15"/>
      <c r="C948" s="15"/>
      <c r="D948" s="15"/>
      <c r="E948" s="15"/>
      <c r="F948" s="15"/>
      <c r="G948" s="15"/>
      <c r="H948" s="52"/>
      <c r="I948" s="52"/>
      <c r="J948" s="15"/>
      <c r="K948" s="15"/>
      <c r="L948" s="15"/>
      <c r="M948" s="15"/>
      <c r="N948" s="15"/>
      <c r="O948" s="15"/>
      <c r="P948" s="15"/>
      <c r="Q948" s="15"/>
      <c r="R948" s="15"/>
      <c r="S948" s="15"/>
      <c r="T948" s="15"/>
      <c r="U948" s="15"/>
      <c r="V948" s="15"/>
      <c r="W948" s="15"/>
      <c r="X948" s="15"/>
      <c r="Y948" s="15"/>
      <c r="Z948" s="15"/>
    </row>
    <row r="949" spans="1:26" x14ac:dyDescent="0.3">
      <c r="A949" s="15"/>
      <c r="B949" s="15"/>
      <c r="C949" s="15"/>
      <c r="D949" s="15"/>
      <c r="E949" s="15"/>
      <c r="F949" s="15"/>
      <c r="G949" s="15"/>
      <c r="H949" s="52"/>
      <c r="I949" s="52"/>
      <c r="J949" s="15"/>
      <c r="K949" s="15"/>
      <c r="L949" s="15"/>
      <c r="M949" s="15"/>
      <c r="N949" s="15"/>
      <c r="O949" s="15"/>
      <c r="P949" s="15"/>
      <c r="Q949" s="15"/>
      <c r="R949" s="15"/>
      <c r="S949" s="15"/>
      <c r="T949" s="15"/>
      <c r="U949" s="15"/>
      <c r="V949" s="15"/>
      <c r="W949" s="15"/>
      <c r="X949" s="15"/>
      <c r="Y949" s="15"/>
      <c r="Z949" s="15"/>
    </row>
    <row r="950" spans="1:26" x14ac:dyDescent="0.3">
      <c r="A950" s="15"/>
      <c r="B950" s="15"/>
      <c r="C950" s="15"/>
      <c r="D950" s="15"/>
      <c r="E950" s="15"/>
      <c r="F950" s="15"/>
      <c r="G950" s="15"/>
      <c r="H950" s="52"/>
      <c r="I950" s="52"/>
      <c r="J950" s="15"/>
      <c r="K950" s="15"/>
      <c r="L950" s="15"/>
      <c r="M950" s="15"/>
      <c r="N950" s="15"/>
      <c r="O950" s="15"/>
      <c r="P950" s="15"/>
      <c r="Q950" s="15"/>
      <c r="R950" s="15"/>
      <c r="S950" s="15"/>
      <c r="T950" s="15"/>
      <c r="U950" s="15"/>
      <c r="V950" s="15"/>
      <c r="W950" s="15"/>
      <c r="X950" s="15"/>
      <c r="Y950" s="15"/>
      <c r="Z950" s="15"/>
    </row>
    <row r="951" spans="1:26" x14ac:dyDescent="0.3">
      <c r="A951" s="15"/>
      <c r="B951" s="15"/>
      <c r="C951" s="15"/>
      <c r="D951" s="15"/>
      <c r="E951" s="15"/>
      <c r="F951" s="15"/>
      <c r="G951" s="15"/>
      <c r="H951" s="52"/>
      <c r="I951" s="52"/>
      <c r="J951" s="15"/>
      <c r="K951" s="15"/>
      <c r="L951" s="15"/>
      <c r="M951" s="15"/>
      <c r="N951" s="15"/>
      <c r="O951" s="15"/>
      <c r="P951" s="15"/>
      <c r="Q951" s="15"/>
      <c r="R951" s="15"/>
      <c r="S951" s="15"/>
      <c r="T951" s="15"/>
      <c r="U951" s="15"/>
      <c r="V951" s="15"/>
      <c r="W951" s="15"/>
      <c r="X951" s="15"/>
      <c r="Y951" s="15"/>
      <c r="Z951" s="15"/>
    </row>
    <row r="952" spans="1:26" x14ac:dyDescent="0.3">
      <c r="A952" s="15"/>
      <c r="B952" s="15"/>
      <c r="C952" s="15"/>
      <c r="D952" s="15"/>
      <c r="E952" s="15"/>
      <c r="F952" s="15"/>
      <c r="G952" s="15"/>
      <c r="H952" s="52"/>
      <c r="I952" s="52"/>
      <c r="J952" s="15"/>
      <c r="K952" s="15"/>
      <c r="L952" s="15"/>
      <c r="M952" s="15"/>
      <c r="N952" s="15"/>
      <c r="O952" s="15"/>
      <c r="P952" s="15"/>
      <c r="Q952" s="15"/>
      <c r="R952" s="15"/>
      <c r="S952" s="15"/>
      <c r="T952" s="15"/>
      <c r="U952" s="15"/>
      <c r="V952" s="15"/>
      <c r="W952" s="15"/>
      <c r="X952" s="15"/>
      <c r="Y952" s="15"/>
      <c r="Z952" s="15"/>
    </row>
    <row r="953" spans="1:26" x14ac:dyDescent="0.3">
      <c r="A953" s="15"/>
      <c r="B953" s="15"/>
      <c r="C953" s="15"/>
      <c r="D953" s="15"/>
      <c r="E953" s="15"/>
      <c r="F953" s="15"/>
      <c r="G953" s="15"/>
      <c r="H953" s="52"/>
      <c r="I953" s="52"/>
      <c r="J953" s="15"/>
      <c r="K953" s="15"/>
      <c r="L953" s="15"/>
      <c r="M953" s="15"/>
      <c r="N953" s="15"/>
      <c r="O953" s="15"/>
      <c r="P953" s="15"/>
      <c r="Q953" s="15"/>
      <c r="R953" s="15"/>
      <c r="S953" s="15"/>
      <c r="T953" s="15"/>
      <c r="U953" s="15"/>
      <c r="V953" s="15"/>
      <c r="W953" s="15"/>
      <c r="X953" s="15"/>
      <c r="Y953" s="15"/>
      <c r="Z953" s="15"/>
    </row>
    <row r="954" spans="1:26" x14ac:dyDescent="0.3">
      <c r="A954" s="15"/>
      <c r="B954" s="15"/>
      <c r="C954" s="15"/>
      <c r="D954" s="15"/>
      <c r="E954" s="15"/>
      <c r="F954" s="15"/>
      <c r="G954" s="15"/>
      <c r="H954" s="52"/>
      <c r="I954" s="52"/>
      <c r="J954" s="15"/>
      <c r="K954" s="15"/>
      <c r="L954" s="15"/>
      <c r="M954" s="15"/>
      <c r="N954" s="15"/>
      <c r="O954" s="15"/>
      <c r="P954" s="15"/>
      <c r="Q954" s="15"/>
      <c r="R954" s="15"/>
      <c r="S954" s="15"/>
      <c r="T954" s="15"/>
      <c r="U954" s="15"/>
      <c r="V954" s="15"/>
      <c r="W954" s="15"/>
      <c r="X954" s="15"/>
      <c r="Y954" s="15"/>
      <c r="Z954" s="15"/>
    </row>
    <row r="955" spans="1:26" x14ac:dyDescent="0.3">
      <c r="A955" s="15"/>
      <c r="B955" s="15"/>
      <c r="C955" s="15"/>
      <c r="D955" s="15"/>
      <c r="E955" s="15"/>
      <c r="F955" s="15"/>
      <c r="G955" s="15"/>
      <c r="H955" s="52"/>
      <c r="I955" s="52"/>
      <c r="J955" s="15"/>
      <c r="K955" s="15"/>
      <c r="L955" s="15"/>
      <c r="M955" s="15"/>
      <c r="N955" s="15"/>
      <c r="O955" s="15"/>
      <c r="P955" s="15"/>
      <c r="Q955" s="15"/>
      <c r="R955" s="15"/>
      <c r="S955" s="15"/>
      <c r="T955" s="15"/>
      <c r="U955" s="15"/>
      <c r="V955" s="15"/>
      <c r="W955" s="15"/>
      <c r="X955" s="15"/>
      <c r="Y955" s="15"/>
      <c r="Z955" s="15"/>
    </row>
    <row r="956" spans="1:26" x14ac:dyDescent="0.3">
      <c r="A956" s="15"/>
      <c r="B956" s="15"/>
      <c r="C956" s="15"/>
      <c r="D956" s="15"/>
      <c r="E956" s="15"/>
      <c r="F956" s="15"/>
      <c r="G956" s="15"/>
      <c r="H956" s="52"/>
      <c r="I956" s="52"/>
      <c r="J956" s="15"/>
      <c r="K956" s="15"/>
      <c r="L956" s="15"/>
      <c r="M956" s="15"/>
      <c r="N956" s="15"/>
      <c r="O956" s="15"/>
      <c r="P956" s="15"/>
      <c r="Q956" s="15"/>
      <c r="R956" s="15"/>
      <c r="S956" s="15"/>
      <c r="T956" s="15"/>
      <c r="U956" s="15"/>
      <c r="V956" s="15"/>
      <c r="W956" s="15"/>
      <c r="X956" s="15"/>
      <c r="Y956" s="15"/>
      <c r="Z956" s="15"/>
    </row>
    <row r="957" spans="1:26" x14ac:dyDescent="0.3">
      <c r="A957" s="15"/>
      <c r="B957" s="15"/>
      <c r="C957" s="15"/>
      <c r="D957" s="15"/>
      <c r="E957" s="15"/>
      <c r="F957" s="15"/>
      <c r="G957" s="15"/>
      <c r="H957" s="52"/>
      <c r="I957" s="52"/>
      <c r="J957" s="15"/>
      <c r="K957" s="15"/>
      <c r="L957" s="15"/>
      <c r="M957" s="15"/>
      <c r="N957" s="15"/>
      <c r="O957" s="15"/>
      <c r="P957" s="15"/>
      <c r="Q957" s="15"/>
      <c r="R957" s="15"/>
      <c r="S957" s="15"/>
      <c r="T957" s="15"/>
      <c r="U957" s="15"/>
      <c r="V957" s="15"/>
      <c r="W957" s="15"/>
      <c r="X957" s="15"/>
      <c r="Y957" s="15"/>
      <c r="Z957" s="15"/>
    </row>
    <row r="958" spans="1:26" x14ac:dyDescent="0.3">
      <c r="A958" s="15"/>
      <c r="B958" s="15"/>
      <c r="C958" s="15"/>
      <c r="D958" s="15"/>
      <c r="E958" s="15"/>
      <c r="F958" s="15"/>
      <c r="G958" s="15"/>
      <c r="H958" s="52"/>
      <c r="I958" s="52"/>
      <c r="J958" s="15"/>
      <c r="K958" s="15"/>
      <c r="L958" s="15"/>
      <c r="M958" s="15"/>
      <c r="N958" s="15"/>
      <c r="O958" s="15"/>
      <c r="P958" s="15"/>
      <c r="Q958" s="15"/>
      <c r="R958" s="15"/>
      <c r="S958" s="15"/>
      <c r="T958" s="15"/>
      <c r="U958" s="15"/>
      <c r="V958" s="15"/>
      <c r="W958" s="15"/>
      <c r="X958" s="15"/>
      <c r="Y958" s="15"/>
      <c r="Z958" s="15"/>
    </row>
    <row r="959" spans="1:26" x14ac:dyDescent="0.3">
      <c r="A959" s="15"/>
      <c r="B959" s="15"/>
      <c r="C959" s="15"/>
      <c r="D959" s="15"/>
      <c r="E959" s="15"/>
      <c r="F959" s="15"/>
      <c r="G959" s="15"/>
      <c r="H959" s="52"/>
      <c r="I959" s="52"/>
      <c r="J959" s="15"/>
      <c r="K959" s="15"/>
      <c r="L959" s="15"/>
      <c r="M959" s="15"/>
      <c r="N959" s="15"/>
      <c r="O959" s="15"/>
      <c r="P959" s="15"/>
      <c r="Q959" s="15"/>
      <c r="R959" s="15"/>
      <c r="S959" s="15"/>
      <c r="T959" s="15"/>
      <c r="U959" s="15"/>
      <c r="V959" s="15"/>
      <c r="W959" s="15"/>
      <c r="X959" s="15"/>
      <c r="Y959" s="15"/>
      <c r="Z959" s="15"/>
    </row>
    <row r="960" spans="1:26" x14ac:dyDescent="0.3">
      <c r="A960" s="15"/>
      <c r="B960" s="15"/>
      <c r="C960" s="15"/>
      <c r="D960" s="15"/>
      <c r="E960" s="15"/>
      <c r="F960" s="15"/>
      <c r="G960" s="15"/>
      <c r="H960" s="52"/>
      <c r="I960" s="52"/>
      <c r="J960" s="15"/>
      <c r="K960" s="15"/>
      <c r="L960" s="15"/>
      <c r="M960" s="15"/>
      <c r="N960" s="15"/>
      <c r="O960" s="15"/>
      <c r="P960" s="15"/>
      <c r="Q960" s="15"/>
      <c r="R960" s="15"/>
      <c r="S960" s="15"/>
      <c r="T960" s="15"/>
      <c r="U960" s="15"/>
      <c r="V960" s="15"/>
      <c r="W960" s="15"/>
      <c r="X960" s="15"/>
      <c r="Y960" s="15"/>
      <c r="Z960" s="15"/>
    </row>
    <row r="961" spans="1:26" x14ac:dyDescent="0.3">
      <c r="A961" s="15"/>
      <c r="B961" s="15"/>
      <c r="C961" s="15"/>
      <c r="D961" s="15"/>
      <c r="E961" s="15"/>
      <c r="F961" s="15"/>
      <c r="G961" s="15"/>
      <c r="H961" s="52"/>
      <c r="I961" s="52"/>
      <c r="J961" s="15"/>
      <c r="K961" s="15"/>
      <c r="L961" s="15"/>
      <c r="M961" s="15"/>
      <c r="N961" s="15"/>
      <c r="O961" s="15"/>
      <c r="P961" s="15"/>
      <c r="Q961" s="15"/>
      <c r="R961" s="15"/>
      <c r="S961" s="15"/>
      <c r="T961" s="15"/>
      <c r="U961" s="15"/>
      <c r="V961" s="15"/>
      <c r="W961" s="15"/>
      <c r="X961" s="15"/>
      <c r="Y961" s="15"/>
      <c r="Z961" s="15"/>
    </row>
    <row r="962" spans="1:26" x14ac:dyDescent="0.3">
      <c r="A962" s="15"/>
      <c r="B962" s="15"/>
      <c r="C962" s="15"/>
      <c r="D962" s="15"/>
      <c r="E962" s="15"/>
      <c r="F962" s="15"/>
      <c r="G962" s="15"/>
      <c r="H962" s="52"/>
      <c r="I962" s="52"/>
      <c r="J962" s="15"/>
      <c r="K962" s="15"/>
      <c r="L962" s="15"/>
      <c r="M962" s="15"/>
      <c r="N962" s="15"/>
      <c r="O962" s="15"/>
      <c r="P962" s="15"/>
      <c r="Q962" s="15"/>
      <c r="R962" s="15"/>
      <c r="S962" s="15"/>
      <c r="T962" s="15"/>
      <c r="U962" s="15"/>
      <c r="V962" s="15"/>
      <c r="W962" s="15"/>
      <c r="X962" s="15"/>
      <c r="Y962" s="15"/>
      <c r="Z962" s="15"/>
    </row>
    <row r="963" spans="1:26" x14ac:dyDescent="0.3">
      <c r="A963" s="15"/>
      <c r="B963" s="15"/>
      <c r="C963" s="15"/>
      <c r="D963" s="15"/>
      <c r="E963" s="15"/>
      <c r="F963" s="15"/>
      <c r="G963" s="15"/>
      <c r="H963" s="52"/>
      <c r="I963" s="52"/>
      <c r="J963" s="15"/>
      <c r="K963" s="15"/>
      <c r="L963" s="15"/>
      <c r="M963" s="15"/>
      <c r="N963" s="15"/>
      <c r="O963" s="15"/>
      <c r="P963" s="15"/>
      <c r="Q963" s="15"/>
      <c r="R963" s="15"/>
      <c r="S963" s="15"/>
      <c r="T963" s="15"/>
      <c r="U963" s="15"/>
      <c r="V963" s="15"/>
      <c r="W963" s="15"/>
      <c r="X963" s="15"/>
      <c r="Y963" s="15"/>
      <c r="Z963" s="15"/>
    </row>
    <row r="964" spans="1:26" x14ac:dyDescent="0.3">
      <c r="A964" s="15"/>
      <c r="B964" s="15"/>
      <c r="C964" s="15"/>
      <c r="D964" s="15"/>
      <c r="E964" s="15"/>
      <c r="F964" s="15"/>
      <c r="G964" s="15"/>
      <c r="H964" s="52"/>
      <c r="I964" s="52"/>
      <c r="J964" s="15"/>
      <c r="K964" s="15"/>
      <c r="L964" s="15"/>
      <c r="M964" s="15"/>
      <c r="N964" s="15"/>
      <c r="O964" s="15"/>
      <c r="P964" s="15"/>
      <c r="Q964" s="15"/>
      <c r="R964" s="15"/>
      <c r="S964" s="15"/>
      <c r="T964" s="15"/>
      <c r="U964" s="15"/>
      <c r="V964" s="15"/>
      <c r="W964" s="15"/>
      <c r="X964" s="15"/>
      <c r="Y964" s="15"/>
      <c r="Z964" s="15"/>
    </row>
    <row r="965" spans="1:26" x14ac:dyDescent="0.3">
      <c r="A965" s="15"/>
      <c r="B965" s="15"/>
      <c r="C965" s="15"/>
      <c r="D965" s="15"/>
      <c r="E965" s="15"/>
      <c r="F965" s="15"/>
      <c r="G965" s="15"/>
      <c r="H965" s="52"/>
      <c r="I965" s="52"/>
      <c r="J965" s="15"/>
      <c r="K965" s="15"/>
      <c r="L965" s="15"/>
      <c r="M965" s="15"/>
      <c r="N965" s="15"/>
      <c r="O965" s="15"/>
      <c r="P965" s="15"/>
      <c r="Q965" s="15"/>
      <c r="R965" s="15"/>
      <c r="S965" s="15"/>
      <c r="T965" s="15"/>
      <c r="U965" s="15"/>
      <c r="V965" s="15"/>
      <c r="W965" s="15"/>
      <c r="X965" s="15"/>
      <c r="Y965" s="15"/>
      <c r="Z965" s="15"/>
    </row>
    <row r="966" spans="1:26" x14ac:dyDescent="0.3">
      <c r="A966" s="15"/>
      <c r="B966" s="15"/>
      <c r="C966" s="15"/>
      <c r="D966" s="15"/>
      <c r="E966" s="15"/>
      <c r="F966" s="15"/>
      <c r="G966" s="15"/>
      <c r="H966" s="52"/>
      <c r="I966" s="52"/>
      <c r="J966" s="15"/>
      <c r="K966" s="15"/>
      <c r="L966" s="15"/>
      <c r="M966" s="15"/>
      <c r="N966" s="15"/>
      <c r="O966" s="15"/>
      <c r="P966" s="15"/>
      <c r="Q966" s="15"/>
      <c r="R966" s="15"/>
      <c r="S966" s="15"/>
      <c r="T966" s="15"/>
      <c r="U966" s="15"/>
      <c r="V966" s="15"/>
      <c r="W966" s="15"/>
      <c r="X966" s="15"/>
      <c r="Y966" s="15"/>
      <c r="Z966" s="15"/>
    </row>
    <row r="967" spans="1:26" x14ac:dyDescent="0.3">
      <c r="A967" s="15"/>
      <c r="B967" s="15"/>
      <c r="C967" s="15"/>
      <c r="D967" s="15"/>
      <c r="E967" s="15"/>
      <c r="F967" s="15"/>
      <c r="G967" s="15"/>
      <c r="H967" s="52"/>
      <c r="I967" s="52"/>
      <c r="J967" s="15"/>
      <c r="K967" s="15"/>
      <c r="L967" s="15"/>
      <c r="M967" s="15"/>
      <c r="N967" s="15"/>
      <c r="O967" s="15"/>
      <c r="P967" s="15"/>
      <c r="Q967" s="15"/>
      <c r="R967" s="15"/>
      <c r="S967" s="15"/>
      <c r="T967" s="15"/>
      <c r="U967" s="15"/>
      <c r="V967" s="15"/>
      <c r="W967" s="15"/>
      <c r="X967" s="15"/>
      <c r="Y967" s="15"/>
      <c r="Z967" s="15"/>
    </row>
    <row r="968" spans="1:26" x14ac:dyDescent="0.3">
      <c r="A968" s="15"/>
      <c r="B968" s="15"/>
      <c r="C968" s="15"/>
      <c r="D968" s="15"/>
      <c r="E968" s="15"/>
      <c r="F968" s="15"/>
      <c r="G968" s="15"/>
      <c r="H968" s="52"/>
      <c r="I968" s="52"/>
      <c r="J968" s="15"/>
      <c r="K968" s="15"/>
      <c r="L968" s="15"/>
      <c r="M968" s="15"/>
      <c r="N968" s="15"/>
      <c r="O968" s="15"/>
      <c r="P968" s="15"/>
      <c r="Q968" s="15"/>
      <c r="R968" s="15"/>
      <c r="S968" s="15"/>
      <c r="T968" s="15"/>
      <c r="U968" s="15"/>
      <c r="V968" s="15"/>
      <c r="W968" s="15"/>
      <c r="X968" s="15"/>
      <c r="Y968" s="15"/>
      <c r="Z968" s="15"/>
    </row>
    <row r="969" spans="1:26" x14ac:dyDescent="0.3">
      <c r="A969" s="15"/>
      <c r="B969" s="15"/>
      <c r="C969" s="15"/>
      <c r="D969" s="15"/>
      <c r="E969" s="15"/>
      <c r="F969" s="15"/>
      <c r="G969" s="15"/>
      <c r="H969" s="52"/>
      <c r="I969" s="52"/>
      <c r="J969" s="15"/>
      <c r="K969" s="15"/>
      <c r="L969" s="15"/>
      <c r="M969" s="15"/>
      <c r="N969" s="15"/>
      <c r="O969" s="15"/>
      <c r="P969" s="15"/>
      <c r="Q969" s="15"/>
      <c r="R969" s="15"/>
      <c r="S969" s="15"/>
      <c r="T969" s="15"/>
      <c r="U969" s="15"/>
      <c r="V969" s="15"/>
      <c r="W969" s="15"/>
      <c r="X969" s="15"/>
      <c r="Y969" s="15"/>
      <c r="Z969" s="15"/>
    </row>
    <row r="970" spans="1:26" x14ac:dyDescent="0.3">
      <c r="A970" s="15"/>
      <c r="B970" s="15"/>
      <c r="C970" s="15"/>
      <c r="D970" s="15"/>
      <c r="E970" s="15"/>
      <c r="F970" s="15"/>
      <c r="G970" s="15"/>
      <c r="H970" s="52"/>
      <c r="I970" s="52"/>
      <c r="J970" s="15"/>
      <c r="K970" s="15"/>
      <c r="L970" s="15"/>
      <c r="M970" s="15"/>
      <c r="N970" s="15"/>
      <c r="O970" s="15"/>
      <c r="P970" s="15"/>
      <c r="Q970" s="15"/>
      <c r="R970" s="15"/>
      <c r="S970" s="15"/>
      <c r="T970" s="15"/>
      <c r="U970" s="15"/>
      <c r="V970" s="15"/>
      <c r="W970" s="15"/>
      <c r="X970" s="15"/>
      <c r="Y970" s="15"/>
      <c r="Z970" s="15"/>
    </row>
    <row r="971" spans="1:26" x14ac:dyDescent="0.3">
      <c r="A971" s="15"/>
      <c r="B971" s="15"/>
      <c r="C971" s="15"/>
      <c r="D971" s="15"/>
      <c r="E971" s="15"/>
      <c r="F971" s="15"/>
      <c r="G971" s="15"/>
      <c r="H971" s="52"/>
      <c r="I971" s="52"/>
      <c r="J971" s="15"/>
      <c r="K971" s="15"/>
      <c r="L971" s="15"/>
      <c r="M971" s="15"/>
      <c r="N971" s="15"/>
      <c r="O971" s="15"/>
      <c r="P971" s="15"/>
      <c r="Q971" s="15"/>
      <c r="R971" s="15"/>
      <c r="S971" s="15"/>
      <c r="T971" s="15"/>
      <c r="U971" s="15"/>
      <c r="V971" s="15"/>
      <c r="W971" s="15"/>
      <c r="X971" s="15"/>
      <c r="Y971" s="15"/>
      <c r="Z971" s="15"/>
    </row>
    <row r="972" spans="1:26" x14ac:dyDescent="0.3">
      <c r="A972" s="15"/>
      <c r="B972" s="15"/>
      <c r="C972" s="15"/>
      <c r="D972" s="15"/>
      <c r="E972" s="15"/>
      <c r="F972" s="15"/>
      <c r="G972" s="15"/>
      <c r="H972" s="52"/>
      <c r="I972" s="52"/>
      <c r="J972" s="15"/>
      <c r="K972" s="15"/>
      <c r="L972" s="15"/>
      <c r="M972" s="15"/>
      <c r="N972" s="15"/>
      <c r="O972" s="15"/>
      <c r="P972" s="15"/>
      <c r="Q972" s="15"/>
      <c r="R972" s="15"/>
      <c r="S972" s="15"/>
      <c r="T972" s="15"/>
      <c r="U972" s="15"/>
      <c r="V972" s="15"/>
      <c r="W972" s="15"/>
      <c r="X972" s="15"/>
      <c r="Y972" s="15"/>
      <c r="Z972" s="15"/>
    </row>
    <row r="973" spans="1:26" x14ac:dyDescent="0.3">
      <c r="A973" s="15"/>
      <c r="B973" s="15"/>
      <c r="C973" s="15"/>
      <c r="D973" s="15"/>
      <c r="E973" s="15"/>
      <c r="F973" s="15"/>
      <c r="G973" s="15"/>
      <c r="H973" s="52"/>
      <c r="I973" s="52"/>
      <c r="J973" s="15"/>
      <c r="K973" s="15"/>
      <c r="L973" s="15"/>
      <c r="M973" s="15"/>
      <c r="N973" s="15"/>
      <c r="O973" s="15"/>
      <c r="P973" s="15"/>
      <c r="Q973" s="15"/>
      <c r="R973" s="15"/>
      <c r="S973" s="15"/>
      <c r="T973" s="15"/>
      <c r="U973" s="15"/>
      <c r="V973" s="15"/>
      <c r="W973" s="15"/>
      <c r="X973" s="15"/>
      <c r="Y973" s="15"/>
      <c r="Z973" s="15"/>
    </row>
    <row r="974" spans="1:26" x14ac:dyDescent="0.3">
      <c r="A974" s="15"/>
      <c r="B974" s="15"/>
      <c r="C974" s="15"/>
      <c r="D974" s="15"/>
      <c r="E974" s="15"/>
      <c r="F974" s="15"/>
      <c r="G974" s="15"/>
      <c r="H974" s="52"/>
      <c r="I974" s="52"/>
      <c r="J974" s="15"/>
      <c r="K974" s="15"/>
      <c r="L974" s="15"/>
      <c r="M974" s="15"/>
      <c r="N974" s="15"/>
      <c r="O974" s="15"/>
      <c r="P974" s="15"/>
      <c r="Q974" s="15"/>
      <c r="R974" s="15"/>
      <c r="S974" s="15"/>
      <c r="T974" s="15"/>
      <c r="U974" s="15"/>
      <c r="V974" s="15"/>
      <c r="W974" s="15"/>
      <c r="X974" s="15"/>
      <c r="Y974" s="15"/>
      <c r="Z974" s="15"/>
    </row>
    <row r="975" spans="1:26" x14ac:dyDescent="0.3">
      <c r="A975" s="15"/>
      <c r="B975" s="15"/>
      <c r="C975" s="15"/>
      <c r="D975" s="15"/>
      <c r="E975" s="15"/>
      <c r="F975" s="15"/>
      <c r="G975" s="15"/>
      <c r="H975" s="52"/>
      <c r="I975" s="52"/>
      <c r="J975" s="15"/>
      <c r="K975" s="15"/>
      <c r="L975" s="15"/>
      <c r="M975" s="15"/>
      <c r="N975" s="15"/>
      <c r="O975" s="15"/>
      <c r="P975" s="15"/>
      <c r="Q975" s="15"/>
      <c r="R975" s="15"/>
      <c r="S975" s="15"/>
      <c r="T975" s="15"/>
      <c r="U975" s="15"/>
      <c r="V975" s="15"/>
      <c r="W975" s="15"/>
      <c r="X975" s="15"/>
      <c r="Y975" s="15"/>
      <c r="Z975" s="15"/>
    </row>
    <row r="976" spans="1:26" x14ac:dyDescent="0.3">
      <c r="A976" s="15"/>
      <c r="B976" s="15"/>
      <c r="C976" s="15"/>
      <c r="D976" s="15"/>
      <c r="E976" s="15"/>
      <c r="F976" s="15"/>
      <c r="G976" s="15"/>
      <c r="H976" s="52"/>
      <c r="I976" s="52"/>
      <c r="J976" s="15"/>
      <c r="K976" s="15"/>
      <c r="L976" s="15"/>
      <c r="M976" s="15"/>
      <c r="N976" s="15"/>
      <c r="O976" s="15"/>
      <c r="P976" s="15"/>
      <c r="Q976" s="15"/>
      <c r="R976" s="15"/>
      <c r="S976" s="15"/>
      <c r="T976" s="15"/>
      <c r="U976" s="15"/>
      <c r="V976" s="15"/>
      <c r="W976" s="15"/>
      <c r="X976" s="15"/>
      <c r="Y976" s="15"/>
      <c r="Z976" s="15"/>
    </row>
    <row r="977" spans="1:26" x14ac:dyDescent="0.3">
      <c r="A977" s="15"/>
      <c r="B977" s="15"/>
      <c r="C977" s="15"/>
      <c r="D977" s="15"/>
      <c r="E977" s="15"/>
      <c r="F977" s="15"/>
      <c r="G977" s="15"/>
      <c r="H977" s="52"/>
      <c r="I977" s="52"/>
      <c r="J977" s="15"/>
      <c r="K977" s="15"/>
      <c r="L977" s="15"/>
      <c r="M977" s="15"/>
      <c r="N977" s="15"/>
      <c r="O977" s="15"/>
      <c r="P977" s="15"/>
      <c r="Q977" s="15"/>
      <c r="R977" s="15"/>
      <c r="S977" s="15"/>
      <c r="T977" s="15"/>
      <c r="U977" s="15"/>
      <c r="V977" s="15"/>
      <c r="W977" s="15"/>
      <c r="X977" s="15"/>
      <c r="Y977" s="15"/>
      <c r="Z977" s="15"/>
    </row>
    <row r="978" spans="1:26" x14ac:dyDescent="0.3">
      <c r="A978" s="15"/>
      <c r="B978" s="15"/>
      <c r="C978" s="15"/>
      <c r="D978" s="15"/>
      <c r="E978" s="15"/>
      <c r="F978" s="15"/>
      <c r="G978" s="15"/>
      <c r="H978" s="52"/>
      <c r="I978" s="52"/>
      <c r="J978" s="15"/>
      <c r="K978" s="15"/>
      <c r="L978" s="15"/>
      <c r="M978" s="15"/>
      <c r="N978" s="15"/>
      <c r="O978" s="15"/>
      <c r="P978" s="15"/>
      <c r="Q978" s="15"/>
      <c r="R978" s="15"/>
      <c r="S978" s="15"/>
      <c r="T978" s="15"/>
      <c r="U978" s="15"/>
      <c r="V978" s="15"/>
      <c r="W978" s="15"/>
      <c r="X978" s="15"/>
      <c r="Y978" s="15"/>
      <c r="Z978" s="15"/>
    </row>
    <row r="979" spans="1:26" x14ac:dyDescent="0.3">
      <c r="A979" s="15"/>
      <c r="B979" s="15"/>
      <c r="C979" s="15"/>
      <c r="D979" s="15"/>
      <c r="E979" s="15"/>
      <c r="F979" s="15"/>
      <c r="G979" s="15"/>
      <c r="H979" s="52"/>
      <c r="I979" s="52"/>
      <c r="J979" s="15"/>
      <c r="K979" s="15"/>
      <c r="L979" s="15"/>
      <c r="M979" s="15"/>
      <c r="N979" s="15"/>
      <c r="O979" s="15"/>
      <c r="P979" s="15"/>
      <c r="Q979" s="15"/>
      <c r="R979" s="15"/>
      <c r="S979" s="15"/>
      <c r="T979" s="15"/>
      <c r="U979" s="15"/>
      <c r="V979" s="15"/>
      <c r="W979" s="15"/>
      <c r="X979" s="15"/>
      <c r="Y979" s="15"/>
      <c r="Z979" s="15"/>
    </row>
    <row r="980" spans="1:26" x14ac:dyDescent="0.3">
      <c r="A980" s="15"/>
      <c r="B980" s="15"/>
      <c r="C980" s="15"/>
      <c r="D980" s="15"/>
      <c r="E980" s="15"/>
      <c r="F980" s="15"/>
      <c r="G980" s="15"/>
      <c r="H980" s="52"/>
      <c r="I980" s="52"/>
      <c r="J980" s="15"/>
      <c r="K980" s="15"/>
      <c r="L980" s="15"/>
      <c r="M980" s="15"/>
      <c r="N980" s="15"/>
      <c r="O980" s="15"/>
      <c r="P980" s="15"/>
      <c r="Q980" s="15"/>
      <c r="R980" s="15"/>
      <c r="S980" s="15"/>
      <c r="T980" s="15"/>
      <c r="U980" s="15"/>
      <c r="V980" s="15"/>
      <c r="W980" s="15"/>
      <c r="X980" s="15"/>
      <c r="Y980" s="15"/>
      <c r="Z980" s="15"/>
    </row>
    <row r="981" spans="1:26" x14ac:dyDescent="0.3">
      <c r="A981" s="15"/>
      <c r="B981" s="15"/>
      <c r="C981" s="15"/>
      <c r="D981" s="15"/>
      <c r="E981" s="15"/>
      <c r="F981" s="15"/>
      <c r="G981" s="15"/>
      <c r="H981" s="52"/>
      <c r="I981" s="52"/>
      <c r="J981" s="15"/>
      <c r="K981" s="15"/>
      <c r="L981" s="15"/>
      <c r="M981" s="15"/>
      <c r="N981" s="15"/>
      <c r="O981" s="15"/>
      <c r="P981" s="15"/>
      <c r="Q981" s="15"/>
      <c r="R981" s="15"/>
      <c r="S981" s="15"/>
      <c r="T981" s="15"/>
      <c r="U981" s="15"/>
      <c r="V981" s="15"/>
      <c r="W981" s="15"/>
      <c r="X981" s="15"/>
      <c r="Y981" s="15"/>
      <c r="Z981" s="15"/>
    </row>
    <row r="982" spans="1:26" x14ac:dyDescent="0.3">
      <c r="A982" s="15"/>
      <c r="B982" s="15"/>
      <c r="C982" s="15"/>
      <c r="D982" s="15"/>
      <c r="E982" s="15"/>
      <c r="F982" s="15"/>
      <c r="G982" s="15"/>
      <c r="H982" s="52"/>
      <c r="I982" s="52"/>
      <c r="J982" s="15"/>
      <c r="K982" s="15"/>
      <c r="L982" s="15"/>
      <c r="M982" s="15"/>
      <c r="N982" s="15"/>
      <c r="O982" s="15"/>
      <c r="P982" s="15"/>
      <c r="Q982" s="15"/>
      <c r="R982" s="15"/>
      <c r="S982" s="15"/>
      <c r="T982" s="15"/>
      <c r="U982" s="15"/>
      <c r="V982" s="15"/>
      <c r="W982" s="15"/>
      <c r="X982" s="15"/>
      <c r="Y982" s="15"/>
      <c r="Z982" s="15"/>
    </row>
    <row r="983" spans="1:26" x14ac:dyDescent="0.3">
      <c r="A983" s="15"/>
      <c r="B983" s="15"/>
      <c r="C983" s="15"/>
      <c r="D983" s="15"/>
      <c r="E983" s="15"/>
      <c r="F983" s="15"/>
      <c r="G983" s="15"/>
      <c r="H983" s="52"/>
      <c r="I983" s="52"/>
      <c r="J983" s="15"/>
      <c r="K983" s="15"/>
      <c r="L983" s="15"/>
      <c r="M983" s="15"/>
      <c r="N983" s="15"/>
      <c r="O983" s="15"/>
      <c r="P983" s="15"/>
      <c r="Q983" s="15"/>
      <c r="R983" s="15"/>
      <c r="S983" s="15"/>
      <c r="T983" s="15"/>
      <c r="U983" s="15"/>
      <c r="V983" s="15"/>
      <c r="W983" s="15"/>
      <c r="X983" s="15"/>
      <c r="Y983" s="15"/>
      <c r="Z983" s="15"/>
    </row>
    <row r="984" spans="1:26" x14ac:dyDescent="0.3">
      <c r="A984" s="15"/>
      <c r="B984" s="15"/>
      <c r="C984" s="15"/>
      <c r="D984" s="15"/>
      <c r="E984" s="15"/>
      <c r="F984" s="15"/>
      <c r="G984" s="15"/>
      <c r="H984" s="52"/>
      <c r="I984" s="52"/>
      <c r="J984" s="15"/>
      <c r="K984" s="15"/>
      <c r="L984" s="15"/>
      <c r="M984" s="15"/>
      <c r="N984" s="15"/>
      <c r="O984" s="15"/>
      <c r="P984" s="15"/>
      <c r="Q984" s="15"/>
      <c r="R984" s="15"/>
      <c r="S984" s="15"/>
      <c r="T984" s="15"/>
      <c r="U984" s="15"/>
      <c r="V984" s="15"/>
      <c r="W984" s="15"/>
      <c r="X984" s="15"/>
      <c r="Y984" s="15"/>
      <c r="Z984" s="15"/>
    </row>
    <row r="985" spans="1:26" x14ac:dyDescent="0.3">
      <c r="A985" s="15"/>
      <c r="B985" s="15"/>
      <c r="C985" s="15"/>
      <c r="D985" s="15"/>
      <c r="E985" s="15"/>
      <c r="F985" s="15"/>
      <c r="G985" s="15"/>
      <c r="H985" s="52"/>
      <c r="I985" s="52"/>
      <c r="J985" s="15"/>
      <c r="K985" s="15"/>
      <c r="L985" s="15"/>
      <c r="M985" s="15"/>
      <c r="N985" s="15"/>
      <c r="O985" s="15"/>
      <c r="P985" s="15"/>
      <c r="Q985" s="15"/>
      <c r="R985" s="15"/>
      <c r="S985" s="15"/>
      <c r="T985" s="15"/>
      <c r="U985" s="15"/>
      <c r="V985" s="15"/>
      <c r="W985" s="15"/>
      <c r="X985" s="15"/>
      <c r="Y985" s="15"/>
      <c r="Z985" s="15"/>
    </row>
    <row r="986" spans="1:26" x14ac:dyDescent="0.3">
      <c r="A986" s="15"/>
      <c r="B986" s="15"/>
      <c r="C986" s="15"/>
      <c r="D986" s="15"/>
      <c r="E986" s="15"/>
      <c r="F986" s="15"/>
      <c r="G986" s="15"/>
      <c r="H986" s="52"/>
      <c r="I986" s="52"/>
      <c r="J986" s="15"/>
      <c r="K986" s="15"/>
      <c r="L986" s="15"/>
      <c r="M986" s="15"/>
      <c r="N986" s="15"/>
      <c r="O986" s="15"/>
      <c r="P986" s="15"/>
      <c r="Q986" s="15"/>
      <c r="R986" s="15"/>
      <c r="S986" s="15"/>
      <c r="T986" s="15"/>
      <c r="U986" s="15"/>
      <c r="V986" s="15"/>
      <c r="W986" s="15"/>
      <c r="X986" s="15"/>
      <c r="Y986" s="15"/>
      <c r="Z986" s="15"/>
    </row>
    <row r="987" spans="1:26" x14ac:dyDescent="0.3">
      <c r="A987" s="15"/>
      <c r="B987" s="15"/>
      <c r="C987" s="15"/>
      <c r="D987" s="15"/>
      <c r="E987" s="15"/>
      <c r="F987" s="15"/>
      <c r="G987" s="15"/>
      <c r="H987" s="52"/>
      <c r="I987" s="52"/>
      <c r="J987" s="15"/>
      <c r="K987" s="15"/>
      <c r="L987" s="15"/>
      <c r="M987" s="15"/>
      <c r="N987" s="15"/>
      <c r="O987" s="15"/>
      <c r="P987" s="15"/>
      <c r="Q987" s="15"/>
      <c r="R987" s="15"/>
      <c r="S987" s="15"/>
      <c r="T987" s="15"/>
      <c r="U987" s="15"/>
      <c r="V987" s="15"/>
      <c r="W987" s="15"/>
      <c r="X987" s="15"/>
      <c r="Y987" s="15"/>
      <c r="Z987" s="15"/>
    </row>
    <row r="988" spans="1:26" x14ac:dyDescent="0.3">
      <c r="A988" s="15"/>
      <c r="B988" s="15"/>
      <c r="C988" s="15"/>
      <c r="D988" s="15"/>
      <c r="E988" s="15"/>
      <c r="F988" s="15"/>
      <c r="G988" s="15"/>
      <c r="H988" s="52"/>
      <c r="I988" s="52"/>
      <c r="J988" s="15"/>
      <c r="K988" s="15"/>
      <c r="L988" s="15"/>
      <c r="M988" s="15"/>
      <c r="N988" s="15"/>
      <c r="O988" s="15"/>
      <c r="P988" s="15"/>
      <c r="Q988" s="15"/>
      <c r="R988" s="15"/>
      <c r="S988" s="15"/>
      <c r="T988" s="15"/>
      <c r="U988" s="15"/>
      <c r="V988" s="15"/>
      <c r="W988" s="15"/>
      <c r="X988" s="15"/>
      <c r="Y988" s="15"/>
      <c r="Z988" s="15"/>
    </row>
    <row r="989" spans="1:26" x14ac:dyDescent="0.3">
      <c r="A989" s="15"/>
      <c r="B989" s="15"/>
      <c r="C989" s="15"/>
      <c r="D989" s="15"/>
      <c r="E989" s="15"/>
      <c r="F989" s="15"/>
      <c r="G989" s="15"/>
      <c r="H989" s="52"/>
      <c r="I989" s="52"/>
      <c r="J989" s="15"/>
      <c r="K989" s="15"/>
      <c r="L989" s="15"/>
      <c r="M989" s="15"/>
      <c r="N989" s="15"/>
      <c r="O989" s="15"/>
      <c r="P989" s="15"/>
      <c r="Q989" s="15"/>
      <c r="R989" s="15"/>
      <c r="S989" s="15"/>
      <c r="T989" s="15"/>
      <c r="U989" s="15"/>
      <c r="V989" s="15"/>
      <c r="W989" s="15"/>
      <c r="X989" s="15"/>
      <c r="Y989" s="15"/>
      <c r="Z989" s="15"/>
    </row>
    <row r="990" spans="1:26" x14ac:dyDescent="0.3">
      <c r="A990" s="15"/>
      <c r="B990" s="15"/>
      <c r="C990" s="15"/>
      <c r="D990" s="15"/>
      <c r="E990" s="15"/>
      <c r="F990" s="15"/>
      <c r="G990" s="15"/>
      <c r="H990" s="52"/>
      <c r="I990" s="52"/>
      <c r="J990" s="15"/>
      <c r="K990" s="15"/>
      <c r="L990" s="15"/>
      <c r="M990" s="15"/>
      <c r="N990" s="15"/>
      <c r="O990" s="15"/>
      <c r="P990" s="15"/>
      <c r="Q990" s="15"/>
      <c r="R990" s="15"/>
      <c r="S990" s="15"/>
      <c r="T990" s="15"/>
      <c r="U990" s="15"/>
      <c r="V990" s="15"/>
      <c r="W990" s="15"/>
      <c r="X990" s="15"/>
      <c r="Y990" s="15"/>
      <c r="Z990" s="15"/>
    </row>
    <row r="991" spans="1:26" x14ac:dyDescent="0.3">
      <c r="A991" s="15"/>
      <c r="B991" s="15"/>
      <c r="C991" s="15"/>
      <c r="D991" s="15"/>
      <c r="E991" s="15"/>
      <c r="F991" s="15"/>
      <c r="G991" s="15"/>
      <c r="H991" s="52"/>
      <c r="I991" s="52"/>
      <c r="J991" s="15"/>
      <c r="K991" s="15"/>
      <c r="L991" s="15"/>
      <c r="M991" s="15"/>
      <c r="N991" s="15"/>
      <c r="O991" s="15"/>
      <c r="P991" s="15"/>
      <c r="Q991" s="15"/>
      <c r="R991" s="15"/>
      <c r="S991" s="15"/>
      <c r="T991" s="15"/>
      <c r="U991" s="15"/>
      <c r="V991" s="15"/>
      <c r="W991" s="15"/>
      <c r="X991" s="15"/>
      <c r="Y991" s="15"/>
      <c r="Z991" s="15"/>
    </row>
    <row r="992" spans="1:26" x14ac:dyDescent="0.3">
      <c r="A992" s="15"/>
      <c r="B992" s="15"/>
      <c r="C992" s="15"/>
      <c r="D992" s="15"/>
      <c r="E992" s="15"/>
      <c r="F992" s="15"/>
      <c r="G992" s="15"/>
      <c r="H992" s="52"/>
      <c r="I992" s="52"/>
      <c r="J992" s="15"/>
      <c r="K992" s="15"/>
      <c r="L992" s="15"/>
      <c r="M992" s="15"/>
      <c r="N992" s="15"/>
      <c r="O992" s="15"/>
      <c r="P992" s="15"/>
      <c r="Q992" s="15"/>
      <c r="R992" s="15"/>
      <c r="S992" s="15"/>
      <c r="T992" s="15"/>
      <c r="U992" s="15"/>
      <c r="V992" s="15"/>
      <c r="W992" s="15"/>
      <c r="X992" s="15"/>
      <c r="Y992" s="15"/>
      <c r="Z992" s="15"/>
    </row>
    <row r="993" spans="1:26" x14ac:dyDescent="0.3">
      <c r="A993" s="15"/>
      <c r="B993" s="15"/>
      <c r="C993" s="15"/>
      <c r="D993" s="15"/>
      <c r="E993" s="15"/>
      <c r="F993" s="15"/>
      <c r="G993" s="15"/>
      <c r="H993" s="52"/>
      <c r="I993" s="52"/>
      <c r="J993" s="15"/>
      <c r="K993" s="15"/>
      <c r="L993" s="15"/>
      <c r="M993" s="15"/>
      <c r="N993" s="15"/>
      <c r="O993" s="15"/>
      <c r="P993" s="15"/>
      <c r="Q993" s="15"/>
      <c r="R993" s="15"/>
      <c r="S993" s="15"/>
      <c r="T993" s="15"/>
      <c r="U993" s="15"/>
      <c r="V993" s="15"/>
      <c r="W993" s="15"/>
      <c r="X993" s="15"/>
      <c r="Y993" s="15"/>
      <c r="Z993" s="15"/>
    </row>
    <row r="994" spans="1:26" x14ac:dyDescent="0.3">
      <c r="A994" s="15"/>
      <c r="B994" s="15"/>
      <c r="C994" s="15"/>
      <c r="D994" s="15"/>
      <c r="E994" s="15"/>
      <c r="F994" s="15"/>
      <c r="G994" s="15"/>
      <c r="H994" s="52"/>
      <c r="I994" s="52"/>
      <c r="J994" s="15"/>
      <c r="K994" s="15"/>
      <c r="L994" s="15"/>
      <c r="M994" s="15"/>
      <c r="N994" s="15"/>
      <c r="O994" s="15"/>
      <c r="P994" s="15"/>
      <c r="Q994" s="15"/>
      <c r="R994" s="15"/>
      <c r="S994" s="15"/>
      <c r="T994" s="15"/>
      <c r="U994" s="15"/>
      <c r="V994" s="15"/>
      <c r="W994" s="15"/>
      <c r="X994" s="15"/>
      <c r="Y994" s="15"/>
      <c r="Z994" s="15"/>
    </row>
    <row r="995" spans="1:26" x14ac:dyDescent="0.3">
      <c r="A995" s="15"/>
      <c r="B995" s="15"/>
      <c r="C995" s="15"/>
      <c r="D995" s="15"/>
      <c r="E995" s="15"/>
      <c r="F995" s="15"/>
      <c r="G995" s="15"/>
      <c r="H995" s="52"/>
      <c r="I995" s="52"/>
      <c r="J995" s="15"/>
      <c r="K995" s="15"/>
      <c r="L995" s="15"/>
      <c r="M995" s="15"/>
      <c r="N995" s="15"/>
      <c r="O995" s="15"/>
      <c r="P995" s="15"/>
      <c r="Q995" s="15"/>
      <c r="R995" s="15"/>
      <c r="S995" s="15"/>
      <c r="T995" s="15"/>
      <c r="U995" s="15"/>
      <c r="V995" s="15"/>
      <c r="W995" s="15"/>
      <c r="X995" s="15"/>
      <c r="Y995" s="15"/>
      <c r="Z995" s="15"/>
    </row>
    <row r="996" spans="1:26" x14ac:dyDescent="0.3">
      <c r="A996" s="15"/>
      <c r="B996" s="15"/>
      <c r="C996" s="15"/>
      <c r="D996" s="15"/>
      <c r="E996" s="15"/>
      <c r="F996" s="15"/>
      <c r="G996" s="15"/>
      <c r="H996" s="52"/>
      <c r="I996" s="52"/>
      <c r="J996" s="15"/>
      <c r="K996" s="15"/>
      <c r="L996" s="15"/>
      <c r="M996" s="15"/>
      <c r="N996" s="15"/>
      <c r="O996" s="15"/>
      <c r="P996" s="15"/>
      <c r="Q996" s="15"/>
      <c r="R996" s="15"/>
      <c r="S996" s="15"/>
      <c r="T996" s="15"/>
      <c r="U996" s="15"/>
      <c r="V996" s="15"/>
      <c r="W996" s="15"/>
      <c r="X996" s="15"/>
      <c r="Y996" s="15"/>
      <c r="Z996" s="15"/>
    </row>
    <row r="997" spans="1:26" x14ac:dyDescent="0.3">
      <c r="A997" s="15"/>
      <c r="B997" s="15"/>
      <c r="C997" s="15"/>
      <c r="D997" s="15"/>
      <c r="E997" s="15"/>
      <c r="F997" s="15"/>
      <c r="G997" s="15"/>
      <c r="H997" s="52"/>
      <c r="I997" s="52"/>
      <c r="J997" s="15"/>
      <c r="K997" s="15"/>
      <c r="L997" s="15"/>
      <c r="M997" s="15"/>
      <c r="N997" s="15"/>
      <c r="O997" s="15"/>
      <c r="P997" s="15"/>
      <c r="Q997" s="15"/>
      <c r="R997" s="15"/>
      <c r="S997" s="15"/>
      <c r="T997" s="15"/>
      <c r="U997" s="15"/>
      <c r="V997" s="15"/>
      <c r="W997" s="15"/>
      <c r="X997" s="15"/>
      <c r="Y997" s="15"/>
      <c r="Z997" s="15"/>
    </row>
    <row r="998" spans="1:26" x14ac:dyDescent="0.3">
      <c r="A998" s="15"/>
      <c r="B998" s="15"/>
      <c r="C998" s="15"/>
      <c r="D998" s="15"/>
      <c r="E998" s="15"/>
      <c r="F998" s="15"/>
      <c r="G998" s="15"/>
      <c r="H998" s="52"/>
      <c r="I998" s="52"/>
      <c r="J998" s="15"/>
      <c r="K998" s="15"/>
      <c r="L998" s="15"/>
      <c r="M998" s="15"/>
      <c r="N998" s="15"/>
      <c r="O998" s="15"/>
      <c r="P998" s="15"/>
      <c r="Q998" s="15"/>
      <c r="R998" s="15"/>
      <c r="S998" s="15"/>
      <c r="T998" s="15"/>
      <c r="U998" s="15"/>
      <c r="V998" s="15"/>
      <c r="W998" s="15"/>
      <c r="X998" s="15"/>
      <c r="Y998" s="15"/>
      <c r="Z998" s="15"/>
    </row>
    <row r="999" spans="1:26" x14ac:dyDescent="0.3">
      <c r="A999" s="15"/>
      <c r="B999" s="15"/>
      <c r="C999" s="15"/>
      <c r="D999" s="15"/>
      <c r="E999" s="15"/>
      <c r="F999" s="15"/>
      <c r="G999" s="15"/>
      <c r="H999" s="52"/>
      <c r="I999" s="52"/>
      <c r="J999" s="15"/>
      <c r="K999" s="15"/>
      <c r="L999" s="15"/>
      <c r="M999" s="15"/>
      <c r="N999" s="15"/>
      <c r="O999" s="15"/>
      <c r="P999" s="15"/>
      <c r="Q999" s="15"/>
      <c r="R999" s="15"/>
      <c r="S999" s="15"/>
      <c r="T999" s="15"/>
      <c r="U999" s="15"/>
      <c r="V999" s="15"/>
      <c r="W999" s="15"/>
      <c r="X999" s="15"/>
      <c r="Y999" s="15"/>
      <c r="Z999" s="15"/>
    </row>
    <row r="1000" spans="1:26" x14ac:dyDescent="0.3">
      <c r="A1000" s="15"/>
      <c r="B1000" s="15"/>
      <c r="C1000" s="15"/>
      <c r="D1000" s="15"/>
      <c r="E1000" s="15"/>
      <c r="F1000" s="15"/>
      <c r="G1000" s="15"/>
      <c r="H1000" s="52"/>
      <c r="I1000" s="52"/>
      <c r="J1000" s="15"/>
      <c r="K1000" s="15"/>
      <c r="L1000" s="15"/>
      <c r="M1000" s="15"/>
      <c r="N1000" s="15"/>
      <c r="O1000" s="15"/>
      <c r="P1000" s="15"/>
      <c r="Q1000" s="15"/>
      <c r="R1000" s="15"/>
      <c r="S1000" s="15"/>
      <c r="T1000" s="15"/>
      <c r="U1000" s="15"/>
      <c r="V1000" s="15"/>
      <c r="W1000" s="15"/>
      <c r="X1000" s="15"/>
      <c r="Y1000" s="15"/>
      <c r="Z1000" s="15"/>
    </row>
  </sheetData>
  <mergeCells count="7">
    <mergeCell ref="F1:G1"/>
    <mergeCell ref="H1:I1"/>
    <mergeCell ref="A1:A2"/>
    <mergeCell ref="B1:B2"/>
    <mergeCell ref="C1:C2"/>
    <mergeCell ref="D1:D2"/>
    <mergeCell ref="E1:E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3984375" defaultRowHeight="15" customHeight="1" x14ac:dyDescent="0.3"/>
  <cols>
    <col min="1" max="1" width="6.296875" customWidth="1"/>
    <col min="2" max="2" width="9.296875" customWidth="1"/>
    <col min="3" max="3" width="78.09765625" customWidth="1"/>
    <col min="4" max="4" width="6.69921875" customWidth="1"/>
    <col min="5" max="5" width="7.8984375" customWidth="1"/>
    <col min="6" max="6" width="8.69921875" customWidth="1"/>
    <col min="7" max="8" width="12.09765625" customWidth="1"/>
    <col min="9" max="9" width="17.09765625" customWidth="1"/>
    <col min="10" max="26" width="8.69921875" customWidth="1"/>
  </cols>
  <sheetData>
    <row r="1" spans="1:26" x14ac:dyDescent="0.3">
      <c r="A1" s="224" t="s">
        <v>2309</v>
      </c>
      <c r="B1" s="224" t="s">
        <v>2310</v>
      </c>
      <c r="C1" s="225" t="s">
        <v>2311</v>
      </c>
      <c r="D1" s="224" t="s">
        <v>2312</v>
      </c>
      <c r="E1" s="224" t="s">
        <v>2313</v>
      </c>
      <c r="F1" s="226" t="s">
        <v>2314</v>
      </c>
      <c r="G1" s="221"/>
      <c r="H1" s="227" t="s">
        <v>2315</v>
      </c>
      <c r="I1" s="221"/>
      <c r="J1" s="53"/>
      <c r="K1" s="53"/>
      <c r="L1" s="53"/>
      <c r="M1" s="53"/>
      <c r="N1" s="53"/>
      <c r="O1" s="53"/>
      <c r="P1" s="53"/>
      <c r="Q1" s="53"/>
      <c r="R1" s="53"/>
      <c r="S1" s="53"/>
      <c r="T1" s="53"/>
      <c r="U1" s="53"/>
      <c r="V1" s="53"/>
      <c r="W1" s="53"/>
      <c r="X1" s="53"/>
      <c r="Y1" s="53"/>
      <c r="Z1" s="53"/>
    </row>
    <row r="2" spans="1:26" x14ac:dyDescent="0.3">
      <c r="A2" s="217"/>
      <c r="B2" s="217"/>
      <c r="C2" s="217"/>
      <c r="D2" s="217"/>
      <c r="E2" s="217"/>
      <c r="F2" s="46" t="s">
        <v>2316</v>
      </c>
      <c r="G2" s="46" t="s">
        <v>2317</v>
      </c>
      <c r="H2" s="16" t="s">
        <v>2318</v>
      </c>
      <c r="I2" s="46" t="s">
        <v>2319</v>
      </c>
      <c r="J2" s="53"/>
      <c r="K2" s="53"/>
      <c r="L2" s="53"/>
      <c r="M2" s="53"/>
      <c r="N2" s="53"/>
      <c r="O2" s="53"/>
      <c r="P2" s="53"/>
      <c r="Q2" s="53"/>
      <c r="R2" s="53"/>
      <c r="S2" s="53"/>
      <c r="T2" s="53"/>
      <c r="U2" s="53"/>
      <c r="V2" s="53"/>
      <c r="W2" s="53"/>
      <c r="X2" s="53"/>
      <c r="Y2" s="53"/>
      <c r="Z2" s="53"/>
    </row>
    <row r="3" spans="1:26" x14ac:dyDescent="0.3">
      <c r="A3" s="17"/>
      <c r="B3" s="17"/>
      <c r="C3" s="17"/>
      <c r="D3" s="17"/>
      <c r="E3" s="17"/>
      <c r="F3" s="17"/>
      <c r="G3" s="17"/>
      <c r="H3" s="17"/>
      <c r="I3" s="17"/>
      <c r="J3" s="53"/>
      <c r="K3" s="53"/>
      <c r="L3" s="53"/>
      <c r="M3" s="53"/>
      <c r="N3" s="53"/>
      <c r="O3" s="53"/>
      <c r="P3" s="53"/>
      <c r="Q3" s="53"/>
      <c r="R3" s="53"/>
      <c r="S3" s="53"/>
      <c r="T3" s="53"/>
      <c r="U3" s="53"/>
      <c r="V3" s="53"/>
      <c r="W3" s="53"/>
      <c r="X3" s="53"/>
      <c r="Y3" s="53"/>
      <c r="Z3" s="53"/>
    </row>
    <row r="4" spans="1:26" x14ac:dyDescent="0.3">
      <c r="A4" s="20" t="s">
        <v>2320</v>
      </c>
      <c r="B4" s="22"/>
      <c r="C4" s="21" t="s">
        <v>2321</v>
      </c>
      <c r="D4" s="22"/>
      <c r="E4" s="22"/>
      <c r="F4" s="22"/>
      <c r="G4" s="22"/>
      <c r="H4" s="22"/>
      <c r="I4" s="22"/>
      <c r="J4" s="53"/>
      <c r="K4" s="53"/>
      <c r="L4" s="53"/>
      <c r="M4" s="53"/>
      <c r="N4" s="53"/>
      <c r="O4" s="53"/>
      <c r="P4" s="53"/>
      <c r="Q4" s="53"/>
      <c r="R4" s="53"/>
      <c r="S4" s="53"/>
      <c r="T4" s="53"/>
      <c r="U4" s="53"/>
      <c r="V4" s="53"/>
      <c r="W4" s="53"/>
      <c r="X4" s="53"/>
      <c r="Y4" s="53"/>
      <c r="Z4" s="53"/>
    </row>
    <row r="5" spans="1:26" x14ac:dyDescent="0.3">
      <c r="A5" s="17"/>
      <c r="B5" s="17"/>
      <c r="C5" s="17"/>
      <c r="D5" s="17"/>
      <c r="E5" s="17"/>
      <c r="F5" s="17"/>
      <c r="G5" s="17"/>
      <c r="H5" s="17"/>
      <c r="I5" s="17"/>
      <c r="J5" s="53"/>
      <c r="K5" s="53"/>
      <c r="L5" s="53"/>
      <c r="M5" s="53"/>
      <c r="N5" s="53"/>
      <c r="O5" s="53"/>
      <c r="P5" s="53"/>
      <c r="Q5" s="53"/>
      <c r="R5" s="53"/>
      <c r="S5" s="53"/>
      <c r="T5" s="53"/>
      <c r="U5" s="53"/>
      <c r="V5" s="53"/>
      <c r="W5" s="53"/>
      <c r="X5" s="53"/>
      <c r="Y5" s="53"/>
      <c r="Z5" s="53"/>
    </row>
    <row r="6" spans="1:26" x14ac:dyDescent="0.3">
      <c r="A6" s="17"/>
      <c r="B6" s="17"/>
      <c r="C6" s="35" t="s">
        <v>2322</v>
      </c>
      <c r="D6" s="17"/>
      <c r="E6" s="17"/>
      <c r="F6" s="17"/>
      <c r="G6" s="17"/>
      <c r="H6" s="17"/>
      <c r="I6" s="17"/>
      <c r="J6" s="53"/>
      <c r="K6" s="53"/>
      <c r="L6" s="53"/>
      <c r="M6" s="53"/>
      <c r="N6" s="53"/>
      <c r="O6" s="53"/>
      <c r="P6" s="53"/>
      <c r="Q6" s="53"/>
      <c r="R6" s="53"/>
      <c r="S6" s="53"/>
      <c r="T6" s="53"/>
      <c r="U6" s="53"/>
      <c r="V6" s="53"/>
      <c r="W6" s="53"/>
      <c r="X6" s="53"/>
      <c r="Y6" s="53"/>
      <c r="Z6" s="53"/>
    </row>
    <row r="7" spans="1:26" x14ac:dyDescent="0.3">
      <c r="A7" s="17"/>
      <c r="B7" s="17"/>
      <c r="C7" s="27" t="s">
        <v>2323</v>
      </c>
      <c r="D7" s="17"/>
      <c r="E7" s="17"/>
      <c r="F7" s="17"/>
      <c r="G7" s="17"/>
      <c r="H7" s="17"/>
      <c r="I7" s="17"/>
      <c r="J7" s="53"/>
      <c r="K7" s="53"/>
      <c r="L7" s="53"/>
      <c r="M7" s="53"/>
      <c r="N7" s="53"/>
      <c r="O7" s="53"/>
      <c r="P7" s="53"/>
      <c r="Q7" s="53"/>
      <c r="R7" s="53"/>
      <c r="S7" s="53"/>
      <c r="T7" s="53"/>
      <c r="U7" s="53"/>
      <c r="V7" s="53"/>
      <c r="W7" s="53"/>
      <c r="X7" s="53"/>
      <c r="Y7" s="53"/>
      <c r="Z7" s="53"/>
    </row>
    <row r="8" spans="1:26" x14ac:dyDescent="0.3">
      <c r="A8" s="17"/>
      <c r="B8" s="17"/>
      <c r="C8" s="17" t="s">
        <v>2324</v>
      </c>
      <c r="D8" s="17"/>
      <c r="E8" s="17"/>
      <c r="F8" s="17"/>
      <c r="G8" s="17"/>
      <c r="H8" s="17"/>
      <c r="I8" s="17"/>
      <c r="J8" s="53"/>
      <c r="K8" s="53"/>
      <c r="L8" s="53"/>
      <c r="M8" s="53"/>
      <c r="N8" s="53"/>
      <c r="O8" s="53"/>
      <c r="P8" s="53"/>
      <c r="Q8" s="53"/>
      <c r="R8" s="53"/>
      <c r="S8" s="53"/>
      <c r="T8" s="53"/>
      <c r="U8" s="53"/>
      <c r="V8" s="53"/>
      <c r="W8" s="53"/>
      <c r="X8" s="53"/>
      <c r="Y8" s="53"/>
      <c r="Z8" s="53"/>
    </row>
    <row r="9" spans="1:26" x14ac:dyDescent="0.3">
      <c r="A9" s="39" t="s">
        <v>2325</v>
      </c>
      <c r="B9" s="26" t="s">
        <v>2326</v>
      </c>
      <c r="C9" s="17" t="s">
        <v>2327</v>
      </c>
      <c r="D9" s="26" t="s">
        <v>2328</v>
      </c>
      <c r="E9" s="54">
        <v>10</v>
      </c>
      <c r="F9" s="17">
        <v>16250</v>
      </c>
      <c r="G9" s="55">
        <v>3500</v>
      </c>
      <c r="H9" s="56">
        <f t="shared" ref="H9:H32" si="0">E9*F9</f>
        <v>162500</v>
      </c>
      <c r="I9" s="55">
        <f t="shared" ref="I9:I32" si="1">E9*G9</f>
        <v>35000</v>
      </c>
      <c r="J9" s="53"/>
      <c r="K9" s="53"/>
      <c r="L9" s="53"/>
      <c r="M9" s="53"/>
      <c r="N9" s="53"/>
      <c r="O9" s="53"/>
      <c r="P9" s="53"/>
      <c r="Q9" s="53"/>
      <c r="R9" s="53"/>
      <c r="S9" s="53"/>
      <c r="T9" s="53"/>
      <c r="U9" s="53"/>
      <c r="V9" s="53"/>
      <c r="W9" s="53"/>
      <c r="X9" s="53"/>
      <c r="Y9" s="53"/>
      <c r="Z9" s="53"/>
    </row>
    <row r="10" spans="1:26" x14ac:dyDescent="0.3">
      <c r="A10" s="26" t="s">
        <v>2329</v>
      </c>
      <c r="B10" s="26" t="s">
        <v>2330</v>
      </c>
      <c r="C10" s="27" t="s">
        <v>2331</v>
      </c>
      <c r="D10" s="26" t="s">
        <v>2332</v>
      </c>
      <c r="E10" s="54">
        <v>10</v>
      </c>
      <c r="F10" s="17">
        <v>422500</v>
      </c>
      <c r="G10" s="55">
        <v>25000</v>
      </c>
      <c r="H10" s="56">
        <f t="shared" si="0"/>
        <v>4225000</v>
      </c>
      <c r="I10" s="55">
        <f t="shared" si="1"/>
        <v>250000</v>
      </c>
      <c r="J10" s="53"/>
      <c r="K10" s="53"/>
      <c r="L10" s="53"/>
      <c r="M10" s="53"/>
      <c r="N10" s="53"/>
      <c r="O10" s="53"/>
      <c r="P10" s="53"/>
      <c r="Q10" s="53"/>
      <c r="R10" s="53"/>
      <c r="S10" s="53"/>
      <c r="T10" s="53"/>
      <c r="U10" s="53"/>
      <c r="V10" s="53"/>
      <c r="W10" s="53"/>
      <c r="X10" s="53"/>
      <c r="Y10" s="53"/>
      <c r="Z10" s="53"/>
    </row>
    <row r="11" spans="1:26" x14ac:dyDescent="0.3">
      <c r="A11" s="26" t="s">
        <v>2333</v>
      </c>
      <c r="B11" s="26" t="s">
        <v>2334</v>
      </c>
      <c r="C11" s="27" t="s">
        <v>2335</v>
      </c>
      <c r="D11" s="26" t="s">
        <v>2336</v>
      </c>
      <c r="E11" s="54">
        <v>10</v>
      </c>
      <c r="F11" s="17">
        <v>128700</v>
      </c>
      <c r="G11" s="55">
        <v>10000</v>
      </c>
      <c r="H11" s="56">
        <f t="shared" si="0"/>
        <v>1287000</v>
      </c>
      <c r="I11" s="55">
        <f t="shared" si="1"/>
        <v>100000</v>
      </c>
      <c r="J11" s="53"/>
      <c r="K11" s="53"/>
      <c r="L11" s="53"/>
      <c r="M11" s="53"/>
      <c r="N11" s="53"/>
      <c r="O11" s="53"/>
      <c r="P11" s="53"/>
      <c r="Q11" s="53"/>
      <c r="R11" s="53"/>
      <c r="S11" s="53"/>
      <c r="T11" s="53"/>
      <c r="U11" s="53"/>
      <c r="V11" s="53"/>
      <c r="W11" s="53"/>
      <c r="X11" s="53"/>
      <c r="Y11" s="53"/>
      <c r="Z11" s="53"/>
    </row>
    <row r="12" spans="1:26" x14ac:dyDescent="0.3">
      <c r="A12" s="26" t="s">
        <v>2337</v>
      </c>
      <c r="B12" s="26" t="s">
        <v>2338</v>
      </c>
      <c r="C12" s="27" t="s">
        <v>2339</v>
      </c>
      <c r="D12" s="26" t="s">
        <v>2340</v>
      </c>
      <c r="E12" s="54">
        <v>10</v>
      </c>
      <c r="F12" s="17">
        <v>195000</v>
      </c>
      <c r="G12" s="55">
        <v>15000</v>
      </c>
      <c r="H12" s="56">
        <f t="shared" si="0"/>
        <v>1950000</v>
      </c>
      <c r="I12" s="55">
        <f t="shared" si="1"/>
        <v>150000</v>
      </c>
      <c r="J12" s="53"/>
      <c r="K12" s="53"/>
      <c r="L12" s="53"/>
      <c r="M12" s="53"/>
      <c r="N12" s="53"/>
      <c r="O12" s="53"/>
      <c r="P12" s="53"/>
      <c r="Q12" s="53"/>
      <c r="R12" s="53"/>
      <c r="S12" s="53"/>
      <c r="T12" s="53"/>
      <c r="U12" s="53"/>
      <c r="V12" s="53"/>
      <c r="W12" s="53"/>
      <c r="X12" s="53"/>
      <c r="Y12" s="53"/>
      <c r="Z12" s="53"/>
    </row>
    <row r="13" spans="1:26" x14ac:dyDescent="0.3">
      <c r="A13" s="26" t="s">
        <v>2341</v>
      </c>
      <c r="B13" s="26" t="s">
        <v>2342</v>
      </c>
      <c r="C13" s="27" t="s">
        <v>2343</v>
      </c>
      <c r="D13" s="26" t="s">
        <v>2344</v>
      </c>
      <c r="E13" s="54">
        <v>91</v>
      </c>
      <c r="F13" s="17">
        <v>112970</v>
      </c>
      <c r="G13" s="55">
        <v>10000</v>
      </c>
      <c r="H13" s="56">
        <f t="shared" si="0"/>
        <v>10280270</v>
      </c>
      <c r="I13" s="55">
        <f t="shared" si="1"/>
        <v>910000</v>
      </c>
      <c r="J13" s="53"/>
      <c r="K13" s="53"/>
      <c r="L13" s="53"/>
      <c r="M13" s="53"/>
      <c r="N13" s="53"/>
      <c r="O13" s="53"/>
      <c r="P13" s="53"/>
      <c r="Q13" s="53"/>
      <c r="R13" s="53"/>
      <c r="S13" s="53"/>
      <c r="T13" s="53"/>
      <c r="U13" s="53"/>
      <c r="V13" s="53"/>
      <c r="W13" s="53"/>
      <c r="X13" s="53"/>
      <c r="Y13" s="53"/>
      <c r="Z13" s="53"/>
    </row>
    <row r="14" spans="1:26" x14ac:dyDescent="0.3">
      <c r="A14" s="26" t="s">
        <v>2345</v>
      </c>
      <c r="B14" s="26" t="s">
        <v>2346</v>
      </c>
      <c r="C14" s="27" t="s">
        <v>2347</v>
      </c>
      <c r="D14" s="26" t="s">
        <v>2348</v>
      </c>
      <c r="E14" s="54">
        <v>82</v>
      </c>
      <c r="F14" s="17">
        <v>38870</v>
      </c>
      <c r="G14" s="55">
        <v>5000</v>
      </c>
      <c r="H14" s="56">
        <f t="shared" si="0"/>
        <v>3187340</v>
      </c>
      <c r="I14" s="55">
        <f t="shared" si="1"/>
        <v>410000</v>
      </c>
      <c r="J14" s="53"/>
      <c r="K14" s="53"/>
      <c r="L14" s="53"/>
      <c r="M14" s="53"/>
      <c r="N14" s="53"/>
      <c r="O14" s="53"/>
      <c r="P14" s="53"/>
      <c r="Q14" s="53"/>
      <c r="R14" s="53"/>
      <c r="S14" s="53"/>
      <c r="T14" s="53"/>
      <c r="U14" s="53"/>
      <c r="V14" s="53"/>
      <c r="W14" s="53"/>
      <c r="X14" s="53"/>
      <c r="Y14" s="53"/>
      <c r="Z14" s="53"/>
    </row>
    <row r="15" spans="1:26" x14ac:dyDescent="0.3">
      <c r="A15" s="54">
        <v>7</v>
      </c>
      <c r="B15" s="26" t="s">
        <v>2349</v>
      </c>
      <c r="C15" s="27" t="s">
        <v>2350</v>
      </c>
      <c r="D15" s="26" t="s">
        <v>2351</v>
      </c>
      <c r="E15" s="57">
        <v>1034</v>
      </c>
      <c r="F15" s="17">
        <v>9500</v>
      </c>
      <c r="G15" s="55">
        <v>1000</v>
      </c>
      <c r="H15" s="56">
        <f t="shared" si="0"/>
        <v>9823000</v>
      </c>
      <c r="I15" s="55">
        <f t="shared" si="1"/>
        <v>1034000</v>
      </c>
      <c r="J15" s="53"/>
      <c r="K15" s="53"/>
      <c r="L15" s="53"/>
      <c r="M15" s="53"/>
      <c r="N15" s="53"/>
      <c r="O15" s="53"/>
      <c r="P15" s="53"/>
      <c r="Q15" s="53"/>
      <c r="R15" s="53"/>
      <c r="S15" s="53"/>
      <c r="T15" s="53"/>
      <c r="U15" s="53"/>
      <c r="V15" s="53"/>
      <c r="W15" s="53"/>
      <c r="X15" s="53"/>
      <c r="Y15" s="53"/>
      <c r="Z15" s="53"/>
    </row>
    <row r="16" spans="1:26" x14ac:dyDescent="0.3">
      <c r="A16" s="54">
        <v>8</v>
      </c>
      <c r="B16" s="26" t="s">
        <v>2352</v>
      </c>
      <c r="C16" s="27" t="s">
        <v>2353</v>
      </c>
      <c r="D16" s="26" t="s">
        <v>2354</v>
      </c>
      <c r="E16" s="54">
        <v>80</v>
      </c>
      <c r="F16" s="17">
        <v>9500</v>
      </c>
      <c r="G16" s="55">
        <v>1000</v>
      </c>
      <c r="H16" s="56">
        <f t="shared" si="0"/>
        <v>760000</v>
      </c>
      <c r="I16" s="55">
        <f t="shared" si="1"/>
        <v>80000</v>
      </c>
      <c r="J16" s="53"/>
      <c r="K16" s="53"/>
      <c r="L16" s="53"/>
      <c r="M16" s="53"/>
      <c r="N16" s="53"/>
      <c r="O16" s="53"/>
      <c r="P16" s="53"/>
      <c r="Q16" s="53"/>
      <c r="R16" s="53"/>
      <c r="S16" s="53"/>
      <c r="T16" s="53"/>
      <c r="U16" s="53"/>
      <c r="V16" s="53"/>
      <c r="W16" s="53"/>
      <c r="X16" s="53"/>
      <c r="Y16" s="53"/>
      <c r="Z16" s="53"/>
    </row>
    <row r="17" spans="1:26" x14ac:dyDescent="0.3">
      <c r="A17" s="54">
        <v>9</v>
      </c>
      <c r="B17" s="26" t="s">
        <v>2355</v>
      </c>
      <c r="C17" s="27" t="s">
        <v>2356</v>
      </c>
      <c r="D17" s="26" t="s">
        <v>2357</v>
      </c>
      <c r="E17" s="54">
        <v>21</v>
      </c>
      <c r="F17" s="17">
        <v>9500</v>
      </c>
      <c r="G17" s="55">
        <v>1000</v>
      </c>
      <c r="H17" s="56">
        <f t="shared" si="0"/>
        <v>199500</v>
      </c>
      <c r="I17" s="55">
        <f t="shared" si="1"/>
        <v>21000</v>
      </c>
      <c r="J17" s="53"/>
      <c r="K17" s="53"/>
      <c r="L17" s="53"/>
      <c r="M17" s="53"/>
      <c r="N17" s="53"/>
      <c r="O17" s="53"/>
      <c r="P17" s="53"/>
      <c r="Q17" s="53"/>
      <c r="R17" s="53"/>
      <c r="S17" s="53"/>
      <c r="T17" s="53"/>
      <c r="U17" s="53"/>
      <c r="V17" s="53"/>
      <c r="W17" s="53"/>
      <c r="X17" s="53"/>
      <c r="Y17" s="53"/>
      <c r="Z17" s="53"/>
    </row>
    <row r="18" spans="1:26" x14ac:dyDescent="0.3">
      <c r="A18" s="54">
        <v>10</v>
      </c>
      <c r="B18" s="26" t="s">
        <v>2358</v>
      </c>
      <c r="C18" s="27" t="s">
        <v>2359</v>
      </c>
      <c r="D18" s="26" t="s">
        <v>2360</v>
      </c>
      <c r="E18" s="54">
        <v>4</v>
      </c>
      <c r="F18" s="17">
        <v>9500</v>
      </c>
      <c r="G18" s="55">
        <v>1000</v>
      </c>
      <c r="H18" s="56">
        <f t="shared" si="0"/>
        <v>38000</v>
      </c>
      <c r="I18" s="55">
        <f t="shared" si="1"/>
        <v>4000</v>
      </c>
      <c r="J18" s="53"/>
      <c r="K18" s="53"/>
      <c r="L18" s="53"/>
      <c r="M18" s="53"/>
      <c r="N18" s="53"/>
      <c r="O18" s="53"/>
      <c r="P18" s="53"/>
      <c r="Q18" s="53"/>
      <c r="R18" s="53"/>
      <c r="S18" s="53"/>
      <c r="T18" s="53"/>
      <c r="U18" s="53"/>
      <c r="V18" s="53"/>
      <c r="W18" s="53"/>
      <c r="X18" s="53"/>
      <c r="Y18" s="53"/>
      <c r="Z18" s="53"/>
    </row>
    <row r="19" spans="1:26" x14ac:dyDescent="0.3">
      <c r="A19" s="26" t="s">
        <v>2361</v>
      </c>
      <c r="B19" s="26" t="s">
        <v>2362</v>
      </c>
      <c r="C19" s="27" t="s">
        <v>2363</v>
      </c>
      <c r="D19" s="26" t="s">
        <v>2364</v>
      </c>
      <c r="E19" s="54">
        <v>140</v>
      </c>
      <c r="F19" s="17">
        <v>13260</v>
      </c>
      <c r="G19" s="55">
        <v>1000</v>
      </c>
      <c r="H19" s="56">
        <f t="shared" si="0"/>
        <v>1856400</v>
      </c>
      <c r="I19" s="55">
        <f t="shared" si="1"/>
        <v>140000</v>
      </c>
      <c r="J19" s="53"/>
      <c r="K19" s="53"/>
      <c r="L19" s="53"/>
      <c r="M19" s="53"/>
      <c r="N19" s="53"/>
      <c r="O19" s="53"/>
      <c r="P19" s="53"/>
      <c r="Q19" s="53"/>
      <c r="R19" s="53"/>
      <c r="S19" s="53"/>
      <c r="T19" s="53"/>
      <c r="U19" s="53"/>
      <c r="V19" s="53"/>
      <c r="W19" s="53"/>
      <c r="X19" s="53"/>
      <c r="Y19" s="53"/>
      <c r="Z19" s="53"/>
    </row>
    <row r="20" spans="1:26" x14ac:dyDescent="0.3">
      <c r="A20" s="26" t="s">
        <v>2365</v>
      </c>
      <c r="B20" s="26" t="s">
        <v>2366</v>
      </c>
      <c r="C20" s="27" t="s">
        <v>2367</v>
      </c>
      <c r="D20" s="26" t="s">
        <v>2368</v>
      </c>
      <c r="E20" s="54">
        <v>105</v>
      </c>
      <c r="F20" s="17">
        <v>16650</v>
      </c>
      <c r="G20" s="55">
        <v>2500</v>
      </c>
      <c r="H20" s="56">
        <f t="shared" si="0"/>
        <v>1748250</v>
      </c>
      <c r="I20" s="55">
        <f t="shared" si="1"/>
        <v>262500</v>
      </c>
      <c r="J20" s="53"/>
      <c r="K20" s="53"/>
      <c r="L20" s="53"/>
      <c r="M20" s="53"/>
      <c r="N20" s="53"/>
      <c r="O20" s="53"/>
      <c r="P20" s="53"/>
      <c r="Q20" s="53"/>
      <c r="R20" s="53"/>
      <c r="S20" s="53"/>
      <c r="T20" s="53"/>
      <c r="U20" s="53"/>
      <c r="V20" s="53"/>
      <c r="W20" s="53"/>
      <c r="X20" s="53"/>
      <c r="Y20" s="53"/>
      <c r="Z20" s="53"/>
    </row>
    <row r="21" spans="1:26" x14ac:dyDescent="0.3">
      <c r="A21" s="26" t="s">
        <v>2369</v>
      </c>
      <c r="B21" s="26" t="s">
        <v>2370</v>
      </c>
      <c r="C21" s="27" t="s">
        <v>2371</v>
      </c>
      <c r="D21" s="26" t="s">
        <v>2372</v>
      </c>
      <c r="E21" s="54">
        <v>12</v>
      </c>
      <c r="F21" s="17">
        <v>20000</v>
      </c>
      <c r="G21" s="55">
        <v>3500</v>
      </c>
      <c r="H21" s="56">
        <f t="shared" si="0"/>
        <v>240000</v>
      </c>
      <c r="I21" s="55">
        <f t="shared" si="1"/>
        <v>42000</v>
      </c>
      <c r="J21" s="53"/>
      <c r="K21" s="53"/>
      <c r="L21" s="53"/>
      <c r="M21" s="53"/>
      <c r="N21" s="53"/>
      <c r="O21" s="53"/>
      <c r="P21" s="53"/>
      <c r="Q21" s="53"/>
      <c r="R21" s="53"/>
      <c r="S21" s="53"/>
      <c r="T21" s="53"/>
      <c r="U21" s="53"/>
      <c r="V21" s="53"/>
      <c r="W21" s="53"/>
      <c r="X21" s="53"/>
      <c r="Y21" s="53"/>
      <c r="Z21" s="53"/>
    </row>
    <row r="22" spans="1:26" x14ac:dyDescent="0.3">
      <c r="A22" s="26" t="s">
        <v>2373</v>
      </c>
      <c r="B22" s="26" t="s">
        <v>2374</v>
      </c>
      <c r="C22" s="27" t="s">
        <v>2375</v>
      </c>
      <c r="D22" s="26" t="s">
        <v>2376</v>
      </c>
      <c r="E22" s="54">
        <v>31</v>
      </c>
      <c r="F22" s="17">
        <v>20000</v>
      </c>
      <c r="G22" s="55">
        <v>3500</v>
      </c>
      <c r="H22" s="56">
        <f t="shared" si="0"/>
        <v>620000</v>
      </c>
      <c r="I22" s="55">
        <f t="shared" si="1"/>
        <v>108500</v>
      </c>
      <c r="J22" s="53"/>
      <c r="K22" s="53"/>
      <c r="L22" s="53"/>
      <c r="M22" s="53"/>
      <c r="N22" s="53"/>
      <c r="O22" s="53"/>
      <c r="P22" s="53"/>
      <c r="Q22" s="53"/>
      <c r="R22" s="53"/>
      <c r="S22" s="53"/>
      <c r="T22" s="53"/>
      <c r="U22" s="53"/>
      <c r="V22" s="53"/>
      <c r="W22" s="53"/>
      <c r="X22" s="53"/>
      <c r="Y22" s="53"/>
      <c r="Z22" s="53"/>
    </row>
    <row r="23" spans="1:26" x14ac:dyDescent="0.3">
      <c r="A23" s="26" t="s">
        <v>2377</v>
      </c>
      <c r="B23" s="26" t="s">
        <v>2378</v>
      </c>
      <c r="C23" s="27" t="s">
        <v>2379</v>
      </c>
      <c r="D23" s="26" t="s">
        <v>2380</v>
      </c>
      <c r="E23" s="54">
        <v>31</v>
      </c>
      <c r="F23" s="17"/>
      <c r="G23" s="55"/>
      <c r="H23" s="56">
        <f t="shared" si="0"/>
        <v>0</v>
      </c>
      <c r="I23" s="55">
        <f t="shared" si="1"/>
        <v>0</v>
      </c>
      <c r="J23" s="53"/>
      <c r="K23" s="53"/>
      <c r="L23" s="53"/>
      <c r="M23" s="53"/>
      <c r="N23" s="53"/>
      <c r="O23" s="53"/>
      <c r="P23" s="53"/>
      <c r="Q23" s="53"/>
      <c r="R23" s="53"/>
      <c r="S23" s="53"/>
      <c r="T23" s="53"/>
      <c r="U23" s="53"/>
      <c r="V23" s="53"/>
      <c r="W23" s="53"/>
      <c r="X23" s="53"/>
      <c r="Y23" s="53"/>
      <c r="Z23" s="53"/>
    </row>
    <row r="24" spans="1:26" x14ac:dyDescent="0.3">
      <c r="A24" s="26" t="s">
        <v>2381</v>
      </c>
      <c r="B24" s="26" t="s">
        <v>2382</v>
      </c>
      <c r="C24" s="27" t="s">
        <v>2383</v>
      </c>
      <c r="D24" s="26" t="s">
        <v>2384</v>
      </c>
      <c r="E24" s="54">
        <v>17</v>
      </c>
      <c r="F24" s="17"/>
      <c r="G24" s="55"/>
      <c r="H24" s="56">
        <f t="shared" si="0"/>
        <v>0</v>
      </c>
      <c r="I24" s="55">
        <f t="shared" si="1"/>
        <v>0</v>
      </c>
      <c r="J24" s="53"/>
      <c r="K24" s="53"/>
      <c r="L24" s="53"/>
      <c r="M24" s="53"/>
      <c r="N24" s="53"/>
      <c r="O24" s="53"/>
      <c r="P24" s="53"/>
      <c r="Q24" s="53"/>
      <c r="R24" s="53"/>
      <c r="S24" s="53"/>
      <c r="T24" s="53"/>
      <c r="U24" s="53"/>
      <c r="V24" s="53"/>
      <c r="W24" s="53"/>
      <c r="X24" s="53"/>
      <c r="Y24" s="53"/>
      <c r="Z24" s="53"/>
    </row>
    <row r="25" spans="1:26" x14ac:dyDescent="0.3">
      <c r="A25" s="26" t="s">
        <v>2385</v>
      </c>
      <c r="B25" s="26" t="s">
        <v>2386</v>
      </c>
      <c r="C25" s="27" t="s">
        <v>2387</v>
      </c>
      <c r="D25" s="26" t="s">
        <v>2388</v>
      </c>
      <c r="E25" s="54">
        <v>1</v>
      </c>
      <c r="F25" s="17"/>
      <c r="G25" s="55"/>
      <c r="H25" s="56">
        <f t="shared" si="0"/>
        <v>0</v>
      </c>
      <c r="I25" s="55">
        <f t="shared" si="1"/>
        <v>0</v>
      </c>
      <c r="J25" s="53"/>
      <c r="K25" s="53"/>
      <c r="L25" s="53"/>
      <c r="M25" s="53"/>
      <c r="N25" s="53"/>
      <c r="O25" s="53"/>
      <c r="P25" s="53"/>
      <c r="Q25" s="53"/>
      <c r="R25" s="53"/>
      <c r="S25" s="53"/>
      <c r="T25" s="53"/>
      <c r="U25" s="53"/>
      <c r="V25" s="53"/>
      <c r="W25" s="53"/>
      <c r="X25" s="53"/>
      <c r="Y25" s="53"/>
      <c r="Z25" s="53"/>
    </row>
    <row r="26" spans="1:26" x14ac:dyDescent="0.3">
      <c r="A26" s="26" t="s">
        <v>2389</v>
      </c>
      <c r="B26" s="26" t="s">
        <v>2390</v>
      </c>
      <c r="C26" s="27" t="s">
        <v>2391</v>
      </c>
      <c r="D26" s="26" t="s">
        <v>2392</v>
      </c>
      <c r="E26" s="54">
        <v>10</v>
      </c>
      <c r="F26" s="17"/>
      <c r="G26" s="55"/>
      <c r="H26" s="56">
        <f t="shared" si="0"/>
        <v>0</v>
      </c>
      <c r="I26" s="55">
        <f t="shared" si="1"/>
        <v>0</v>
      </c>
      <c r="J26" s="53"/>
      <c r="K26" s="53"/>
      <c r="L26" s="53"/>
      <c r="M26" s="53"/>
      <c r="N26" s="53"/>
      <c r="O26" s="53"/>
      <c r="P26" s="53"/>
      <c r="Q26" s="53"/>
      <c r="R26" s="53"/>
      <c r="S26" s="53"/>
      <c r="T26" s="53"/>
      <c r="U26" s="53"/>
      <c r="V26" s="53"/>
      <c r="W26" s="53"/>
      <c r="X26" s="53"/>
      <c r="Y26" s="53"/>
      <c r="Z26" s="53"/>
    </row>
    <row r="27" spans="1:26" x14ac:dyDescent="0.3">
      <c r="A27" s="58">
        <v>20.100000000000001</v>
      </c>
      <c r="B27" s="26" t="s">
        <v>2393</v>
      </c>
      <c r="C27" s="27" t="s">
        <v>2394</v>
      </c>
      <c r="D27" s="26" t="s">
        <v>2395</v>
      </c>
      <c r="E27" s="54">
        <v>500</v>
      </c>
      <c r="F27" s="59"/>
      <c r="G27" s="17"/>
      <c r="H27" s="56">
        <f t="shared" si="0"/>
        <v>0</v>
      </c>
      <c r="I27" s="55">
        <f t="shared" si="1"/>
        <v>0</v>
      </c>
      <c r="J27" s="53"/>
      <c r="K27" s="53"/>
      <c r="L27" s="53"/>
      <c r="M27" s="53"/>
      <c r="N27" s="53"/>
      <c r="O27" s="53"/>
      <c r="P27" s="53"/>
      <c r="Q27" s="53"/>
      <c r="R27" s="53"/>
      <c r="S27" s="53"/>
      <c r="T27" s="53"/>
      <c r="U27" s="53"/>
      <c r="V27" s="53"/>
      <c r="W27" s="53"/>
      <c r="X27" s="53"/>
      <c r="Y27" s="53"/>
      <c r="Z27" s="53"/>
    </row>
    <row r="28" spans="1:26" x14ac:dyDescent="0.3">
      <c r="A28" s="54">
        <v>21</v>
      </c>
      <c r="B28" s="26" t="s">
        <v>2396</v>
      </c>
      <c r="C28" s="17" t="s">
        <v>2397</v>
      </c>
      <c r="D28" s="26" t="s">
        <v>2398</v>
      </c>
      <c r="E28" s="57">
        <v>3420</v>
      </c>
      <c r="F28" s="17"/>
      <c r="G28" s="60"/>
      <c r="H28" s="56">
        <f t="shared" si="0"/>
        <v>0</v>
      </c>
      <c r="I28" s="55">
        <f t="shared" si="1"/>
        <v>0</v>
      </c>
      <c r="J28" s="53"/>
      <c r="K28" s="53"/>
      <c r="L28" s="53"/>
      <c r="M28" s="53"/>
      <c r="N28" s="53"/>
      <c r="O28" s="53"/>
      <c r="P28" s="53"/>
      <c r="Q28" s="53"/>
      <c r="R28" s="53"/>
      <c r="S28" s="53"/>
      <c r="T28" s="53"/>
      <c r="U28" s="53"/>
      <c r="V28" s="53"/>
      <c r="W28" s="53"/>
      <c r="X28" s="53"/>
      <c r="Y28" s="53"/>
      <c r="Z28" s="53"/>
    </row>
    <row r="29" spans="1:26" x14ac:dyDescent="0.3">
      <c r="A29" s="54">
        <v>22</v>
      </c>
      <c r="B29" s="26" t="s">
        <v>2399</v>
      </c>
      <c r="C29" s="27" t="s">
        <v>2400</v>
      </c>
      <c r="D29" s="26" t="s">
        <v>2401</v>
      </c>
      <c r="E29" s="54">
        <v>10</v>
      </c>
      <c r="F29" s="17"/>
      <c r="G29" s="55"/>
      <c r="H29" s="56">
        <f t="shared" si="0"/>
        <v>0</v>
      </c>
      <c r="I29" s="55">
        <f t="shared" si="1"/>
        <v>0</v>
      </c>
      <c r="J29" s="53"/>
      <c r="K29" s="53"/>
      <c r="L29" s="53"/>
      <c r="M29" s="53"/>
      <c r="N29" s="53"/>
      <c r="O29" s="53"/>
      <c r="P29" s="53"/>
      <c r="Q29" s="53"/>
      <c r="R29" s="53"/>
      <c r="S29" s="53"/>
      <c r="T29" s="53"/>
      <c r="U29" s="53"/>
      <c r="V29" s="53"/>
      <c r="W29" s="53"/>
      <c r="X29" s="53"/>
      <c r="Y29" s="53"/>
      <c r="Z29" s="53"/>
    </row>
    <row r="30" spans="1:26" x14ac:dyDescent="0.3">
      <c r="A30" s="54">
        <v>23</v>
      </c>
      <c r="B30" s="61">
        <v>1.2</v>
      </c>
      <c r="C30" s="17" t="s">
        <v>2402</v>
      </c>
      <c r="D30" s="17"/>
      <c r="E30" s="17"/>
      <c r="F30" s="17"/>
      <c r="G30" s="17"/>
      <c r="H30" s="56">
        <f t="shared" si="0"/>
        <v>0</v>
      </c>
      <c r="I30" s="55">
        <f t="shared" si="1"/>
        <v>0</v>
      </c>
      <c r="J30" s="53"/>
      <c r="K30" s="53"/>
      <c r="L30" s="53"/>
      <c r="M30" s="53"/>
      <c r="N30" s="53"/>
      <c r="O30" s="53"/>
      <c r="P30" s="53"/>
      <c r="Q30" s="53"/>
      <c r="R30" s="53"/>
      <c r="S30" s="53"/>
      <c r="T30" s="53"/>
      <c r="U30" s="53"/>
      <c r="V30" s="53"/>
      <c r="W30" s="53"/>
      <c r="X30" s="53"/>
      <c r="Y30" s="53"/>
      <c r="Z30" s="53"/>
    </row>
    <row r="31" spans="1:26" x14ac:dyDescent="0.3">
      <c r="A31" s="58">
        <v>23.1</v>
      </c>
      <c r="B31" s="26" t="s">
        <v>2403</v>
      </c>
      <c r="C31" s="27" t="s">
        <v>2404</v>
      </c>
      <c r="D31" s="26" t="s">
        <v>2405</v>
      </c>
      <c r="E31" s="57">
        <v>3785</v>
      </c>
      <c r="F31" s="59"/>
      <c r="G31" s="17"/>
      <c r="H31" s="56">
        <f t="shared" si="0"/>
        <v>0</v>
      </c>
      <c r="I31" s="55">
        <f t="shared" si="1"/>
        <v>0</v>
      </c>
      <c r="J31" s="53"/>
      <c r="K31" s="53"/>
      <c r="L31" s="53"/>
      <c r="M31" s="53"/>
      <c r="N31" s="53"/>
      <c r="O31" s="53"/>
      <c r="P31" s="53"/>
      <c r="Q31" s="53"/>
      <c r="R31" s="53"/>
      <c r="S31" s="53"/>
      <c r="T31" s="53"/>
      <c r="U31" s="53"/>
      <c r="V31" s="53"/>
      <c r="W31" s="53"/>
      <c r="X31" s="53"/>
      <c r="Y31" s="53"/>
      <c r="Z31" s="53"/>
    </row>
    <row r="32" spans="1:26" x14ac:dyDescent="0.3">
      <c r="A32" s="17"/>
      <c r="B32" s="17"/>
      <c r="C32" s="27" t="s">
        <v>2406</v>
      </c>
      <c r="D32" s="17"/>
      <c r="E32" s="17"/>
      <c r="F32" s="17"/>
      <c r="G32" s="17"/>
      <c r="H32" s="56">
        <f t="shared" si="0"/>
        <v>0</v>
      </c>
      <c r="I32" s="55">
        <f t="shared" si="1"/>
        <v>0</v>
      </c>
      <c r="J32" s="53"/>
      <c r="K32" s="53"/>
      <c r="L32" s="53"/>
      <c r="M32" s="53"/>
      <c r="N32" s="53"/>
      <c r="O32" s="53"/>
      <c r="P32" s="53"/>
      <c r="Q32" s="53"/>
      <c r="R32" s="53"/>
      <c r="S32" s="53"/>
      <c r="T32" s="53"/>
      <c r="U32" s="53"/>
      <c r="V32" s="53"/>
      <c r="W32" s="53"/>
      <c r="X32" s="53"/>
      <c r="Y32" s="53"/>
      <c r="Z32" s="53"/>
    </row>
    <row r="33" spans="1:26" x14ac:dyDescent="0.3">
      <c r="A33" s="17"/>
      <c r="B33" s="17"/>
      <c r="C33" s="17"/>
      <c r="D33" s="17"/>
      <c r="E33" s="17"/>
      <c r="F33" s="17"/>
      <c r="G33" s="17"/>
      <c r="H33" s="17"/>
      <c r="I33" s="17"/>
      <c r="J33" s="53"/>
      <c r="K33" s="53"/>
      <c r="L33" s="53"/>
      <c r="M33" s="53"/>
      <c r="N33" s="53"/>
      <c r="O33" s="53"/>
      <c r="P33" s="53"/>
      <c r="Q33" s="53"/>
      <c r="R33" s="53"/>
      <c r="S33" s="53"/>
      <c r="T33" s="53"/>
      <c r="U33" s="53"/>
      <c r="V33" s="53"/>
      <c r="W33" s="53"/>
      <c r="X33" s="53"/>
      <c r="Y33" s="53"/>
      <c r="Z33" s="53"/>
    </row>
    <row r="34" spans="1:26" x14ac:dyDescent="0.3">
      <c r="A34" s="22"/>
      <c r="B34" s="22"/>
      <c r="C34" s="21" t="s">
        <v>2407</v>
      </c>
      <c r="D34" s="22"/>
      <c r="E34" s="22"/>
      <c r="F34" s="22"/>
      <c r="G34" s="22"/>
      <c r="H34" s="62"/>
      <c r="I34" s="62"/>
      <c r="J34" s="53"/>
      <c r="K34" s="53"/>
      <c r="L34" s="53"/>
      <c r="M34" s="53"/>
      <c r="N34" s="53"/>
      <c r="O34" s="53"/>
      <c r="P34" s="53"/>
      <c r="Q34" s="53"/>
      <c r="R34" s="53"/>
      <c r="S34" s="53"/>
      <c r="T34" s="53"/>
      <c r="U34" s="53"/>
      <c r="V34" s="53"/>
      <c r="W34" s="53"/>
      <c r="X34" s="53"/>
      <c r="Y34" s="53"/>
      <c r="Z34" s="53"/>
    </row>
    <row r="35" spans="1:26" x14ac:dyDescent="0.3">
      <c r="A35" s="17"/>
      <c r="B35" s="17"/>
      <c r="C35" s="17"/>
      <c r="D35" s="17"/>
      <c r="E35" s="17"/>
      <c r="F35" s="17"/>
      <c r="G35" s="17"/>
      <c r="H35" s="17"/>
      <c r="I35" s="17"/>
      <c r="J35" s="53"/>
      <c r="K35" s="53"/>
      <c r="L35" s="53"/>
      <c r="M35" s="53"/>
      <c r="N35" s="53"/>
      <c r="O35" s="53"/>
      <c r="P35" s="53"/>
      <c r="Q35" s="53"/>
      <c r="R35" s="53"/>
      <c r="S35" s="53"/>
      <c r="T35" s="53"/>
      <c r="U35" s="53"/>
      <c r="V35" s="53"/>
      <c r="W35" s="53"/>
      <c r="X35" s="53"/>
      <c r="Y35" s="53"/>
      <c r="Z35" s="53"/>
    </row>
    <row r="36" spans="1:26" x14ac:dyDescent="0.3">
      <c r="A36" s="20" t="s">
        <v>2408</v>
      </c>
      <c r="B36" s="22"/>
      <c r="C36" s="21" t="s">
        <v>2409</v>
      </c>
      <c r="D36" s="22"/>
      <c r="E36" s="22"/>
      <c r="F36" s="22"/>
      <c r="G36" s="22"/>
      <c r="H36" s="22"/>
      <c r="I36" s="22"/>
      <c r="J36" s="53"/>
      <c r="K36" s="53"/>
      <c r="L36" s="53"/>
      <c r="M36" s="53"/>
      <c r="N36" s="53"/>
      <c r="O36" s="53"/>
      <c r="P36" s="53"/>
      <c r="Q36" s="53"/>
      <c r="R36" s="53"/>
      <c r="S36" s="53"/>
      <c r="T36" s="53"/>
      <c r="U36" s="53"/>
      <c r="V36" s="53"/>
      <c r="W36" s="53"/>
      <c r="X36" s="53"/>
      <c r="Y36" s="53"/>
      <c r="Z36" s="53"/>
    </row>
    <row r="37" spans="1:26" x14ac:dyDescent="0.3">
      <c r="A37" s="17"/>
      <c r="B37" s="17"/>
      <c r="C37" s="35" t="s">
        <v>2410</v>
      </c>
      <c r="D37" s="17"/>
      <c r="E37" s="17"/>
      <c r="F37" s="17"/>
      <c r="G37" s="17"/>
      <c r="H37" s="17"/>
      <c r="I37" s="17"/>
      <c r="J37" s="53"/>
      <c r="K37" s="53"/>
      <c r="L37" s="53"/>
      <c r="M37" s="53"/>
      <c r="N37" s="53"/>
      <c r="O37" s="53"/>
      <c r="P37" s="53"/>
      <c r="Q37" s="53"/>
      <c r="R37" s="53"/>
      <c r="S37" s="53"/>
      <c r="T37" s="53"/>
      <c r="U37" s="53"/>
      <c r="V37" s="53"/>
      <c r="W37" s="53"/>
      <c r="X37" s="53"/>
      <c r="Y37" s="53"/>
      <c r="Z37" s="53"/>
    </row>
    <row r="38" spans="1:26" x14ac:dyDescent="0.3">
      <c r="A38" s="54">
        <v>1</v>
      </c>
      <c r="B38" s="26" t="s">
        <v>2411</v>
      </c>
      <c r="C38" s="27" t="s">
        <v>2412</v>
      </c>
      <c r="D38" s="26" t="s">
        <v>2413</v>
      </c>
      <c r="E38" s="54">
        <v>234</v>
      </c>
      <c r="F38" s="17"/>
      <c r="G38" s="55"/>
      <c r="H38" s="17"/>
      <c r="I38" s="55"/>
      <c r="J38" s="53"/>
      <c r="K38" s="53"/>
      <c r="L38" s="53"/>
      <c r="M38" s="53"/>
      <c r="N38" s="53"/>
      <c r="O38" s="53"/>
      <c r="P38" s="53"/>
      <c r="Q38" s="53"/>
      <c r="R38" s="53"/>
      <c r="S38" s="53"/>
      <c r="T38" s="53"/>
      <c r="U38" s="53"/>
      <c r="V38" s="53"/>
      <c r="W38" s="53"/>
      <c r="X38" s="53"/>
      <c r="Y38" s="53"/>
      <c r="Z38" s="53"/>
    </row>
    <row r="39" spans="1:26" x14ac:dyDescent="0.3">
      <c r="A39" s="54">
        <v>2</v>
      </c>
      <c r="B39" s="26" t="s">
        <v>2414</v>
      </c>
      <c r="C39" s="27" t="s">
        <v>2415</v>
      </c>
      <c r="D39" s="26" t="s">
        <v>2416</v>
      </c>
      <c r="E39" s="54">
        <v>369</v>
      </c>
      <c r="F39" s="17"/>
      <c r="G39" s="55"/>
      <c r="H39" s="17"/>
      <c r="I39" s="55"/>
      <c r="J39" s="53"/>
      <c r="K39" s="53"/>
      <c r="L39" s="53"/>
      <c r="M39" s="53"/>
      <c r="N39" s="53"/>
      <c r="O39" s="53"/>
      <c r="P39" s="53"/>
      <c r="Q39" s="53"/>
      <c r="R39" s="53"/>
      <c r="S39" s="53"/>
      <c r="T39" s="53"/>
      <c r="U39" s="53"/>
      <c r="V39" s="53"/>
      <c r="W39" s="53"/>
      <c r="X39" s="53"/>
      <c r="Y39" s="53"/>
      <c r="Z39" s="53"/>
    </row>
    <row r="40" spans="1:26" x14ac:dyDescent="0.3">
      <c r="A40" s="54">
        <v>3</v>
      </c>
      <c r="B40" s="26" t="s">
        <v>2417</v>
      </c>
      <c r="C40" s="27" t="s">
        <v>2418</v>
      </c>
      <c r="D40" s="26" t="s">
        <v>2419</v>
      </c>
      <c r="E40" s="57">
        <v>1107</v>
      </c>
      <c r="F40" s="17"/>
      <c r="G40" s="55"/>
      <c r="H40" s="17"/>
      <c r="I40" s="55"/>
      <c r="J40" s="53"/>
      <c r="K40" s="53"/>
      <c r="L40" s="53"/>
      <c r="M40" s="53"/>
      <c r="N40" s="53"/>
      <c r="O40" s="53"/>
      <c r="P40" s="53"/>
      <c r="Q40" s="53"/>
      <c r="R40" s="53"/>
      <c r="S40" s="53"/>
      <c r="T40" s="53"/>
      <c r="U40" s="53"/>
      <c r="V40" s="53"/>
      <c r="W40" s="53"/>
      <c r="X40" s="53"/>
      <c r="Y40" s="53"/>
      <c r="Z40" s="53"/>
    </row>
    <row r="41" spans="1:26" x14ac:dyDescent="0.3">
      <c r="A41" s="54">
        <v>4</v>
      </c>
      <c r="B41" s="26" t="s">
        <v>2420</v>
      </c>
      <c r="C41" s="27" t="s">
        <v>2421</v>
      </c>
      <c r="D41" s="26" t="s">
        <v>2422</v>
      </c>
      <c r="E41" s="54">
        <v>10</v>
      </c>
      <c r="F41" s="17"/>
      <c r="G41" s="55"/>
      <c r="H41" s="17"/>
      <c r="I41" s="55"/>
      <c r="J41" s="53"/>
      <c r="K41" s="53"/>
      <c r="L41" s="53"/>
      <c r="M41" s="53"/>
      <c r="N41" s="53"/>
      <c r="O41" s="53"/>
      <c r="P41" s="53"/>
      <c r="Q41" s="53"/>
      <c r="R41" s="53"/>
      <c r="S41" s="53"/>
      <c r="T41" s="53"/>
      <c r="U41" s="53"/>
      <c r="V41" s="53"/>
      <c r="W41" s="53"/>
      <c r="X41" s="53"/>
      <c r="Y41" s="53"/>
      <c r="Z41" s="53"/>
    </row>
    <row r="42" spans="1:26" x14ac:dyDescent="0.3">
      <c r="A42" s="54">
        <v>5</v>
      </c>
      <c r="B42" s="26" t="s">
        <v>2423</v>
      </c>
      <c r="C42" s="27" t="s">
        <v>2424</v>
      </c>
      <c r="D42" s="26" t="s">
        <v>2425</v>
      </c>
      <c r="E42" s="54">
        <v>4</v>
      </c>
      <c r="F42" s="17"/>
      <c r="G42" s="55"/>
      <c r="H42" s="17"/>
      <c r="I42" s="55"/>
      <c r="J42" s="53"/>
      <c r="K42" s="53"/>
      <c r="L42" s="53"/>
      <c r="M42" s="53"/>
      <c r="N42" s="53"/>
      <c r="O42" s="53"/>
      <c r="P42" s="53"/>
      <c r="Q42" s="53"/>
      <c r="R42" s="53"/>
      <c r="S42" s="53"/>
      <c r="T42" s="53"/>
      <c r="U42" s="53"/>
      <c r="V42" s="53"/>
      <c r="W42" s="53"/>
      <c r="X42" s="53"/>
      <c r="Y42" s="53"/>
      <c r="Z42" s="53"/>
    </row>
    <row r="43" spans="1:26" x14ac:dyDescent="0.3">
      <c r="A43" s="54">
        <v>6</v>
      </c>
      <c r="B43" s="26" t="s">
        <v>2426</v>
      </c>
      <c r="C43" s="27" t="s">
        <v>2427</v>
      </c>
      <c r="D43" s="26" t="s">
        <v>2428</v>
      </c>
      <c r="E43" s="54">
        <v>4</v>
      </c>
      <c r="F43" s="17"/>
      <c r="G43" s="55"/>
      <c r="H43" s="17"/>
      <c r="I43" s="55"/>
      <c r="J43" s="53"/>
      <c r="K43" s="53"/>
      <c r="L43" s="53"/>
      <c r="M43" s="53"/>
      <c r="N43" s="53"/>
      <c r="O43" s="53"/>
      <c r="P43" s="53"/>
      <c r="Q43" s="53"/>
      <c r="R43" s="53"/>
      <c r="S43" s="53"/>
      <c r="T43" s="53"/>
      <c r="U43" s="53"/>
      <c r="V43" s="53"/>
      <c r="W43" s="53"/>
      <c r="X43" s="53"/>
      <c r="Y43" s="53"/>
      <c r="Z43" s="53"/>
    </row>
    <row r="44" spans="1:26" x14ac:dyDescent="0.3">
      <c r="A44" s="54">
        <v>7</v>
      </c>
      <c r="B44" s="26" t="s">
        <v>2429</v>
      </c>
      <c r="C44" s="27" t="s">
        <v>2430</v>
      </c>
      <c r="D44" s="26" t="s">
        <v>2431</v>
      </c>
      <c r="E44" s="54">
        <v>4</v>
      </c>
      <c r="F44" s="17"/>
      <c r="G44" s="55"/>
      <c r="H44" s="17"/>
      <c r="I44" s="55"/>
      <c r="J44" s="53"/>
      <c r="K44" s="53"/>
      <c r="L44" s="53"/>
      <c r="M44" s="53"/>
      <c r="N44" s="53"/>
      <c r="O44" s="53"/>
      <c r="P44" s="53"/>
      <c r="Q44" s="53"/>
      <c r="R44" s="53"/>
      <c r="S44" s="53"/>
      <c r="T44" s="53"/>
      <c r="U44" s="53"/>
      <c r="V44" s="53"/>
      <c r="W44" s="53"/>
      <c r="X44" s="53"/>
      <c r="Y44" s="53"/>
      <c r="Z44" s="53"/>
    </row>
    <row r="45" spans="1:26" x14ac:dyDescent="0.3">
      <c r="A45" s="54">
        <v>8</v>
      </c>
      <c r="B45" s="26" t="s">
        <v>2432</v>
      </c>
      <c r="C45" s="17" t="s">
        <v>2433</v>
      </c>
      <c r="D45" s="26" t="s">
        <v>2434</v>
      </c>
      <c r="E45" s="57">
        <v>1361</v>
      </c>
      <c r="F45" s="17"/>
      <c r="G45" s="60"/>
      <c r="H45" s="17"/>
      <c r="I45" s="55"/>
      <c r="J45" s="53"/>
      <c r="K45" s="53"/>
      <c r="L45" s="53"/>
      <c r="M45" s="53"/>
      <c r="N45" s="53"/>
      <c r="O45" s="53"/>
      <c r="P45" s="53"/>
      <c r="Q45" s="53"/>
      <c r="R45" s="53"/>
      <c r="S45" s="53"/>
      <c r="T45" s="53"/>
      <c r="U45" s="53"/>
      <c r="V45" s="53"/>
      <c r="W45" s="53"/>
      <c r="X45" s="53"/>
      <c r="Y45" s="53"/>
      <c r="Z45" s="53"/>
    </row>
    <row r="46" spans="1:26" x14ac:dyDescent="0.3">
      <c r="A46" s="54">
        <v>9</v>
      </c>
      <c r="B46" s="26" t="s">
        <v>2435</v>
      </c>
      <c r="C46" s="27" t="s">
        <v>2436</v>
      </c>
      <c r="D46" s="26" t="s">
        <v>2437</v>
      </c>
      <c r="E46" s="54">
        <v>10</v>
      </c>
      <c r="F46" s="17"/>
      <c r="G46" s="55"/>
      <c r="H46" s="17"/>
      <c r="I46" s="55"/>
      <c r="J46" s="53"/>
      <c r="K46" s="53"/>
      <c r="L46" s="53"/>
      <c r="M46" s="53"/>
      <c r="N46" s="53"/>
      <c r="O46" s="53"/>
      <c r="P46" s="53"/>
      <c r="Q46" s="53"/>
      <c r="R46" s="53"/>
      <c r="S46" s="53"/>
      <c r="T46" s="53"/>
      <c r="U46" s="53"/>
      <c r="V46" s="53"/>
      <c r="W46" s="53"/>
      <c r="X46" s="53"/>
      <c r="Y46" s="53"/>
      <c r="Z46" s="53"/>
    </row>
    <row r="47" spans="1:26" x14ac:dyDescent="0.3">
      <c r="A47" s="54">
        <v>10</v>
      </c>
      <c r="B47" s="61">
        <v>1.2</v>
      </c>
      <c r="C47" s="27" t="s">
        <v>2438</v>
      </c>
      <c r="D47" s="17"/>
      <c r="E47" s="17"/>
      <c r="F47" s="17"/>
      <c r="G47" s="17"/>
      <c r="H47" s="17"/>
      <c r="I47" s="56"/>
      <c r="J47" s="53"/>
      <c r="K47" s="53"/>
      <c r="L47" s="53"/>
      <c r="M47" s="53"/>
      <c r="N47" s="53"/>
      <c r="O47" s="53"/>
      <c r="P47" s="53"/>
      <c r="Q47" s="53"/>
      <c r="R47" s="53"/>
      <c r="S47" s="53"/>
      <c r="T47" s="53"/>
      <c r="U47" s="53"/>
      <c r="V47" s="53"/>
      <c r="W47" s="53"/>
      <c r="X47" s="53"/>
      <c r="Y47" s="53"/>
      <c r="Z47" s="53"/>
    </row>
    <row r="48" spans="1:26" x14ac:dyDescent="0.3">
      <c r="A48" s="17"/>
      <c r="B48" s="26" t="s">
        <v>2439</v>
      </c>
      <c r="C48" s="27" t="s">
        <v>2440</v>
      </c>
      <c r="D48" s="26" t="s">
        <v>2441</v>
      </c>
      <c r="E48" s="57">
        <v>1800</v>
      </c>
      <c r="F48" s="63"/>
      <c r="G48" s="17"/>
      <c r="H48" s="55"/>
      <c r="I48" s="56"/>
      <c r="J48" s="53"/>
      <c r="K48" s="53"/>
      <c r="L48" s="53"/>
      <c r="M48" s="53"/>
      <c r="N48" s="53"/>
      <c r="O48" s="53"/>
      <c r="P48" s="53"/>
      <c r="Q48" s="53"/>
      <c r="R48" s="53"/>
      <c r="S48" s="53"/>
      <c r="T48" s="53"/>
      <c r="U48" s="53"/>
      <c r="V48" s="53"/>
      <c r="W48" s="53"/>
      <c r="X48" s="53"/>
      <c r="Y48" s="53"/>
      <c r="Z48" s="53"/>
    </row>
    <row r="49" spans="1:26" x14ac:dyDescent="0.3">
      <c r="A49" s="17"/>
      <c r="B49" s="17"/>
      <c r="C49" s="35" t="s">
        <v>2442</v>
      </c>
      <c r="D49" s="17"/>
      <c r="E49" s="17"/>
      <c r="F49" s="17"/>
      <c r="G49" s="17"/>
      <c r="H49" s="17"/>
      <c r="I49" s="17"/>
      <c r="J49" s="53"/>
      <c r="K49" s="53"/>
      <c r="L49" s="53"/>
      <c r="M49" s="53"/>
      <c r="N49" s="53"/>
      <c r="O49" s="53"/>
      <c r="P49" s="53"/>
      <c r="Q49" s="53"/>
      <c r="R49" s="53"/>
      <c r="S49" s="53"/>
      <c r="T49" s="53"/>
      <c r="U49" s="53"/>
      <c r="V49" s="53"/>
      <c r="W49" s="53"/>
      <c r="X49" s="53"/>
      <c r="Y49" s="53"/>
      <c r="Z49" s="53"/>
    </row>
    <row r="50" spans="1:26" x14ac:dyDescent="0.3">
      <c r="A50" s="22"/>
      <c r="B50" s="22"/>
      <c r="C50" s="21" t="s">
        <v>2443</v>
      </c>
      <c r="D50" s="22"/>
      <c r="E50" s="22"/>
      <c r="F50" s="22"/>
      <c r="G50" s="22"/>
      <c r="H50" s="62"/>
      <c r="I50" s="62"/>
      <c r="J50" s="53"/>
      <c r="K50" s="53"/>
      <c r="L50" s="53"/>
      <c r="M50" s="53"/>
      <c r="N50" s="53"/>
      <c r="O50" s="53"/>
      <c r="P50" s="53"/>
      <c r="Q50" s="53"/>
      <c r="R50" s="53"/>
      <c r="S50" s="53"/>
      <c r="T50" s="53"/>
      <c r="U50" s="53"/>
      <c r="V50" s="53"/>
      <c r="W50" s="53"/>
      <c r="X50" s="53"/>
      <c r="Y50" s="53"/>
      <c r="Z50" s="53"/>
    </row>
    <row r="51" spans="1:26" x14ac:dyDescent="0.3">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spans="1:26" x14ac:dyDescent="0.3">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spans="1:26" x14ac:dyDescent="0.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spans="1:26" x14ac:dyDescent="0.3">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spans="1:26" x14ac:dyDescent="0.3">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spans="1:26" x14ac:dyDescent="0.3">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spans="1:26" x14ac:dyDescent="0.3">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spans="1:26" x14ac:dyDescent="0.3">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spans="1:26" x14ac:dyDescent="0.3">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spans="1:26" x14ac:dyDescent="0.3">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spans="1:26" x14ac:dyDescent="0.3">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spans="1:26" x14ac:dyDescent="0.3">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spans="1:26" x14ac:dyDescent="0.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spans="1:26" x14ac:dyDescent="0.3">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spans="1:26" x14ac:dyDescent="0.3">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spans="1:26" x14ac:dyDescent="0.3">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spans="1:26" x14ac:dyDescent="0.3">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spans="1:26" x14ac:dyDescent="0.3">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spans="1:26" x14ac:dyDescent="0.3">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spans="1:26" x14ac:dyDescent="0.3">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spans="1:26" x14ac:dyDescent="0.3">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spans="1:26" x14ac:dyDescent="0.3">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spans="1:26" x14ac:dyDescent="0.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spans="1:26" x14ac:dyDescent="0.3">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spans="1:26" x14ac:dyDescent="0.3">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spans="1:26" x14ac:dyDescent="0.3">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spans="1:26" x14ac:dyDescent="0.3">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spans="1:26" x14ac:dyDescent="0.3">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spans="1:26" x14ac:dyDescent="0.3">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spans="1:26" x14ac:dyDescent="0.3">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spans="1:26" x14ac:dyDescent="0.3">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spans="1:26" x14ac:dyDescent="0.3">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spans="1:26" x14ac:dyDescent="0.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spans="1:26" x14ac:dyDescent="0.3">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spans="1:26" x14ac:dyDescent="0.3">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spans="1:26" x14ac:dyDescent="0.3">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spans="1:26" x14ac:dyDescent="0.3">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spans="1:26" x14ac:dyDescent="0.3">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spans="1:26" x14ac:dyDescent="0.3">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spans="1:26" x14ac:dyDescent="0.3">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spans="1:26" x14ac:dyDescent="0.3">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spans="1:26" x14ac:dyDescent="0.3">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spans="1:26" x14ac:dyDescent="0.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spans="1:26" x14ac:dyDescent="0.3">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spans="1:26" x14ac:dyDescent="0.3">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spans="1:26" x14ac:dyDescent="0.3">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spans="1:26" x14ac:dyDescent="0.3">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spans="1:26" x14ac:dyDescent="0.3">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spans="1:26" x14ac:dyDescent="0.3">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spans="1:26" x14ac:dyDescent="0.3">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spans="1:26" x14ac:dyDescent="0.3">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spans="1:26" x14ac:dyDescent="0.3">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spans="1:26" x14ac:dyDescent="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spans="1:26" x14ac:dyDescent="0.3">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spans="1:26" x14ac:dyDescent="0.3">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spans="1:26" x14ac:dyDescent="0.3">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spans="1:26" x14ac:dyDescent="0.3">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spans="1:26" x14ac:dyDescent="0.3">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spans="1:26" x14ac:dyDescent="0.3">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spans="1:26" x14ac:dyDescent="0.3">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spans="1:26" x14ac:dyDescent="0.3">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spans="1:26" x14ac:dyDescent="0.3">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spans="1:26" x14ac:dyDescent="0.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spans="1:26" x14ac:dyDescent="0.3">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spans="1:26" x14ac:dyDescent="0.3">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spans="1:26" x14ac:dyDescent="0.3">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spans="1:26" x14ac:dyDescent="0.3">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spans="1:26" x14ac:dyDescent="0.3">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spans="1:26" x14ac:dyDescent="0.3">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spans="1:26" x14ac:dyDescent="0.3">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spans="1:26" x14ac:dyDescent="0.3">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spans="1:26" x14ac:dyDescent="0.3">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spans="1:26" x14ac:dyDescent="0.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spans="1:26" x14ac:dyDescent="0.3">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spans="1:26" x14ac:dyDescent="0.3">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spans="1:26" x14ac:dyDescent="0.3">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spans="1:26" x14ac:dyDescent="0.3">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spans="1:26" x14ac:dyDescent="0.3">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spans="1:26" x14ac:dyDescent="0.3">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spans="1:26" x14ac:dyDescent="0.3">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spans="1:26" x14ac:dyDescent="0.3">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spans="1:26" x14ac:dyDescent="0.3">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spans="1:26" x14ac:dyDescent="0.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spans="1:26" x14ac:dyDescent="0.3">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spans="1:26" x14ac:dyDescent="0.3">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spans="1:26" x14ac:dyDescent="0.3">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spans="1:26" x14ac:dyDescent="0.3">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spans="1:26" x14ac:dyDescent="0.3">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spans="1:26" x14ac:dyDescent="0.3">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spans="1:26" x14ac:dyDescent="0.3">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spans="1:26" x14ac:dyDescent="0.3">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spans="1:26" x14ac:dyDescent="0.3">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spans="1:26" x14ac:dyDescent="0.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spans="1:26" x14ac:dyDescent="0.3">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spans="1:26" x14ac:dyDescent="0.3">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spans="1:26" x14ac:dyDescent="0.3">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spans="1:26" x14ac:dyDescent="0.3">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spans="1:26" x14ac:dyDescent="0.3">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spans="1:26" x14ac:dyDescent="0.3">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spans="1:26" x14ac:dyDescent="0.3">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spans="1:26" x14ac:dyDescent="0.3">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spans="1:26" x14ac:dyDescent="0.3">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spans="1:26" x14ac:dyDescent="0.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spans="1:26" x14ac:dyDescent="0.3">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spans="1:26" x14ac:dyDescent="0.3">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spans="1:26" x14ac:dyDescent="0.3">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spans="1:26" x14ac:dyDescent="0.3">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spans="1:26" x14ac:dyDescent="0.3">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spans="1:26" x14ac:dyDescent="0.3">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spans="1:26" x14ac:dyDescent="0.3">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spans="1:26" x14ac:dyDescent="0.3">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spans="1:26" x14ac:dyDescent="0.3">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spans="1:26" x14ac:dyDescent="0.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spans="1:26" x14ac:dyDescent="0.3">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spans="1:26" x14ac:dyDescent="0.3">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spans="1:26" x14ac:dyDescent="0.3">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spans="1:26" x14ac:dyDescent="0.3">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spans="1:26" x14ac:dyDescent="0.3">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spans="1:26" x14ac:dyDescent="0.3">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spans="1:26" x14ac:dyDescent="0.3">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spans="1:26" x14ac:dyDescent="0.3">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spans="1:26" x14ac:dyDescent="0.3">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spans="1:26" x14ac:dyDescent="0.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spans="1:26" x14ac:dyDescent="0.3">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spans="1:26" x14ac:dyDescent="0.3">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spans="1:26" x14ac:dyDescent="0.3">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spans="1:26" x14ac:dyDescent="0.3">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spans="1:26" x14ac:dyDescent="0.3">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spans="1:26" x14ac:dyDescent="0.3">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spans="1:26" x14ac:dyDescent="0.3">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spans="1:26" x14ac:dyDescent="0.3">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spans="1:26" x14ac:dyDescent="0.3">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spans="1:26" x14ac:dyDescent="0.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spans="1:26" x14ac:dyDescent="0.3">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spans="1:26" x14ac:dyDescent="0.3">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spans="1:26" x14ac:dyDescent="0.3">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spans="1:26" x14ac:dyDescent="0.3">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spans="1:26" x14ac:dyDescent="0.3">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spans="1:26" x14ac:dyDescent="0.3">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spans="1:26" x14ac:dyDescent="0.3">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spans="1:26" x14ac:dyDescent="0.3">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spans="1:26" x14ac:dyDescent="0.3">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spans="1:26" x14ac:dyDescent="0.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spans="1:26" x14ac:dyDescent="0.3">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spans="1:26" x14ac:dyDescent="0.3">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spans="1:26" x14ac:dyDescent="0.3">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spans="1:26" x14ac:dyDescent="0.3">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spans="1:26" x14ac:dyDescent="0.3">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spans="1:26" x14ac:dyDescent="0.3">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spans="1:26" x14ac:dyDescent="0.3">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spans="1:26" x14ac:dyDescent="0.3">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spans="1:26" x14ac:dyDescent="0.3">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spans="1:26" x14ac:dyDescent="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spans="1:26" x14ac:dyDescent="0.3">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spans="1:26" x14ac:dyDescent="0.3">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spans="1:26" x14ac:dyDescent="0.3">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spans="1:26" x14ac:dyDescent="0.3">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spans="1:26" x14ac:dyDescent="0.3">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spans="1:26" x14ac:dyDescent="0.3">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spans="1:26" x14ac:dyDescent="0.3">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spans="1:26" x14ac:dyDescent="0.3">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spans="1:26" x14ac:dyDescent="0.3">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spans="1:26" x14ac:dyDescent="0.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spans="1:26" x14ac:dyDescent="0.3">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spans="1:26" x14ac:dyDescent="0.3">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spans="1:26" x14ac:dyDescent="0.3">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spans="1:26" x14ac:dyDescent="0.3">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spans="1:26" x14ac:dyDescent="0.3">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spans="1:26" x14ac:dyDescent="0.3">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spans="1:26" x14ac:dyDescent="0.3">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spans="1:26" x14ac:dyDescent="0.3">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spans="1:26" x14ac:dyDescent="0.3">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spans="1:26" x14ac:dyDescent="0.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spans="1:26" x14ac:dyDescent="0.3">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spans="1:26" x14ac:dyDescent="0.3">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spans="1:26" x14ac:dyDescent="0.3">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spans="1:26" x14ac:dyDescent="0.3">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spans="1:26" x14ac:dyDescent="0.3">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spans="1:26" x14ac:dyDescent="0.3">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spans="1:26" x14ac:dyDescent="0.3">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spans="1:26" x14ac:dyDescent="0.3">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spans="1:26" x14ac:dyDescent="0.3">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spans="1:26" x14ac:dyDescent="0.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spans="1:26" x14ac:dyDescent="0.3">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spans="1:26" x14ac:dyDescent="0.3">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spans="1:26" x14ac:dyDescent="0.3">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spans="1:26" x14ac:dyDescent="0.3">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spans="1:26" x14ac:dyDescent="0.3">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spans="1:26" x14ac:dyDescent="0.3">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spans="1:26" x14ac:dyDescent="0.3">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spans="1:26" x14ac:dyDescent="0.3">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spans="1:26" x14ac:dyDescent="0.3">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spans="1:26" x14ac:dyDescent="0.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spans="1:26" x14ac:dyDescent="0.3">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spans="1:26" x14ac:dyDescent="0.3">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spans="1:26" x14ac:dyDescent="0.3">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spans="1:26" x14ac:dyDescent="0.3">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spans="1:26" x14ac:dyDescent="0.3">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spans="1:26" x14ac:dyDescent="0.3">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spans="1:26" x14ac:dyDescent="0.3">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spans="1:26" x14ac:dyDescent="0.3">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spans="1:26" x14ac:dyDescent="0.3">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spans="1:26" x14ac:dyDescent="0.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spans="1:26" x14ac:dyDescent="0.3">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spans="1:26" x14ac:dyDescent="0.3">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spans="1:26" x14ac:dyDescent="0.3">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spans="1:26" x14ac:dyDescent="0.3">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spans="1:26" x14ac:dyDescent="0.3">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spans="1:26" x14ac:dyDescent="0.3">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spans="1:26" x14ac:dyDescent="0.3">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spans="1:26" x14ac:dyDescent="0.3">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spans="1:26" x14ac:dyDescent="0.3">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spans="1:26" x14ac:dyDescent="0.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spans="1:26" x14ac:dyDescent="0.3">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spans="1:26" x14ac:dyDescent="0.3">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spans="1:26" x14ac:dyDescent="0.3">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spans="1:26" x14ac:dyDescent="0.3">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spans="1:26" x14ac:dyDescent="0.3">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spans="1:26" x14ac:dyDescent="0.3">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spans="1:26" x14ac:dyDescent="0.3">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spans="1:26" x14ac:dyDescent="0.3">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spans="1:26" x14ac:dyDescent="0.3">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spans="1:26" x14ac:dyDescent="0.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spans="1:26" x14ac:dyDescent="0.3">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spans="1:26" x14ac:dyDescent="0.3">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spans="1:26" x14ac:dyDescent="0.3">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spans="1:26" x14ac:dyDescent="0.3">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spans="1:26" x14ac:dyDescent="0.3">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spans="1:26" x14ac:dyDescent="0.3">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spans="1:26" x14ac:dyDescent="0.3">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spans="1:26" x14ac:dyDescent="0.3">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spans="1:26" x14ac:dyDescent="0.3">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spans="1:26" x14ac:dyDescent="0.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spans="1:26" x14ac:dyDescent="0.3">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spans="1:26" x14ac:dyDescent="0.3">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spans="1:26" x14ac:dyDescent="0.3">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spans="1:26" x14ac:dyDescent="0.3">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spans="1:26" x14ac:dyDescent="0.3">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spans="1:26" x14ac:dyDescent="0.3">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spans="1:26" x14ac:dyDescent="0.3">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spans="1:26" x14ac:dyDescent="0.3">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spans="1:26" x14ac:dyDescent="0.3">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spans="1:26" x14ac:dyDescent="0.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spans="1:26" x14ac:dyDescent="0.3">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spans="1:26" x14ac:dyDescent="0.3">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spans="1:26" x14ac:dyDescent="0.3">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spans="1:26" x14ac:dyDescent="0.3">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spans="1:26" x14ac:dyDescent="0.3">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spans="1:26" x14ac:dyDescent="0.3">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spans="1:26" x14ac:dyDescent="0.3">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spans="1:26" x14ac:dyDescent="0.3">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spans="1:26" x14ac:dyDescent="0.3">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spans="1:26" x14ac:dyDescent="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spans="1:26" x14ac:dyDescent="0.3">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spans="1:26" x14ac:dyDescent="0.3">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spans="1:26" x14ac:dyDescent="0.3">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spans="1:26" x14ac:dyDescent="0.3">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spans="1:26" x14ac:dyDescent="0.3">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spans="1:26" x14ac:dyDescent="0.3">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spans="1:26" x14ac:dyDescent="0.3">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spans="1:26" x14ac:dyDescent="0.3">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spans="1:26" x14ac:dyDescent="0.3">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spans="1:26" x14ac:dyDescent="0.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spans="1:26" x14ac:dyDescent="0.3">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spans="1:26" x14ac:dyDescent="0.3">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spans="1:26" x14ac:dyDescent="0.3">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spans="1:26" x14ac:dyDescent="0.3">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spans="1:26" x14ac:dyDescent="0.3">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spans="1:26" x14ac:dyDescent="0.3">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spans="1:26" x14ac:dyDescent="0.3">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spans="1:26" x14ac:dyDescent="0.3">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spans="1:26" x14ac:dyDescent="0.3">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spans="1:26" x14ac:dyDescent="0.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spans="1:26" x14ac:dyDescent="0.3">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spans="1:26" x14ac:dyDescent="0.3">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spans="1:26" x14ac:dyDescent="0.3">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spans="1:26" x14ac:dyDescent="0.3">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spans="1:26" x14ac:dyDescent="0.3">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spans="1:26" x14ac:dyDescent="0.3">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spans="1:26" x14ac:dyDescent="0.3">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spans="1:26" x14ac:dyDescent="0.3">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spans="1:26" x14ac:dyDescent="0.3">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spans="1:26" x14ac:dyDescent="0.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spans="1:26" x14ac:dyDescent="0.3">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spans="1:26" x14ac:dyDescent="0.3">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spans="1:26" x14ac:dyDescent="0.3">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spans="1:26" x14ac:dyDescent="0.3">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spans="1:26" x14ac:dyDescent="0.3">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spans="1:26" x14ac:dyDescent="0.3">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spans="1:26" x14ac:dyDescent="0.3">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spans="1:26" x14ac:dyDescent="0.3">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spans="1:26" x14ac:dyDescent="0.3">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spans="1:26" x14ac:dyDescent="0.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spans="1:26" x14ac:dyDescent="0.3">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spans="1:26" x14ac:dyDescent="0.3">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spans="1:26" x14ac:dyDescent="0.3">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spans="1:26" x14ac:dyDescent="0.3">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spans="1:26" x14ac:dyDescent="0.3">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spans="1:26" x14ac:dyDescent="0.3">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spans="1:26" x14ac:dyDescent="0.3">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spans="1:26" x14ac:dyDescent="0.3">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spans="1:26" x14ac:dyDescent="0.3">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spans="1:26" x14ac:dyDescent="0.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spans="1:26" x14ac:dyDescent="0.3">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spans="1:26" x14ac:dyDescent="0.3">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spans="1:26" x14ac:dyDescent="0.3">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spans="1:26" x14ac:dyDescent="0.3">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spans="1:26" x14ac:dyDescent="0.3">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spans="1:26" x14ac:dyDescent="0.3">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spans="1:26" x14ac:dyDescent="0.3">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spans="1:26" x14ac:dyDescent="0.3">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spans="1:26" x14ac:dyDescent="0.3">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spans="1:26" x14ac:dyDescent="0.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spans="1:26" x14ac:dyDescent="0.3">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spans="1:26" x14ac:dyDescent="0.3">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spans="1:26" x14ac:dyDescent="0.3">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spans="1:26" x14ac:dyDescent="0.3">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spans="1:26" x14ac:dyDescent="0.3">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spans="1:26" x14ac:dyDescent="0.3">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spans="1:26" x14ac:dyDescent="0.3">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spans="1:26" x14ac:dyDescent="0.3">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spans="1:26" x14ac:dyDescent="0.3">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spans="1:26" x14ac:dyDescent="0.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spans="1:26" x14ac:dyDescent="0.3">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spans="1:26" x14ac:dyDescent="0.3">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spans="1:26" x14ac:dyDescent="0.3">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spans="1:26" x14ac:dyDescent="0.3">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spans="1:26" x14ac:dyDescent="0.3">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spans="1:26" x14ac:dyDescent="0.3">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spans="1:26" x14ac:dyDescent="0.3">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spans="1:26" x14ac:dyDescent="0.3">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spans="1:26" x14ac:dyDescent="0.3">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spans="1:26" x14ac:dyDescent="0.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spans="1:26" x14ac:dyDescent="0.3">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spans="1:26" x14ac:dyDescent="0.3">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spans="1:26" x14ac:dyDescent="0.3">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spans="1:26" x14ac:dyDescent="0.3">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spans="1:26" x14ac:dyDescent="0.3">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spans="1:26" x14ac:dyDescent="0.3">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spans="1:26" x14ac:dyDescent="0.3">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spans="1:26" x14ac:dyDescent="0.3">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spans="1:26" x14ac:dyDescent="0.3">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spans="1:26" x14ac:dyDescent="0.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spans="1:26" x14ac:dyDescent="0.3">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spans="1:26" x14ac:dyDescent="0.3">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spans="1:26" x14ac:dyDescent="0.3">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spans="1:26" x14ac:dyDescent="0.3">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spans="1:26" x14ac:dyDescent="0.3">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spans="1:26" x14ac:dyDescent="0.3">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spans="1:26" x14ac:dyDescent="0.3">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spans="1:26" x14ac:dyDescent="0.3">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spans="1:26" x14ac:dyDescent="0.3">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spans="1:26" x14ac:dyDescent="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spans="1:26" x14ac:dyDescent="0.3">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spans="1:26" x14ac:dyDescent="0.3">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spans="1:26" x14ac:dyDescent="0.3">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spans="1:26" x14ac:dyDescent="0.3">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spans="1:26" x14ac:dyDescent="0.3">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spans="1:26" x14ac:dyDescent="0.3">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spans="1:26" x14ac:dyDescent="0.3">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spans="1:26" x14ac:dyDescent="0.3">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spans="1:26" x14ac:dyDescent="0.3">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spans="1:26" x14ac:dyDescent="0.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spans="1:26" x14ac:dyDescent="0.3">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spans="1:26" x14ac:dyDescent="0.3">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spans="1:26" x14ac:dyDescent="0.3">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spans="1:26" x14ac:dyDescent="0.3">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spans="1:26" x14ac:dyDescent="0.3">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spans="1:26" x14ac:dyDescent="0.3">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spans="1:26" x14ac:dyDescent="0.3">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spans="1:26" x14ac:dyDescent="0.3">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spans="1:26" x14ac:dyDescent="0.3">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spans="1:26" x14ac:dyDescent="0.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spans="1:26" x14ac:dyDescent="0.3">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spans="1:26" x14ac:dyDescent="0.3">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spans="1:26" x14ac:dyDescent="0.3">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spans="1:26" x14ac:dyDescent="0.3">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spans="1:26" x14ac:dyDescent="0.3">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spans="1:26" x14ac:dyDescent="0.3">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spans="1:26" x14ac:dyDescent="0.3">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spans="1:26" x14ac:dyDescent="0.3">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spans="1:26" x14ac:dyDescent="0.3">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spans="1:26" x14ac:dyDescent="0.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spans="1:26" x14ac:dyDescent="0.3">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spans="1:26" x14ac:dyDescent="0.3">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spans="1:26" x14ac:dyDescent="0.3">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spans="1:26" x14ac:dyDescent="0.3">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spans="1:26" x14ac:dyDescent="0.3">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spans="1:26" x14ac:dyDescent="0.3">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spans="1:26" x14ac:dyDescent="0.3">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spans="1:26" x14ac:dyDescent="0.3">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spans="1:26" x14ac:dyDescent="0.3">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spans="1:26" x14ac:dyDescent="0.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spans="1:26" x14ac:dyDescent="0.3">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spans="1:26" x14ac:dyDescent="0.3">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spans="1:26" x14ac:dyDescent="0.3">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spans="1:26" x14ac:dyDescent="0.3">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spans="1:26" x14ac:dyDescent="0.3">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spans="1:26" x14ac:dyDescent="0.3">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spans="1:26" x14ac:dyDescent="0.3">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spans="1:26" x14ac:dyDescent="0.3">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spans="1:26" x14ac:dyDescent="0.3">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spans="1:26" x14ac:dyDescent="0.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spans="1:26" x14ac:dyDescent="0.3">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spans="1:26" x14ac:dyDescent="0.3">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spans="1:26" x14ac:dyDescent="0.3">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spans="1:26" x14ac:dyDescent="0.3">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spans="1:26" x14ac:dyDescent="0.3">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spans="1:26" x14ac:dyDescent="0.3">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spans="1:26" x14ac:dyDescent="0.3">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spans="1:26" x14ac:dyDescent="0.3">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spans="1:26" x14ac:dyDescent="0.3">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spans="1:26" x14ac:dyDescent="0.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spans="1:26" x14ac:dyDescent="0.3">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spans="1:26" x14ac:dyDescent="0.3">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spans="1:26" x14ac:dyDescent="0.3">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spans="1:26" x14ac:dyDescent="0.3">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spans="1:26" x14ac:dyDescent="0.3">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spans="1:26" x14ac:dyDescent="0.3">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spans="1:26" x14ac:dyDescent="0.3">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spans="1:26" x14ac:dyDescent="0.3">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spans="1:26" x14ac:dyDescent="0.3">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spans="1:26" x14ac:dyDescent="0.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spans="1:26" x14ac:dyDescent="0.3">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spans="1:26" x14ac:dyDescent="0.3">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spans="1:26" x14ac:dyDescent="0.3">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spans="1:26" x14ac:dyDescent="0.3">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spans="1:26" x14ac:dyDescent="0.3">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spans="1:26" x14ac:dyDescent="0.3">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spans="1:26" x14ac:dyDescent="0.3">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spans="1:26" x14ac:dyDescent="0.3">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spans="1:26" x14ac:dyDescent="0.3">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spans="1:26" x14ac:dyDescent="0.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spans="1:26" x14ac:dyDescent="0.3">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spans="1:26" x14ac:dyDescent="0.3">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spans="1:26" x14ac:dyDescent="0.3">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spans="1:26" x14ac:dyDescent="0.3">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spans="1:26" x14ac:dyDescent="0.3">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spans="1:26" x14ac:dyDescent="0.3">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spans="1:26" x14ac:dyDescent="0.3">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spans="1:26" x14ac:dyDescent="0.3">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spans="1:26" x14ac:dyDescent="0.3">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spans="1:26" x14ac:dyDescent="0.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spans="1:26" x14ac:dyDescent="0.3">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spans="1:26" x14ac:dyDescent="0.3">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spans="1:26" x14ac:dyDescent="0.3">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spans="1:26" x14ac:dyDescent="0.3">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spans="1:26" x14ac:dyDescent="0.3">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spans="1:26" x14ac:dyDescent="0.3">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spans="1:26" x14ac:dyDescent="0.3">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spans="1:26" x14ac:dyDescent="0.3">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spans="1:26" x14ac:dyDescent="0.3">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spans="1:26" x14ac:dyDescent="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spans="1:26" x14ac:dyDescent="0.3">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spans="1:26" x14ac:dyDescent="0.3">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spans="1:26" x14ac:dyDescent="0.3">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spans="1:26" x14ac:dyDescent="0.3">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spans="1:26" x14ac:dyDescent="0.3">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spans="1:26" x14ac:dyDescent="0.3">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spans="1:26" x14ac:dyDescent="0.3">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spans="1:26" x14ac:dyDescent="0.3">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spans="1:26" x14ac:dyDescent="0.3">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spans="1:26" x14ac:dyDescent="0.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spans="1:26" x14ac:dyDescent="0.3">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spans="1:26" x14ac:dyDescent="0.3">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spans="1:26" x14ac:dyDescent="0.3">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spans="1:26" x14ac:dyDescent="0.3">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spans="1:26" x14ac:dyDescent="0.3">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spans="1:26" x14ac:dyDescent="0.3">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spans="1:26" x14ac:dyDescent="0.3">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spans="1:26" x14ac:dyDescent="0.3">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spans="1:26" x14ac:dyDescent="0.3">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spans="1:26" x14ac:dyDescent="0.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spans="1:26" x14ac:dyDescent="0.3">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spans="1:26" x14ac:dyDescent="0.3">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spans="1:26" x14ac:dyDescent="0.3">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spans="1:26" x14ac:dyDescent="0.3">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spans="1:26" x14ac:dyDescent="0.3">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spans="1:26" x14ac:dyDescent="0.3">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spans="1:26" x14ac:dyDescent="0.3">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spans="1:26" x14ac:dyDescent="0.3">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spans="1:26" x14ac:dyDescent="0.3">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spans="1:26" x14ac:dyDescent="0.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spans="1:26" x14ac:dyDescent="0.3">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spans="1:26" x14ac:dyDescent="0.3">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spans="1:26" x14ac:dyDescent="0.3">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spans="1:26" x14ac:dyDescent="0.3">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spans="1:26" x14ac:dyDescent="0.3">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spans="1:26" x14ac:dyDescent="0.3">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spans="1:26" x14ac:dyDescent="0.3">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spans="1:26" x14ac:dyDescent="0.3">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spans="1:26" x14ac:dyDescent="0.3">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spans="1:26" x14ac:dyDescent="0.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spans="1:26" x14ac:dyDescent="0.3">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spans="1:26" x14ac:dyDescent="0.3">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spans="1:26" x14ac:dyDescent="0.3">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spans="1:26" x14ac:dyDescent="0.3">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spans="1:26" x14ac:dyDescent="0.3">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spans="1:26" x14ac:dyDescent="0.3">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spans="1:26" x14ac:dyDescent="0.3">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spans="1:26" x14ac:dyDescent="0.3">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spans="1:26" x14ac:dyDescent="0.3">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spans="1:26" x14ac:dyDescent="0.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spans="1:26" x14ac:dyDescent="0.3">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spans="1:26" x14ac:dyDescent="0.3">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spans="1:26" x14ac:dyDescent="0.3">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spans="1:26" x14ac:dyDescent="0.3">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spans="1:26" x14ac:dyDescent="0.3">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spans="1:26" x14ac:dyDescent="0.3">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spans="1:26" x14ac:dyDescent="0.3">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spans="1:26" x14ac:dyDescent="0.3">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spans="1:26" x14ac:dyDescent="0.3">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spans="1:26" x14ac:dyDescent="0.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spans="1:26" x14ac:dyDescent="0.3">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spans="1:26" x14ac:dyDescent="0.3">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spans="1:26" x14ac:dyDescent="0.3">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spans="1:26" x14ac:dyDescent="0.3">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spans="1:26" x14ac:dyDescent="0.3">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spans="1:26" x14ac:dyDescent="0.3">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spans="1:26" x14ac:dyDescent="0.3">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spans="1:26" x14ac:dyDescent="0.3">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spans="1:26" x14ac:dyDescent="0.3">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spans="1:26" x14ac:dyDescent="0.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spans="1:26" x14ac:dyDescent="0.3">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spans="1:26" x14ac:dyDescent="0.3">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spans="1:26" x14ac:dyDescent="0.3">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spans="1:26" x14ac:dyDescent="0.3">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spans="1:26" x14ac:dyDescent="0.3">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spans="1:26" x14ac:dyDescent="0.3">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spans="1:26" x14ac:dyDescent="0.3">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spans="1:26" x14ac:dyDescent="0.3">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spans="1:26" x14ac:dyDescent="0.3">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spans="1:26" x14ac:dyDescent="0.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spans="1:26" x14ac:dyDescent="0.3">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spans="1:26" x14ac:dyDescent="0.3">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spans="1:26" x14ac:dyDescent="0.3">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spans="1:26" x14ac:dyDescent="0.3">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spans="1:26" x14ac:dyDescent="0.3">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spans="1:26" x14ac:dyDescent="0.3">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spans="1:26" x14ac:dyDescent="0.3">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spans="1:26" x14ac:dyDescent="0.3">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spans="1:26" x14ac:dyDescent="0.3">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spans="1:26" x14ac:dyDescent="0.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spans="1:26" x14ac:dyDescent="0.3">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spans="1:26" x14ac:dyDescent="0.3">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spans="1:26" x14ac:dyDescent="0.3">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spans="1:26" x14ac:dyDescent="0.3">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spans="1:26" x14ac:dyDescent="0.3">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spans="1:26" x14ac:dyDescent="0.3">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spans="1:26" x14ac:dyDescent="0.3">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spans="1:26" x14ac:dyDescent="0.3">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spans="1:26" x14ac:dyDescent="0.3">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spans="1:26" x14ac:dyDescent="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spans="1:26" x14ac:dyDescent="0.3">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spans="1:26" x14ac:dyDescent="0.3">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spans="1:26" x14ac:dyDescent="0.3">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spans="1:26" x14ac:dyDescent="0.3">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spans="1:26" x14ac:dyDescent="0.3">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spans="1:26" x14ac:dyDescent="0.3">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spans="1:26" x14ac:dyDescent="0.3">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spans="1:26" x14ac:dyDescent="0.3">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spans="1:26" x14ac:dyDescent="0.3">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spans="1:26" x14ac:dyDescent="0.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spans="1:26" x14ac:dyDescent="0.3">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spans="1:26" x14ac:dyDescent="0.3">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spans="1:26" x14ac:dyDescent="0.3">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spans="1:26" x14ac:dyDescent="0.3">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spans="1:26" x14ac:dyDescent="0.3">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spans="1:26" x14ac:dyDescent="0.3">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spans="1:26" x14ac:dyDescent="0.3">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spans="1:26" x14ac:dyDescent="0.3">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spans="1:26" x14ac:dyDescent="0.3">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spans="1:26" x14ac:dyDescent="0.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spans="1:26" x14ac:dyDescent="0.3">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spans="1:26" x14ac:dyDescent="0.3">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spans="1:26" x14ac:dyDescent="0.3">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spans="1:26" x14ac:dyDescent="0.3">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spans="1:26" x14ac:dyDescent="0.3">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spans="1:26" x14ac:dyDescent="0.3">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spans="1:26" x14ac:dyDescent="0.3">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spans="1:26" x14ac:dyDescent="0.3">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spans="1:26" x14ac:dyDescent="0.3">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spans="1:26" x14ac:dyDescent="0.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spans="1:26" x14ac:dyDescent="0.3">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spans="1:26" x14ac:dyDescent="0.3">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spans="1:26" x14ac:dyDescent="0.3">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spans="1:26" x14ac:dyDescent="0.3">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spans="1:26" x14ac:dyDescent="0.3">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spans="1:26" x14ac:dyDescent="0.3">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spans="1:26" x14ac:dyDescent="0.3">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spans="1:26" x14ac:dyDescent="0.3">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spans="1:26" x14ac:dyDescent="0.3">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spans="1:26" x14ac:dyDescent="0.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spans="1:26" x14ac:dyDescent="0.3">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spans="1:26" x14ac:dyDescent="0.3">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spans="1:26" x14ac:dyDescent="0.3">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spans="1:26" x14ac:dyDescent="0.3">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spans="1:26" x14ac:dyDescent="0.3">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spans="1:26" x14ac:dyDescent="0.3">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spans="1:26" x14ac:dyDescent="0.3">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spans="1:26" x14ac:dyDescent="0.3">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spans="1:26" x14ac:dyDescent="0.3">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spans="1:26" x14ac:dyDescent="0.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spans="1:26" x14ac:dyDescent="0.3">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spans="1:26" x14ac:dyDescent="0.3">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spans="1:26" x14ac:dyDescent="0.3">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spans="1:26" x14ac:dyDescent="0.3">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spans="1:26" x14ac:dyDescent="0.3">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spans="1:26" x14ac:dyDescent="0.3">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spans="1:26" x14ac:dyDescent="0.3">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spans="1:26" x14ac:dyDescent="0.3">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spans="1:26" x14ac:dyDescent="0.3">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spans="1:26" x14ac:dyDescent="0.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spans="1:26" x14ac:dyDescent="0.3">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spans="1:26" x14ac:dyDescent="0.3">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spans="1:26" x14ac:dyDescent="0.3">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spans="1:26" x14ac:dyDescent="0.3">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spans="1:26" x14ac:dyDescent="0.3">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spans="1:26" x14ac:dyDescent="0.3">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spans="1:26" x14ac:dyDescent="0.3">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spans="1:26" x14ac:dyDescent="0.3">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spans="1:26" x14ac:dyDescent="0.3">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spans="1:26" x14ac:dyDescent="0.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spans="1:26" x14ac:dyDescent="0.3">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spans="1:26" x14ac:dyDescent="0.3">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spans="1:26" x14ac:dyDescent="0.3">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spans="1:26" x14ac:dyDescent="0.3">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spans="1:26" x14ac:dyDescent="0.3">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spans="1:26" x14ac:dyDescent="0.3">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spans="1:26" x14ac:dyDescent="0.3">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spans="1:26" x14ac:dyDescent="0.3">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spans="1:26" x14ac:dyDescent="0.3">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spans="1:26" x14ac:dyDescent="0.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spans="1:26" x14ac:dyDescent="0.3">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spans="1:26" x14ac:dyDescent="0.3">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spans="1:26" x14ac:dyDescent="0.3">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spans="1:26" x14ac:dyDescent="0.3">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spans="1:26" x14ac:dyDescent="0.3">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spans="1:26" x14ac:dyDescent="0.3">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spans="1:26" x14ac:dyDescent="0.3">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spans="1:26" x14ac:dyDescent="0.3">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spans="1:26" x14ac:dyDescent="0.3">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spans="1:26" x14ac:dyDescent="0.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spans="1:26" x14ac:dyDescent="0.3">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spans="1:26" x14ac:dyDescent="0.3">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spans="1:26" x14ac:dyDescent="0.3">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spans="1:26" x14ac:dyDescent="0.3">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spans="1:26" x14ac:dyDescent="0.3">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spans="1:26" x14ac:dyDescent="0.3">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spans="1:26" x14ac:dyDescent="0.3">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spans="1:26" x14ac:dyDescent="0.3">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spans="1:26" x14ac:dyDescent="0.3">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spans="1:26" x14ac:dyDescent="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spans="1:26" x14ac:dyDescent="0.3">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spans="1:26" x14ac:dyDescent="0.3">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spans="1:26" x14ac:dyDescent="0.3">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spans="1:26" x14ac:dyDescent="0.3">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spans="1:26" x14ac:dyDescent="0.3">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spans="1:26" x14ac:dyDescent="0.3">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spans="1:26" x14ac:dyDescent="0.3">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spans="1:26" x14ac:dyDescent="0.3">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spans="1:26" x14ac:dyDescent="0.3">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spans="1:26" x14ac:dyDescent="0.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spans="1:26" x14ac:dyDescent="0.3">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spans="1:26" x14ac:dyDescent="0.3">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spans="1:26" x14ac:dyDescent="0.3">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spans="1:26" x14ac:dyDescent="0.3">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spans="1:26" x14ac:dyDescent="0.3">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spans="1:26" x14ac:dyDescent="0.3">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spans="1:26" x14ac:dyDescent="0.3">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spans="1:26" x14ac:dyDescent="0.3">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spans="1:26" x14ac:dyDescent="0.3">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spans="1:26" x14ac:dyDescent="0.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spans="1:26" x14ac:dyDescent="0.3">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spans="1:26" x14ac:dyDescent="0.3">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spans="1:26" x14ac:dyDescent="0.3">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spans="1:26" x14ac:dyDescent="0.3">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spans="1:26" x14ac:dyDescent="0.3">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spans="1:26" x14ac:dyDescent="0.3">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spans="1:26" x14ac:dyDescent="0.3">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spans="1:26" x14ac:dyDescent="0.3">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spans="1:26" x14ac:dyDescent="0.3">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spans="1:26" x14ac:dyDescent="0.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spans="1:26" x14ac:dyDescent="0.3">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spans="1:26" x14ac:dyDescent="0.3">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spans="1:26" x14ac:dyDescent="0.3">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spans="1:26" x14ac:dyDescent="0.3">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spans="1:26" x14ac:dyDescent="0.3">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spans="1:26" x14ac:dyDescent="0.3">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spans="1:26" x14ac:dyDescent="0.3">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spans="1:26" x14ac:dyDescent="0.3">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spans="1:26" x14ac:dyDescent="0.3">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spans="1:26" x14ac:dyDescent="0.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spans="1:26" x14ac:dyDescent="0.3">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spans="1:26" x14ac:dyDescent="0.3">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spans="1:26" x14ac:dyDescent="0.3">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spans="1:26" x14ac:dyDescent="0.3">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spans="1:26" x14ac:dyDescent="0.3">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spans="1:26" x14ac:dyDescent="0.3">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spans="1:26" x14ac:dyDescent="0.3">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spans="1:26" x14ac:dyDescent="0.3">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spans="1:26" x14ac:dyDescent="0.3">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spans="1:26" x14ac:dyDescent="0.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spans="1:26" x14ac:dyDescent="0.3">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spans="1:26" x14ac:dyDescent="0.3">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spans="1:26" x14ac:dyDescent="0.3">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spans="1:26" x14ac:dyDescent="0.3">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spans="1:26" x14ac:dyDescent="0.3">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spans="1:26" x14ac:dyDescent="0.3">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spans="1:26" x14ac:dyDescent="0.3">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spans="1:26" x14ac:dyDescent="0.3">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spans="1:26" x14ac:dyDescent="0.3">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spans="1:26" x14ac:dyDescent="0.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spans="1:26" x14ac:dyDescent="0.3">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spans="1:26" x14ac:dyDescent="0.3">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spans="1:26" x14ac:dyDescent="0.3">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spans="1:26" x14ac:dyDescent="0.3">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spans="1:26" x14ac:dyDescent="0.3">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spans="1:26" x14ac:dyDescent="0.3">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spans="1:26" x14ac:dyDescent="0.3">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spans="1:26" x14ac:dyDescent="0.3">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spans="1:26" x14ac:dyDescent="0.3">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spans="1:26" x14ac:dyDescent="0.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spans="1:26" x14ac:dyDescent="0.3">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spans="1:26" x14ac:dyDescent="0.3">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spans="1:26" x14ac:dyDescent="0.3">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spans="1:26" x14ac:dyDescent="0.3">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spans="1:26" x14ac:dyDescent="0.3">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spans="1:26" x14ac:dyDescent="0.3">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spans="1:26" x14ac:dyDescent="0.3">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spans="1:26" x14ac:dyDescent="0.3">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spans="1:26" x14ac:dyDescent="0.3">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spans="1:26" x14ac:dyDescent="0.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spans="1:26" x14ac:dyDescent="0.3">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spans="1:26" x14ac:dyDescent="0.3">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spans="1:26" x14ac:dyDescent="0.3">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spans="1:26" x14ac:dyDescent="0.3">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spans="1:26" x14ac:dyDescent="0.3">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spans="1:26" x14ac:dyDescent="0.3">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spans="1:26" x14ac:dyDescent="0.3">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spans="1:26" x14ac:dyDescent="0.3">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spans="1:26" x14ac:dyDescent="0.3">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spans="1:26" x14ac:dyDescent="0.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spans="1:26" x14ac:dyDescent="0.3">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spans="1:26" x14ac:dyDescent="0.3">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spans="1:26" x14ac:dyDescent="0.3">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spans="1:26" x14ac:dyDescent="0.3">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spans="1:26" x14ac:dyDescent="0.3">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spans="1:26" x14ac:dyDescent="0.3">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spans="1:26" x14ac:dyDescent="0.3">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spans="1:26" x14ac:dyDescent="0.3">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spans="1:26" x14ac:dyDescent="0.3">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spans="1:26" x14ac:dyDescent="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spans="1:26" x14ac:dyDescent="0.3">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spans="1:26" x14ac:dyDescent="0.3">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spans="1:26" x14ac:dyDescent="0.3">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spans="1:26" x14ac:dyDescent="0.3">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spans="1:26" x14ac:dyDescent="0.3">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spans="1:26" x14ac:dyDescent="0.3">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spans="1:26" x14ac:dyDescent="0.3">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spans="1:26" x14ac:dyDescent="0.3">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spans="1:26" x14ac:dyDescent="0.3">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spans="1:26" x14ac:dyDescent="0.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spans="1:26" x14ac:dyDescent="0.3">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spans="1:26" x14ac:dyDescent="0.3">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spans="1:26" x14ac:dyDescent="0.3">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spans="1:26" x14ac:dyDescent="0.3">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spans="1:26" x14ac:dyDescent="0.3">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spans="1:26" x14ac:dyDescent="0.3">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spans="1:26" x14ac:dyDescent="0.3">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spans="1:26" x14ac:dyDescent="0.3">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spans="1:26" x14ac:dyDescent="0.3">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spans="1:26" x14ac:dyDescent="0.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spans="1:26" x14ac:dyDescent="0.3">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spans="1:26" x14ac:dyDescent="0.3">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spans="1:26" x14ac:dyDescent="0.3">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spans="1:26" x14ac:dyDescent="0.3">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spans="1:26" x14ac:dyDescent="0.3">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spans="1:26" x14ac:dyDescent="0.3">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spans="1:26" x14ac:dyDescent="0.3">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spans="1:26" x14ac:dyDescent="0.3">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spans="1:26" x14ac:dyDescent="0.3">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spans="1:26" x14ac:dyDescent="0.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spans="1:26" x14ac:dyDescent="0.3">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spans="1:26" x14ac:dyDescent="0.3">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spans="1:26" x14ac:dyDescent="0.3">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spans="1:26" x14ac:dyDescent="0.3">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spans="1:26" x14ac:dyDescent="0.3">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spans="1:26" x14ac:dyDescent="0.3">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spans="1:26" x14ac:dyDescent="0.3">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spans="1:26" x14ac:dyDescent="0.3">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spans="1:26" x14ac:dyDescent="0.3">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spans="1:26" x14ac:dyDescent="0.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spans="1:26" x14ac:dyDescent="0.3">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spans="1:26" x14ac:dyDescent="0.3">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spans="1:26" x14ac:dyDescent="0.3">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spans="1:26" x14ac:dyDescent="0.3">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spans="1:26" x14ac:dyDescent="0.3">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spans="1:26" x14ac:dyDescent="0.3">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spans="1:26" x14ac:dyDescent="0.3">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spans="1:26" x14ac:dyDescent="0.3">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spans="1:26" x14ac:dyDescent="0.3">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spans="1:26" x14ac:dyDescent="0.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spans="1:26" x14ac:dyDescent="0.3">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spans="1:26" x14ac:dyDescent="0.3">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spans="1:26" x14ac:dyDescent="0.3">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spans="1:26" x14ac:dyDescent="0.3">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spans="1:26" x14ac:dyDescent="0.3">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spans="1:26" x14ac:dyDescent="0.3">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spans="1:26" x14ac:dyDescent="0.3">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spans="1:26" x14ac:dyDescent="0.3">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spans="1:26" x14ac:dyDescent="0.3">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spans="1:26" x14ac:dyDescent="0.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spans="1:26" x14ac:dyDescent="0.3">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spans="1:26" x14ac:dyDescent="0.3">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spans="1:26" x14ac:dyDescent="0.3">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spans="1:26" x14ac:dyDescent="0.3">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spans="1:26" x14ac:dyDescent="0.3">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spans="1:26" x14ac:dyDescent="0.3">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spans="1:26" x14ac:dyDescent="0.3">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spans="1:26" x14ac:dyDescent="0.3">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spans="1:26" x14ac:dyDescent="0.3">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spans="1:26" x14ac:dyDescent="0.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spans="1:26" x14ac:dyDescent="0.3">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spans="1:26" x14ac:dyDescent="0.3">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spans="1:26" x14ac:dyDescent="0.3">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spans="1:26" x14ac:dyDescent="0.3">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spans="1:26" x14ac:dyDescent="0.3">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spans="1:26" x14ac:dyDescent="0.3">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spans="1:26" x14ac:dyDescent="0.3">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spans="1:26" x14ac:dyDescent="0.3">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spans="1:26" x14ac:dyDescent="0.3">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spans="1:26" x14ac:dyDescent="0.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spans="1:26" x14ac:dyDescent="0.3">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spans="1:26" x14ac:dyDescent="0.3">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spans="1:26" x14ac:dyDescent="0.3">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spans="1:26" x14ac:dyDescent="0.3">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spans="1:26" x14ac:dyDescent="0.3">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spans="1:26" x14ac:dyDescent="0.3">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spans="1:26" x14ac:dyDescent="0.3">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spans="1:26" x14ac:dyDescent="0.3">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spans="1:26" x14ac:dyDescent="0.3">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spans="1:26" x14ac:dyDescent="0.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spans="1:26" x14ac:dyDescent="0.3">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spans="1:26" x14ac:dyDescent="0.3">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spans="1:26" x14ac:dyDescent="0.3">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spans="1:26" x14ac:dyDescent="0.3">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spans="1:26" x14ac:dyDescent="0.3">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spans="1:26" x14ac:dyDescent="0.3">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spans="1:26" x14ac:dyDescent="0.3">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spans="1:26" x14ac:dyDescent="0.3">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spans="1:26" x14ac:dyDescent="0.3">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spans="1:26" x14ac:dyDescent="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spans="1:26" x14ac:dyDescent="0.3">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spans="1:26" x14ac:dyDescent="0.3">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spans="1:26" x14ac:dyDescent="0.3">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spans="1:26" x14ac:dyDescent="0.3">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spans="1:26" x14ac:dyDescent="0.3">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spans="1:26" x14ac:dyDescent="0.3">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spans="1:26" x14ac:dyDescent="0.3">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spans="1:26" x14ac:dyDescent="0.3">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spans="1:26" x14ac:dyDescent="0.3">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spans="1:26" x14ac:dyDescent="0.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spans="1:26" x14ac:dyDescent="0.3">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spans="1:26" x14ac:dyDescent="0.3">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spans="1:26" x14ac:dyDescent="0.3">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spans="1:26" x14ac:dyDescent="0.3">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spans="1:26" x14ac:dyDescent="0.3">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spans="1:26" x14ac:dyDescent="0.3">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spans="1:26" x14ac:dyDescent="0.3">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spans="1:26" x14ac:dyDescent="0.3">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spans="1:26" x14ac:dyDescent="0.3">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spans="1:26" x14ac:dyDescent="0.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spans="1:26" x14ac:dyDescent="0.3">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spans="1:26" x14ac:dyDescent="0.3">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spans="1:26" x14ac:dyDescent="0.3">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spans="1:26" x14ac:dyDescent="0.3">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spans="1:26" x14ac:dyDescent="0.3">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spans="1:26" x14ac:dyDescent="0.3">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spans="1:26" x14ac:dyDescent="0.3">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spans="1:26" x14ac:dyDescent="0.3">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spans="1:26" x14ac:dyDescent="0.3">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spans="1:26" x14ac:dyDescent="0.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spans="1:26" x14ac:dyDescent="0.3">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spans="1:26" x14ac:dyDescent="0.3">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spans="1:26" x14ac:dyDescent="0.3">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spans="1:26" x14ac:dyDescent="0.3">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spans="1:26" x14ac:dyDescent="0.3">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spans="1:26" x14ac:dyDescent="0.3">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spans="1:26" x14ac:dyDescent="0.3">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spans="1:26" x14ac:dyDescent="0.3">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spans="1:26" x14ac:dyDescent="0.3">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spans="1:26" x14ac:dyDescent="0.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spans="1:26" x14ac:dyDescent="0.3">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spans="1:26" x14ac:dyDescent="0.3">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spans="1:26" x14ac:dyDescent="0.3">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spans="1:26" x14ac:dyDescent="0.3">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spans="1:26" x14ac:dyDescent="0.3">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spans="1:26" x14ac:dyDescent="0.3">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spans="1:26" x14ac:dyDescent="0.3">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spans="1:26" x14ac:dyDescent="0.3">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spans="1:26" x14ac:dyDescent="0.3">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spans="1:26" x14ac:dyDescent="0.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spans="1:26" x14ac:dyDescent="0.3">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spans="1:26" x14ac:dyDescent="0.3">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spans="1:26" x14ac:dyDescent="0.3">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spans="1:26" x14ac:dyDescent="0.3">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spans="1:26" x14ac:dyDescent="0.3">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spans="1:26" x14ac:dyDescent="0.3">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spans="1:26" x14ac:dyDescent="0.3">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spans="1:26" x14ac:dyDescent="0.3">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spans="1:26" x14ac:dyDescent="0.3">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spans="1:26" x14ac:dyDescent="0.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spans="1:26" x14ac:dyDescent="0.3">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spans="1:26" x14ac:dyDescent="0.3">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spans="1:26" x14ac:dyDescent="0.3">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spans="1:26" x14ac:dyDescent="0.3">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spans="1:26" x14ac:dyDescent="0.3">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spans="1:26" x14ac:dyDescent="0.3">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spans="1:26" x14ac:dyDescent="0.3">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spans="1:26" x14ac:dyDescent="0.3">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spans="1:26" x14ac:dyDescent="0.3">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spans="1:26" x14ac:dyDescent="0.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spans="1:26" x14ac:dyDescent="0.3">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spans="1:26" x14ac:dyDescent="0.3">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spans="1:26" x14ac:dyDescent="0.3">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spans="1:26" x14ac:dyDescent="0.3">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spans="1:26" x14ac:dyDescent="0.3">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spans="1:26" x14ac:dyDescent="0.3">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spans="1:26" x14ac:dyDescent="0.3">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spans="1:26" x14ac:dyDescent="0.3">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spans="1:26" x14ac:dyDescent="0.3">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spans="1:26" x14ac:dyDescent="0.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spans="1:26" x14ac:dyDescent="0.3">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spans="1:26" x14ac:dyDescent="0.3">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spans="1:26" x14ac:dyDescent="0.3">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spans="1:26" x14ac:dyDescent="0.3">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spans="1:26" x14ac:dyDescent="0.3">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spans="1:26" x14ac:dyDescent="0.3">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spans="1:26" x14ac:dyDescent="0.3">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spans="1:26" x14ac:dyDescent="0.3">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spans="1:26" x14ac:dyDescent="0.3">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spans="1:26" x14ac:dyDescent="0.3">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spans="1:26" x14ac:dyDescent="0.3">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spans="1:26" x14ac:dyDescent="0.3">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spans="1:26" x14ac:dyDescent="0.3">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spans="1:26" x14ac:dyDescent="0.3">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spans="1:26" x14ac:dyDescent="0.3">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spans="1:26" x14ac:dyDescent="0.3">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spans="1:26" x14ac:dyDescent="0.3">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7">
    <mergeCell ref="F1:G1"/>
    <mergeCell ref="H1:I1"/>
    <mergeCell ref="A1:A2"/>
    <mergeCell ref="B1:B2"/>
    <mergeCell ref="C1:C2"/>
    <mergeCell ref="D1:D2"/>
    <mergeCell ref="E1:E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workbookViewId="0">
      <pane ySplit="2" topLeftCell="A3" activePane="bottomLeft" state="frozen"/>
      <selection pane="bottomLeft" activeCell="B4" sqref="B4"/>
    </sheetView>
  </sheetViews>
  <sheetFormatPr defaultColWidth="14.3984375" defaultRowHeight="15" customHeight="1" x14ac:dyDescent="0.3"/>
  <cols>
    <col min="1" max="1" width="8.09765625" customWidth="1"/>
    <col min="2" max="2" width="9.8984375" customWidth="1"/>
    <col min="3" max="3" width="44.296875" customWidth="1"/>
    <col min="4" max="4" width="8.296875" customWidth="1"/>
    <col min="5" max="5" width="16.69921875" customWidth="1"/>
    <col min="6" max="6" width="10.8984375" customWidth="1"/>
    <col min="7" max="7" width="16.09765625" customWidth="1"/>
    <col min="8" max="9" width="22.296875" customWidth="1"/>
    <col min="10" max="26" width="8.69921875" customWidth="1"/>
  </cols>
  <sheetData>
    <row r="1" spans="1:9" ht="19.5" customHeight="1" x14ac:dyDescent="0.3">
      <c r="A1" s="230" t="s">
        <v>2444</v>
      </c>
      <c r="B1" s="231" t="s">
        <v>2445</v>
      </c>
      <c r="C1" s="230" t="s">
        <v>2446</v>
      </c>
      <c r="D1" s="230" t="s">
        <v>2447</v>
      </c>
      <c r="E1" s="230" t="s">
        <v>2448</v>
      </c>
      <c r="F1" s="232" t="s">
        <v>2449</v>
      </c>
      <c r="G1" s="221"/>
      <c r="H1" s="232" t="s">
        <v>2450</v>
      </c>
      <c r="I1" s="221"/>
    </row>
    <row r="2" spans="1:9" ht="12.75" customHeight="1" x14ac:dyDescent="0.3">
      <c r="A2" s="217"/>
      <c r="B2" s="217"/>
      <c r="C2" s="217"/>
      <c r="D2" s="217"/>
      <c r="E2" s="217"/>
      <c r="F2" s="64" t="s">
        <v>2451</v>
      </c>
      <c r="G2" s="64" t="s">
        <v>2452</v>
      </c>
      <c r="H2" s="65" t="s">
        <v>2453</v>
      </c>
      <c r="I2" s="64" t="s">
        <v>2454</v>
      </c>
    </row>
    <row r="3" spans="1:9" ht="12.75" customHeight="1" x14ac:dyDescent="0.3">
      <c r="A3" s="228" t="s">
        <v>2455</v>
      </c>
      <c r="B3" s="221"/>
      <c r="C3" s="66" t="s">
        <v>2456</v>
      </c>
      <c r="D3" s="67"/>
      <c r="E3" s="67"/>
      <c r="F3" s="67"/>
      <c r="G3" s="67"/>
      <c r="H3" s="67"/>
      <c r="I3" s="67"/>
    </row>
    <row r="4" spans="1:9" ht="127.5" customHeight="1" x14ac:dyDescent="0.3">
      <c r="A4" s="68">
        <v>1</v>
      </c>
      <c r="B4" s="69">
        <v>27.7</v>
      </c>
      <c r="C4" s="70" t="s">
        <v>2457</v>
      </c>
      <c r="D4" s="9"/>
      <c r="E4" s="9"/>
      <c r="F4" s="9"/>
      <c r="G4" s="9"/>
      <c r="H4" s="9"/>
      <c r="I4" s="9"/>
    </row>
    <row r="5" spans="1:9" ht="12.75" customHeight="1" x14ac:dyDescent="0.3">
      <c r="A5" s="69">
        <v>1.1000000000000001</v>
      </c>
      <c r="B5" s="71">
        <v>46569</v>
      </c>
      <c r="C5" s="70" t="s">
        <v>2458</v>
      </c>
      <c r="D5" s="72" t="s">
        <v>2459</v>
      </c>
      <c r="E5" s="73">
        <v>8335</v>
      </c>
      <c r="F5" s="74">
        <v>619</v>
      </c>
      <c r="G5" s="10">
        <v>150</v>
      </c>
      <c r="H5" s="75">
        <f t="shared" ref="H5:H7" si="0">E5*F5</f>
        <v>5159365</v>
      </c>
      <c r="I5" s="75">
        <f t="shared" ref="I5:I7" si="1">E5*G5</f>
        <v>1250250</v>
      </c>
    </row>
    <row r="6" spans="1:9" ht="12.75" customHeight="1" x14ac:dyDescent="0.3">
      <c r="A6" s="69">
        <v>1.2</v>
      </c>
      <c r="B6" s="71">
        <v>46570</v>
      </c>
      <c r="C6" s="70" t="s">
        <v>2460</v>
      </c>
      <c r="D6" s="72" t="s">
        <v>2461</v>
      </c>
      <c r="E6" s="68">
        <v>462</v>
      </c>
      <c r="F6" s="75">
        <v>788</v>
      </c>
      <c r="G6" s="10">
        <v>188</v>
      </c>
      <c r="H6" s="75">
        <f t="shared" si="0"/>
        <v>364056</v>
      </c>
      <c r="I6" s="75">
        <f t="shared" si="1"/>
        <v>86856</v>
      </c>
    </row>
    <row r="7" spans="1:9" ht="12.75" customHeight="1" x14ac:dyDescent="0.3">
      <c r="A7" s="69">
        <v>1.3</v>
      </c>
      <c r="B7" s="71">
        <v>46571</v>
      </c>
      <c r="C7" s="70" t="s">
        <v>2462</v>
      </c>
      <c r="D7" s="72" t="s">
        <v>2463</v>
      </c>
      <c r="E7" s="68">
        <v>480</v>
      </c>
      <c r="F7" s="75">
        <v>903</v>
      </c>
      <c r="G7" s="10">
        <v>225</v>
      </c>
      <c r="H7" s="75">
        <f t="shared" si="0"/>
        <v>433440</v>
      </c>
      <c r="I7" s="75">
        <f t="shared" si="1"/>
        <v>108000</v>
      </c>
    </row>
    <row r="8" spans="1:9" ht="10.5" customHeight="1" x14ac:dyDescent="0.3">
      <c r="A8" s="11"/>
      <c r="B8" s="11"/>
      <c r="C8" s="11"/>
      <c r="D8" s="11"/>
      <c r="E8" s="11"/>
      <c r="F8" s="11"/>
      <c r="G8" s="11"/>
      <c r="H8" s="75"/>
      <c r="I8" s="75"/>
    </row>
    <row r="9" spans="1:9" ht="241.5" customHeight="1" x14ac:dyDescent="0.3">
      <c r="A9" s="68">
        <v>2</v>
      </c>
      <c r="B9" s="72" t="s">
        <v>2464</v>
      </c>
      <c r="C9" s="9" t="s">
        <v>2465</v>
      </c>
      <c r="D9" s="9"/>
      <c r="E9" s="9"/>
      <c r="F9" s="9"/>
      <c r="G9" s="9"/>
      <c r="H9" s="75"/>
      <c r="I9" s="75"/>
    </row>
    <row r="10" spans="1:9" ht="12.75" customHeight="1" x14ac:dyDescent="0.3">
      <c r="A10" s="69">
        <v>2.1</v>
      </c>
      <c r="B10" s="10"/>
      <c r="C10" s="70" t="s">
        <v>2466</v>
      </c>
      <c r="D10" s="72" t="s">
        <v>2467</v>
      </c>
      <c r="E10" s="68">
        <v>756</v>
      </c>
      <c r="F10" s="10">
        <v>1263</v>
      </c>
      <c r="G10" s="75">
        <v>300</v>
      </c>
      <c r="H10" s="75">
        <f t="shared" ref="H10:H13" si="2">E10*F10</f>
        <v>954828</v>
      </c>
      <c r="I10" s="75">
        <f t="shared" ref="I10:I13" si="3">E10*G10</f>
        <v>226800</v>
      </c>
    </row>
    <row r="11" spans="1:9" ht="12.75" customHeight="1" x14ac:dyDescent="0.3">
      <c r="A11" s="69">
        <v>2.2000000000000002</v>
      </c>
      <c r="B11" s="10"/>
      <c r="C11" s="70" t="s">
        <v>2468</v>
      </c>
      <c r="D11" s="72" t="s">
        <v>2469</v>
      </c>
      <c r="E11" s="68">
        <v>980</v>
      </c>
      <c r="F11" s="10">
        <v>1330</v>
      </c>
      <c r="G11" s="75">
        <v>375</v>
      </c>
      <c r="H11" s="75">
        <f t="shared" si="2"/>
        <v>1303400</v>
      </c>
      <c r="I11" s="75">
        <f t="shared" si="3"/>
        <v>367500</v>
      </c>
    </row>
    <row r="12" spans="1:9" ht="12.75" customHeight="1" x14ac:dyDescent="0.3">
      <c r="A12" s="69">
        <v>2.2999999999999998</v>
      </c>
      <c r="B12" s="10"/>
      <c r="C12" s="70" t="s">
        <v>2470</v>
      </c>
      <c r="D12" s="72" t="s">
        <v>2471</v>
      </c>
      <c r="E12" s="68">
        <v>241</v>
      </c>
      <c r="F12" s="10">
        <v>1623</v>
      </c>
      <c r="G12" s="75">
        <v>450</v>
      </c>
      <c r="H12" s="75">
        <f t="shared" si="2"/>
        <v>391143</v>
      </c>
      <c r="I12" s="75">
        <f t="shared" si="3"/>
        <v>108450</v>
      </c>
    </row>
    <row r="13" spans="1:9" ht="12.75" customHeight="1" x14ac:dyDescent="0.3">
      <c r="A13" s="69">
        <v>2.4</v>
      </c>
      <c r="B13" s="10"/>
      <c r="C13" s="70" t="s">
        <v>2472</v>
      </c>
      <c r="D13" s="72" t="s">
        <v>2473</v>
      </c>
      <c r="E13" s="68">
        <v>85</v>
      </c>
      <c r="F13" s="10">
        <v>2350</v>
      </c>
      <c r="G13" s="75">
        <v>600</v>
      </c>
      <c r="H13" s="75">
        <f t="shared" si="2"/>
        <v>199750</v>
      </c>
      <c r="I13" s="75">
        <f t="shared" si="3"/>
        <v>51000</v>
      </c>
    </row>
    <row r="14" spans="1:9" ht="10.5" customHeight="1" x14ac:dyDescent="0.3">
      <c r="A14" s="11"/>
      <c r="B14" s="11"/>
      <c r="C14" s="11"/>
      <c r="D14" s="11"/>
      <c r="E14" s="11"/>
      <c r="F14" s="11"/>
      <c r="G14" s="11"/>
      <c r="H14" s="75"/>
      <c r="I14" s="75"/>
    </row>
    <row r="15" spans="1:9" ht="42" customHeight="1" x14ac:dyDescent="0.3">
      <c r="A15" s="68">
        <v>2</v>
      </c>
      <c r="B15" s="76">
        <v>27.21</v>
      </c>
      <c r="C15" s="70" t="s">
        <v>2474</v>
      </c>
      <c r="D15" s="9"/>
      <c r="E15" s="9"/>
      <c r="F15" s="9"/>
      <c r="G15" s="9"/>
      <c r="H15" s="75"/>
      <c r="I15" s="75"/>
    </row>
    <row r="16" spans="1:9" ht="12.75" customHeight="1" x14ac:dyDescent="0.3">
      <c r="A16" s="69">
        <v>2.1</v>
      </c>
      <c r="B16" s="72" t="s">
        <v>2475</v>
      </c>
      <c r="C16" s="70" t="s">
        <v>2476</v>
      </c>
      <c r="D16" s="72" t="s">
        <v>2477</v>
      </c>
      <c r="E16" s="73">
        <v>2745</v>
      </c>
      <c r="F16" s="74">
        <v>650</v>
      </c>
      <c r="G16" s="10">
        <v>200</v>
      </c>
      <c r="H16" s="75">
        <f t="shared" ref="H16:H18" si="4">E16*F16</f>
        <v>1784250</v>
      </c>
      <c r="I16" s="75">
        <f t="shared" ref="I16:I18" si="5">E16*G16</f>
        <v>549000</v>
      </c>
    </row>
    <row r="17" spans="1:9" ht="12.75" customHeight="1" x14ac:dyDescent="0.3">
      <c r="A17" s="69">
        <v>2.2000000000000002</v>
      </c>
      <c r="B17" s="72" t="s">
        <v>2478</v>
      </c>
      <c r="C17" s="70" t="s">
        <v>2479</v>
      </c>
      <c r="D17" s="72" t="s">
        <v>2480</v>
      </c>
      <c r="E17" s="68">
        <v>43</v>
      </c>
      <c r="F17" s="74">
        <v>650</v>
      </c>
      <c r="G17" s="10">
        <v>200</v>
      </c>
      <c r="H17" s="75">
        <f t="shared" si="4"/>
        <v>27950</v>
      </c>
      <c r="I17" s="75">
        <f t="shared" si="5"/>
        <v>8600</v>
      </c>
    </row>
    <row r="18" spans="1:9" ht="12.75" customHeight="1" x14ac:dyDescent="0.3">
      <c r="A18" s="69">
        <v>2.2999999999999998</v>
      </c>
      <c r="B18" s="72" t="s">
        <v>2481</v>
      </c>
      <c r="C18" s="70" t="s">
        <v>2482</v>
      </c>
      <c r="D18" s="72" t="s">
        <v>2483</v>
      </c>
      <c r="E18" s="68">
        <v>43</v>
      </c>
      <c r="F18" s="74">
        <v>650</v>
      </c>
      <c r="G18" s="10">
        <v>200</v>
      </c>
      <c r="H18" s="75">
        <f t="shared" si="4"/>
        <v>27950</v>
      </c>
      <c r="I18" s="75">
        <f t="shared" si="5"/>
        <v>8600</v>
      </c>
    </row>
    <row r="19" spans="1:9" ht="10.5" customHeight="1" x14ac:dyDescent="0.3">
      <c r="A19" s="11"/>
      <c r="B19" s="11"/>
      <c r="C19" s="11"/>
      <c r="D19" s="11"/>
      <c r="E19" s="11"/>
      <c r="F19" s="11"/>
      <c r="G19" s="11"/>
      <c r="H19" s="75"/>
      <c r="I19" s="75"/>
    </row>
    <row r="20" spans="1:9" ht="138" customHeight="1" x14ac:dyDescent="0.3">
      <c r="A20" s="68">
        <v>3</v>
      </c>
      <c r="B20" s="76">
        <v>27.25</v>
      </c>
      <c r="C20" s="70" t="s">
        <v>2484</v>
      </c>
      <c r="D20" s="9"/>
      <c r="E20" s="9"/>
      <c r="F20" s="9"/>
      <c r="G20" s="9"/>
      <c r="H20" s="75"/>
      <c r="I20" s="75"/>
    </row>
    <row r="21" spans="1:9" ht="12.75" customHeight="1" x14ac:dyDescent="0.3">
      <c r="A21" s="10"/>
      <c r="B21" s="72" t="s">
        <v>2485</v>
      </c>
      <c r="C21" s="70" t="s">
        <v>2486</v>
      </c>
      <c r="D21" s="72" t="s">
        <v>2487</v>
      </c>
      <c r="E21" s="73">
        <v>1647</v>
      </c>
      <c r="F21" s="75">
        <v>1000</v>
      </c>
      <c r="G21" s="10">
        <v>300</v>
      </c>
      <c r="H21" s="75">
        <f>E21*F21</f>
        <v>1647000</v>
      </c>
      <c r="I21" s="75">
        <f>E21*G21</f>
        <v>494100</v>
      </c>
    </row>
    <row r="22" spans="1:9" ht="10.5" customHeight="1" x14ac:dyDescent="0.3">
      <c r="A22" s="11"/>
      <c r="B22" s="11"/>
      <c r="C22" s="11"/>
      <c r="D22" s="11"/>
      <c r="E22" s="11"/>
      <c r="F22" s="11"/>
      <c r="G22" s="11"/>
      <c r="H22" s="75"/>
      <c r="I22" s="75"/>
    </row>
    <row r="23" spans="1:9" ht="132.75" customHeight="1" x14ac:dyDescent="0.2">
      <c r="A23" s="68">
        <v>4</v>
      </c>
      <c r="B23" s="72" t="s">
        <v>2488</v>
      </c>
      <c r="C23" s="70" t="s">
        <v>2489</v>
      </c>
      <c r="D23" s="77" t="s">
        <v>2490</v>
      </c>
      <c r="E23" s="78">
        <v>50</v>
      </c>
      <c r="F23" s="9">
        <v>2500</v>
      </c>
      <c r="G23" s="79">
        <v>250</v>
      </c>
      <c r="H23" s="75">
        <f>E23*F23</f>
        <v>125000</v>
      </c>
      <c r="I23" s="75">
        <f>E23*G23</f>
        <v>12500</v>
      </c>
    </row>
    <row r="24" spans="1:9" ht="10.5" customHeight="1" x14ac:dyDescent="0.3">
      <c r="A24" s="11"/>
      <c r="B24" s="11"/>
      <c r="C24" s="11"/>
      <c r="D24" s="11"/>
      <c r="E24" s="11"/>
      <c r="F24" s="11"/>
      <c r="G24" s="11"/>
      <c r="H24" s="75"/>
      <c r="I24" s="75"/>
    </row>
    <row r="25" spans="1:9" ht="108.75" customHeight="1" x14ac:dyDescent="0.2">
      <c r="A25" s="72" t="s">
        <v>2491</v>
      </c>
      <c r="B25" s="72" t="s">
        <v>2492</v>
      </c>
      <c r="C25" s="9" t="s">
        <v>2493</v>
      </c>
      <c r="D25" s="77" t="s">
        <v>2494</v>
      </c>
      <c r="E25" s="78">
        <v>150</v>
      </c>
      <c r="F25" s="9">
        <v>2000</v>
      </c>
      <c r="G25" s="79">
        <v>500</v>
      </c>
      <c r="H25" s="75">
        <f>E25*F25</f>
        <v>300000</v>
      </c>
      <c r="I25" s="75">
        <f>E25*G25</f>
        <v>75000</v>
      </c>
    </row>
    <row r="26" spans="1:9" ht="10.5" customHeight="1" x14ac:dyDescent="0.3">
      <c r="A26" s="11"/>
      <c r="B26" s="11"/>
      <c r="C26" s="11"/>
      <c r="D26" s="11"/>
      <c r="E26" s="11"/>
      <c r="F26" s="11"/>
      <c r="G26" s="11"/>
      <c r="H26" s="75"/>
      <c r="I26" s="75"/>
    </row>
    <row r="27" spans="1:9" ht="132.75" customHeight="1" x14ac:dyDescent="0.2">
      <c r="A27" s="68">
        <v>5</v>
      </c>
      <c r="B27" s="72" t="s">
        <v>2495</v>
      </c>
      <c r="C27" s="70" t="s">
        <v>2496</v>
      </c>
      <c r="D27" s="77" t="s">
        <v>2497</v>
      </c>
      <c r="E27" s="78">
        <v>30</v>
      </c>
      <c r="F27" s="9">
        <v>36000</v>
      </c>
      <c r="G27" s="79">
        <v>1000</v>
      </c>
      <c r="H27" s="75">
        <f>E27*F27</f>
        <v>1080000</v>
      </c>
      <c r="I27" s="75">
        <f>E27*G27</f>
        <v>30000</v>
      </c>
    </row>
    <row r="28" spans="1:9" ht="10.5" customHeight="1" x14ac:dyDescent="0.3">
      <c r="A28" s="11"/>
      <c r="B28" s="11"/>
      <c r="C28" s="11"/>
      <c r="D28" s="11"/>
      <c r="E28" s="11"/>
      <c r="F28" s="11"/>
      <c r="G28" s="11"/>
      <c r="H28" s="75"/>
      <c r="I28" s="75"/>
    </row>
    <row r="29" spans="1:9" ht="48.75" customHeight="1" x14ac:dyDescent="0.2">
      <c r="A29" s="68">
        <v>6</v>
      </c>
      <c r="B29" s="72" t="s">
        <v>2498</v>
      </c>
      <c r="C29" s="9" t="s">
        <v>2499</v>
      </c>
      <c r="D29" s="77" t="s">
        <v>2500</v>
      </c>
      <c r="E29" s="78">
        <v>20</v>
      </c>
      <c r="F29" s="9">
        <v>3250</v>
      </c>
      <c r="G29" s="79">
        <v>250</v>
      </c>
      <c r="H29" s="75">
        <f>E29*F29</f>
        <v>65000</v>
      </c>
      <c r="I29" s="75">
        <f>E29*G29</f>
        <v>5000</v>
      </c>
    </row>
    <row r="30" spans="1:9" ht="31.5" customHeight="1" x14ac:dyDescent="0.3">
      <c r="A30" s="10"/>
      <c r="B30" s="10"/>
      <c r="C30" s="10"/>
      <c r="D30" s="10"/>
      <c r="E30" s="10"/>
      <c r="F30" s="10"/>
      <c r="G30" s="10"/>
      <c r="H30" s="10"/>
      <c r="I30" s="10"/>
    </row>
    <row r="31" spans="1:9" ht="12.75" customHeight="1" x14ac:dyDescent="0.3">
      <c r="A31" s="67"/>
      <c r="B31" s="67"/>
      <c r="C31" s="66" t="s">
        <v>2501</v>
      </c>
      <c r="D31" s="67"/>
      <c r="E31" s="67"/>
      <c r="F31" s="67"/>
      <c r="G31" s="10"/>
      <c r="H31" s="80">
        <f t="shared" ref="H31:I31" si="6">SUM(H3:H29)</f>
        <v>13863132</v>
      </c>
      <c r="I31" s="80">
        <f t="shared" si="6"/>
        <v>3381656</v>
      </c>
    </row>
    <row r="32" spans="1:9" ht="10.5" customHeight="1" x14ac:dyDescent="0.3">
      <c r="A32" s="11"/>
      <c r="B32" s="11"/>
      <c r="C32" s="11"/>
      <c r="D32" s="11"/>
      <c r="E32" s="11"/>
      <c r="F32" s="11"/>
      <c r="G32" s="11"/>
      <c r="H32" s="11"/>
      <c r="I32" s="11"/>
    </row>
    <row r="33" spans="1:9" ht="12.75" customHeight="1" x14ac:dyDescent="0.3">
      <c r="A33" s="228" t="s">
        <v>2502</v>
      </c>
      <c r="B33" s="221"/>
      <c r="C33" s="66" t="s">
        <v>2503</v>
      </c>
      <c r="D33" s="67"/>
      <c r="E33" s="67"/>
      <c r="F33" s="67"/>
      <c r="G33" s="10"/>
      <c r="H33" s="67"/>
      <c r="I33" s="67"/>
    </row>
    <row r="34" spans="1:9" ht="97.5" customHeight="1" x14ac:dyDescent="0.3">
      <c r="A34" s="9"/>
      <c r="B34" s="9"/>
      <c r="C34" s="70" t="s">
        <v>2504</v>
      </c>
      <c r="D34" s="9"/>
      <c r="E34" s="9"/>
      <c r="F34" s="9"/>
      <c r="G34" s="9"/>
      <c r="H34" s="9"/>
      <c r="I34" s="9"/>
    </row>
    <row r="35" spans="1:9" ht="10.5" customHeight="1" x14ac:dyDescent="0.3">
      <c r="A35" s="11"/>
      <c r="B35" s="11"/>
      <c r="C35" s="11"/>
      <c r="D35" s="11"/>
      <c r="E35" s="11"/>
      <c r="F35" s="11"/>
      <c r="G35" s="11"/>
      <c r="H35" s="11"/>
      <c r="I35" s="11"/>
    </row>
    <row r="36" spans="1:9" ht="74.25" customHeight="1" x14ac:dyDescent="0.3">
      <c r="A36" s="9"/>
      <c r="B36" s="9"/>
      <c r="C36" s="70" t="s">
        <v>2505</v>
      </c>
      <c r="D36" s="9"/>
      <c r="E36" s="9"/>
      <c r="F36" s="9"/>
      <c r="G36" s="9"/>
      <c r="H36" s="9"/>
      <c r="I36" s="9"/>
    </row>
    <row r="37" spans="1:9" ht="10.5" customHeight="1" x14ac:dyDescent="0.3">
      <c r="A37" s="11"/>
      <c r="B37" s="11"/>
      <c r="C37" s="11"/>
      <c r="D37" s="11"/>
      <c r="E37" s="11"/>
      <c r="F37" s="11"/>
      <c r="G37" s="11"/>
      <c r="H37" s="11"/>
      <c r="I37" s="11"/>
    </row>
    <row r="38" spans="1:9" ht="84.75" customHeight="1" x14ac:dyDescent="0.2">
      <c r="A38" s="68">
        <v>1</v>
      </c>
      <c r="B38" s="72" t="s">
        <v>2506</v>
      </c>
      <c r="C38" s="70" t="s">
        <v>2507</v>
      </c>
      <c r="D38" s="77" t="s">
        <v>2508</v>
      </c>
      <c r="E38" s="78">
        <v>50</v>
      </c>
      <c r="F38" s="9"/>
      <c r="G38" s="79"/>
      <c r="H38" s="9"/>
      <c r="I38" s="79"/>
    </row>
    <row r="39" spans="1:9" ht="84.75" customHeight="1" x14ac:dyDescent="0.2">
      <c r="A39" s="68">
        <v>2</v>
      </c>
      <c r="B39" s="72" t="s">
        <v>2509</v>
      </c>
      <c r="C39" s="70" t="s">
        <v>2510</v>
      </c>
      <c r="D39" s="77" t="s">
        <v>2511</v>
      </c>
      <c r="E39" s="78">
        <v>1</v>
      </c>
      <c r="F39" s="9"/>
      <c r="G39" s="79"/>
      <c r="H39" s="9"/>
      <c r="I39" s="79"/>
    </row>
    <row r="40" spans="1:9" ht="84.75" customHeight="1" x14ac:dyDescent="0.2">
      <c r="A40" s="68">
        <v>3</v>
      </c>
      <c r="B40" s="72" t="s">
        <v>2512</v>
      </c>
      <c r="C40" s="70" t="s">
        <v>2513</v>
      </c>
      <c r="D40" s="77" t="s">
        <v>2514</v>
      </c>
      <c r="E40" s="78">
        <v>0</v>
      </c>
      <c r="F40" s="9"/>
      <c r="G40" s="79"/>
      <c r="H40" s="9"/>
      <c r="I40" s="9"/>
    </row>
    <row r="41" spans="1:9" ht="84.75" customHeight="1" x14ac:dyDescent="0.2">
      <c r="A41" s="68">
        <v>4</v>
      </c>
      <c r="B41" s="72" t="s">
        <v>2515</v>
      </c>
      <c r="C41" s="70" t="s">
        <v>2516</v>
      </c>
      <c r="D41" s="77" t="s">
        <v>2517</v>
      </c>
      <c r="E41" s="78">
        <v>0</v>
      </c>
      <c r="F41" s="9"/>
      <c r="G41" s="79"/>
      <c r="H41" s="9"/>
      <c r="I41" s="9"/>
    </row>
    <row r="42" spans="1:9" ht="72.75" customHeight="1" x14ac:dyDescent="0.2">
      <c r="A42" s="68">
        <v>5</v>
      </c>
      <c r="B42" s="72" t="s">
        <v>2518</v>
      </c>
      <c r="C42" s="70" t="s">
        <v>2519</v>
      </c>
      <c r="D42" s="77" t="s">
        <v>2520</v>
      </c>
      <c r="E42" s="78">
        <v>253</v>
      </c>
      <c r="F42" s="9"/>
      <c r="G42" s="81"/>
      <c r="H42" s="9"/>
      <c r="I42" s="79"/>
    </row>
    <row r="43" spans="1:9" ht="36.75" customHeight="1" x14ac:dyDescent="0.3">
      <c r="A43" s="68">
        <v>6</v>
      </c>
      <c r="B43" s="72" t="s">
        <v>2521</v>
      </c>
      <c r="C43" s="70" t="s">
        <v>2522</v>
      </c>
      <c r="D43" s="82" t="s">
        <v>2523</v>
      </c>
      <c r="E43" s="83">
        <v>51</v>
      </c>
      <c r="F43" s="9"/>
      <c r="G43" s="84"/>
      <c r="H43" s="9"/>
      <c r="I43" s="84"/>
    </row>
    <row r="44" spans="1:9" ht="96.75" customHeight="1" x14ac:dyDescent="0.2">
      <c r="A44" s="68">
        <v>7</v>
      </c>
      <c r="B44" s="72" t="s">
        <v>2524</v>
      </c>
      <c r="C44" s="9" t="s">
        <v>2525</v>
      </c>
      <c r="D44" s="77" t="s">
        <v>2526</v>
      </c>
      <c r="E44" s="78">
        <v>51</v>
      </c>
      <c r="F44" s="9"/>
      <c r="G44" s="79"/>
      <c r="H44" s="9"/>
      <c r="I44" s="79"/>
    </row>
    <row r="45" spans="1:9" ht="36.75" customHeight="1" x14ac:dyDescent="0.3">
      <c r="A45" s="68">
        <v>8</v>
      </c>
      <c r="B45" s="72" t="s">
        <v>2527</v>
      </c>
      <c r="C45" s="70" t="s">
        <v>2528</v>
      </c>
      <c r="D45" s="82" t="s">
        <v>2529</v>
      </c>
      <c r="E45" s="83">
        <v>10</v>
      </c>
      <c r="F45" s="9"/>
      <c r="G45" s="84"/>
      <c r="H45" s="9"/>
      <c r="I45" s="84"/>
    </row>
    <row r="46" spans="1:9" ht="48.75" customHeight="1" x14ac:dyDescent="0.2">
      <c r="A46" s="68">
        <v>9</v>
      </c>
      <c r="B46" s="72" t="s">
        <v>2530</v>
      </c>
      <c r="C46" s="70" t="s">
        <v>2531</v>
      </c>
      <c r="D46" s="77" t="s">
        <v>2532</v>
      </c>
      <c r="E46" s="78">
        <v>10</v>
      </c>
      <c r="F46" s="9"/>
      <c r="G46" s="81"/>
      <c r="H46" s="9"/>
      <c r="I46" s="79"/>
    </row>
    <row r="47" spans="1:9" ht="96.75" customHeight="1" x14ac:dyDescent="0.2">
      <c r="A47" s="68">
        <v>10</v>
      </c>
      <c r="B47" s="72" t="s">
        <v>2533</v>
      </c>
      <c r="C47" s="70" t="s">
        <v>2534</v>
      </c>
      <c r="D47" s="77" t="s">
        <v>2535</v>
      </c>
      <c r="E47" s="78">
        <v>51</v>
      </c>
      <c r="F47" s="9"/>
      <c r="G47" s="79"/>
      <c r="H47" s="9"/>
      <c r="I47" s="79"/>
    </row>
    <row r="48" spans="1:9" ht="10.5" customHeight="1" x14ac:dyDescent="0.3">
      <c r="A48" s="11"/>
      <c r="B48" s="11"/>
      <c r="C48" s="11"/>
      <c r="D48" s="11"/>
      <c r="E48" s="11"/>
      <c r="F48" s="11"/>
      <c r="G48" s="11"/>
      <c r="H48" s="11"/>
      <c r="I48" s="11"/>
    </row>
    <row r="49" spans="1:9" ht="74.25" customHeight="1" x14ac:dyDescent="0.3">
      <c r="A49" s="9"/>
      <c r="B49" s="9"/>
      <c r="C49" s="9" t="s">
        <v>2536</v>
      </c>
      <c r="D49" s="9"/>
      <c r="E49" s="9"/>
      <c r="F49" s="9"/>
      <c r="G49" s="9"/>
      <c r="H49" s="9"/>
      <c r="I49" s="9"/>
    </row>
    <row r="50" spans="1:9" ht="12.75" customHeight="1" x14ac:dyDescent="0.3">
      <c r="A50" s="67"/>
      <c r="B50" s="67"/>
      <c r="C50" s="66" t="s">
        <v>2537</v>
      </c>
      <c r="D50" s="67"/>
      <c r="E50" s="67"/>
      <c r="F50" s="67"/>
      <c r="G50" s="10"/>
      <c r="H50" s="85"/>
      <c r="I50" s="86"/>
    </row>
    <row r="51" spans="1:9" ht="10.5" customHeight="1" x14ac:dyDescent="0.3">
      <c r="A51" s="11"/>
      <c r="B51" s="11"/>
      <c r="C51" s="11"/>
      <c r="D51" s="11"/>
      <c r="E51" s="11"/>
      <c r="F51" s="11"/>
      <c r="G51" s="11"/>
      <c r="H51" s="11"/>
      <c r="I51" s="11"/>
    </row>
    <row r="52" spans="1:9" ht="31.5" customHeight="1" x14ac:dyDescent="0.3">
      <c r="A52" s="228" t="s">
        <v>2538</v>
      </c>
      <c r="B52" s="221"/>
      <c r="C52" s="66" t="s">
        <v>2539</v>
      </c>
      <c r="D52" s="67"/>
      <c r="E52" s="67"/>
      <c r="F52" s="67"/>
      <c r="G52" s="10"/>
      <c r="H52" s="67"/>
      <c r="I52" s="67"/>
    </row>
    <row r="53" spans="1:9" ht="25.5" customHeight="1" x14ac:dyDescent="0.3">
      <c r="A53" s="10"/>
      <c r="B53" s="10"/>
      <c r="C53" s="9" t="s">
        <v>2540</v>
      </c>
      <c r="D53" s="10"/>
      <c r="E53" s="10"/>
      <c r="F53" s="10"/>
      <c r="G53" s="10"/>
      <c r="H53" s="10"/>
      <c r="I53" s="10"/>
    </row>
    <row r="54" spans="1:9" ht="25.5" customHeight="1" x14ac:dyDescent="0.3">
      <c r="A54" s="87">
        <v>1</v>
      </c>
      <c r="B54" s="10"/>
      <c r="C54" s="9" t="s">
        <v>2541</v>
      </c>
      <c r="D54" s="10"/>
      <c r="E54" s="10"/>
      <c r="F54" s="10"/>
      <c r="G54" s="10"/>
      <c r="H54" s="10"/>
      <c r="I54" s="10"/>
    </row>
    <row r="55" spans="1:9" ht="48.75" customHeight="1" x14ac:dyDescent="0.2">
      <c r="A55" s="69">
        <v>1.1000000000000001</v>
      </c>
      <c r="B55" s="72" t="s">
        <v>2542</v>
      </c>
      <c r="C55" s="9" t="s">
        <v>2543</v>
      </c>
      <c r="D55" s="77" t="s">
        <v>2544</v>
      </c>
      <c r="E55" s="78">
        <v>16</v>
      </c>
      <c r="F55" s="9"/>
      <c r="G55" s="79"/>
      <c r="H55" s="9"/>
      <c r="I55" s="79"/>
    </row>
    <row r="56" spans="1:9" ht="25.5" customHeight="1" x14ac:dyDescent="0.3">
      <c r="A56" s="69">
        <v>1.2</v>
      </c>
      <c r="B56" s="72" t="s">
        <v>2545</v>
      </c>
      <c r="C56" s="9" t="s">
        <v>2546</v>
      </c>
      <c r="D56" s="82" t="s">
        <v>2547</v>
      </c>
      <c r="E56" s="83">
        <v>16</v>
      </c>
      <c r="F56" s="10"/>
      <c r="G56" s="84"/>
      <c r="H56" s="10"/>
      <c r="I56" s="84"/>
    </row>
    <row r="57" spans="1:9" ht="12.75" customHeight="1" x14ac:dyDescent="0.3">
      <c r="A57" s="69">
        <v>1.3</v>
      </c>
      <c r="B57" s="72" t="s">
        <v>2548</v>
      </c>
      <c r="C57" s="70" t="s">
        <v>2549</v>
      </c>
      <c r="D57" s="72" t="s">
        <v>2550</v>
      </c>
      <c r="E57" s="68">
        <v>16</v>
      </c>
      <c r="F57" s="10"/>
      <c r="G57" s="75"/>
      <c r="H57" s="10"/>
      <c r="I57" s="75"/>
    </row>
    <row r="58" spans="1:9" ht="12.75" customHeight="1" x14ac:dyDescent="0.3">
      <c r="A58" s="69">
        <v>1.4</v>
      </c>
      <c r="B58" s="72" t="s">
        <v>2551</v>
      </c>
      <c r="C58" s="70" t="s">
        <v>2552</v>
      </c>
      <c r="D58" s="72" t="s">
        <v>2553</v>
      </c>
      <c r="E58" s="68">
        <v>16</v>
      </c>
      <c r="F58" s="10"/>
      <c r="G58" s="75"/>
      <c r="H58" s="10"/>
      <c r="I58" s="75"/>
    </row>
    <row r="59" spans="1:9" ht="12.75" customHeight="1" x14ac:dyDescent="0.3">
      <c r="A59" s="87">
        <v>2</v>
      </c>
      <c r="B59" s="72" t="s">
        <v>2554</v>
      </c>
      <c r="C59" s="88" t="s">
        <v>2555</v>
      </c>
      <c r="D59" s="10"/>
      <c r="E59" s="10"/>
      <c r="F59" s="10"/>
      <c r="G59" s="10"/>
      <c r="H59" s="10"/>
      <c r="I59" s="10"/>
    </row>
    <row r="60" spans="1:9" ht="12.75" customHeight="1" x14ac:dyDescent="0.3">
      <c r="A60" s="69">
        <v>2.1</v>
      </c>
      <c r="B60" s="72" t="s">
        <v>2556</v>
      </c>
      <c r="C60" s="70" t="s">
        <v>2557</v>
      </c>
      <c r="D60" s="72" t="s">
        <v>2558</v>
      </c>
      <c r="E60" s="68">
        <v>16</v>
      </c>
      <c r="F60" s="10"/>
      <c r="G60" s="75"/>
      <c r="H60" s="10"/>
      <c r="I60" s="75"/>
    </row>
    <row r="61" spans="1:9" ht="12.75" customHeight="1" x14ac:dyDescent="0.3">
      <c r="A61" s="69">
        <v>2.2000000000000002</v>
      </c>
      <c r="B61" s="72" t="s">
        <v>2559</v>
      </c>
      <c r="C61" s="70" t="s">
        <v>2560</v>
      </c>
      <c r="D61" s="72" t="s">
        <v>2561</v>
      </c>
      <c r="E61" s="68">
        <v>16</v>
      </c>
      <c r="F61" s="10"/>
      <c r="G61" s="75"/>
      <c r="H61" s="10"/>
      <c r="I61" s="75"/>
    </row>
    <row r="62" spans="1:9" ht="25.5" customHeight="1" x14ac:dyDescent="0.3">
      <c r="A62" s="87">
        <v>3</v>
      </c>
      <c r="B62" s="10"/>
      <c r="C62" s="9" t="s">
        <v>2562</v>
      </c>
      <c r="D62" s="10"/>
      <c r="E62" s="10"/>
      <c r="F62" s="10"/>
      <c r="G62" s="10"/>
      <c r="H62" s="10"/>
      <c r="I62" s="10"/>
    </row>
    <row r="63" spans="1:9" ht="12.75" customHeight="1" x14ac:dyDescent="0.3">
      <c r="A63" s="69">
        <v>3.1</v>
      </c>
      <c r="B63" s="72" t="s">
        <v>2563</v>
      </c>
      <c r="C63" s="70" t="s">
        <v>2564</v>
      </c>
      <c r="D63" s="72" t="s">
        <v>2565</v>
      </c>
      <c r="E63" s="68">
        <v>8</v>
      </c>
      <c r="F63" s="10"/>
      <c r="G63" s="75"/>
      <c r="H63" s="10"/>
      <c r="I63" s="75"/>
    </row>
    <row r="64" spans="1:9" ht="12.75" customHeight="1" x14ac:dyDescent="0.3">
      <c r="A64" s="69">
        <v>3.2</v>
      </c>
      <c r="B64" s="72" t="s">
        <v>2566</v>
      </c>
      <c r="C64" s="70" t="s">
        <v>2567</v>
      </c>
      <c r="D64" s="72" t="s">
        <v>2568</v>
      </c>
      <c r="E64" s="68">
        <v>8</v>
      </c>
      <c r="F64" s="10"/>
      <c r="G64" s="75"/>
      <c r="H64" s="10"/>
      <c r="I64" s="75"/>
    </row>
    <row r="65" spans="1:9" ht="12.75" customHeight="1" x14ac:dyDescent="0.3">
      <c r="A65" s="69">
        <v>3.3</v>
      </c>
      <c r="B65" s="72" t="s">
        <v>2569</v>
      </c>
      <c r="C65" s="70" t="s">
        <v>2570</v>
      </c>
      <c r="D65" s="72" t="s">
        <v>2571</v>
      </c>
      <c r="E65" s="68">
        <v>8</v>
      </c>
      <c r="F65" s="10"/>
      <c r="G65" s="75"/>
      <c r="H65" s="10"/>
      <c r="I65" s="75"/>
    </row>
    <row r="66" spans="1:9" ht="12.75" customHeight="1" x14ac:dyDescent="0.3">
      <c r="A66" s="69">
        <v>3.4</v>
      </c>
      <c r="B66" s="72" t="s">
        <v>2572</v>
      </c>
      <c r="C66" s="70" t="s">
        <v>2573</v>
      </c>
      <c r="D66" s="72" t="s">
        <v>2574</v>
      </c>
      <c r="E66" s="68">
        <v>8</v>
      </c>
      <c r="F66" s="10"/>
      <c r="G66" s="75"/>
      <c r="H66" s="10"/>
      <c r="I66" s="75"/>
    </row>
    <row r="67" spans="1:9" ht="12.75" customHeight="1" x14ac:dyDescent="0.3">
      <c r="A67" s="69">
        <v>3.5</v>
      </c>
      <c r="B67" s="72" t="s">
        <v>2575</v>
      </c>
      <c r="C67" s="70" t="s">
        <v>2576</v>
      </c>
      <c r="D67" s="72" t="s">
        <v>2577</v>
      </c>
      <c r="E67" s="68">
        <v>8</v>
      </c>
      <c r="F67" s="10"/>
      <c r="G67" s="75"/>
      <c r="H67" s="10"/>
      <c r="I67" s="75"/>
    </row>
    <row r="68" spans="1:9" ht="25.5" customHeight="1" x14ac:dyDescent="0.3">
      <c r="A68" s="69">
        <v>3.6</v>
      </c>
      <c r="B68" s="72" t="s">
        <v>2578</v>
      </c>
      <c r="C68" s="9" t="s">
        <v>2579</v>
      </c>
      <c r="D68" s="82" t="s">
        <v>2580</v>
      </c>
      <c r="E68" s="83">
        <v>8</v>
      </c>
      <c r="F68" s="10"/>
      <c r="G68" s="84"/>
      <c r="H68" s="10"/>
      <c r="I68" s="84"/>
    </row>
    <row r="69" spans="1:9" ht="12.75" customHeight="1" x14ac:dyDescent="0.3">
      <c r="A69" s="69">
        <v>3.7</v>
      </c>
      <c r="B69" s="72" t="s">
        <v>2581</v>
      </c>
      <c r="C69" s="70" t="s">
        <v>2582</v>
      </c>
      <c r="D69" s="72" t="s">
        <v>2583</v>
      </c>
      <c r="E69" s="68">
        <v>8</v>
      </c>
      <c r="F69" s="10"/>
      <c r="G69" s="75"/>
      <c r="H69" s="10"/>
      <c r="I69" s="75"/>
    </row>
    <row r="70" spans="1:9" ht="12.75" customHeight="1" x14ac:dyDescent="0.3">
      <c r="A70" s="69">
        <v>3.8</v>
      </c>
      <c r="B70" s="72" t="s">
        <v>2584</v>
      </c>
      <c r="C70" s="70" t="s">
        <v>2585</v>
      </c>
      <c r="D70" s="72" t="s">
        <v>2586</v>
      </c>
      <c r="E70" s="68">
        <v>8</v>
      </c>
      <c r="F70" s="10"/>
      <c r="G70" s="75"/>
      <c r="H70" s="10"/>
      <c r="I70" s="75"/>
    </row>
    <row r="71" spans="1:9" ht="12.75" customHeight="1" x14ac:dyDescent="0.3">
      <c r="A71" s="69">
        <v>3.9</v>
      </c>
      <c r="B71" s="72" t="s">
        <v>2587</v>
      </c>
      <c r="C71" s="70" t="s">
        <v>2588</v>
      </c>
      <c r="D71" s="72" t="s">
        <v>2589</v>
      </c>
      <c r="E71" s="68">
        <v>8</v>
      </c>
      <c r="F71" s="10"/>
      <c r="G71" s="75"/>
      <c r="H71" s="10"/>
      <c r="I71" s="75"/>
    </row>
    <row r="72" spans="1:9" ht="12.75" customHeight="1" x14ac:dyDescent="0.3">
      <c r="A72" s="87">
        <v>4</v>
      </c>
      <c r="B72" s="10"/>
      <c r="C72" s="88" t="s">
        <v>2590</v>
      </c>
      <c r="D72" s="10"/>
      <c r="E72" s="10"/>
      <c r="F72" s="10"/>
      <c r="G72" s="10"/>
      <c r="H72" s="10"/>
      <c r="I72" s="10"/>
    </row>
    <row r="73" spans="1:9" ht="12.75" customHeight="1" x14ac:dyDescent="0.3">
      <c r="A73" s="69">
        <v>4.0999999999999996</v>
      </c>
      <c r="B73" s="72" t="s">
        <v>2591</v>
      </c>
      <c r="C73" s="70" t="s">
        <v>2592</v>
      </c>
      <c r="D73" s="72" t="s">
        <v>2593</v>
      </c>
      <c r="E73" s="68">
        <v>3</v>
      </c>
      <c r="F73" s="10"/>
      <c r="G73" s="75"/>
      <c r="H73" s="10"/>
      <c r="I73" s="75"/>
    </row>
    <row r="74" spans="1:9" ht="12.75" customHeight="1" x14ac:dyDescent="0.3">
      <c r="A74" s="69">
        <v>4.2</v>
      </c>
      <c r="B74" s="72" t="s">
        <v>2594</v>
      </c>
      <c r="C74" s="70" t="s">
        <v>2595</v>
      </c>
      <c r="D74" s="72" t="s">
        <v>2596</v>
      </c>
      <c r="E74" s="68">
        <v>3</v>
      </c>
      <c r="F74" s="10"/>
      <c r="G74" s="75"/>
      <c r="H74" s="10"/>
      <c r="I74" s="75"/>
    </row>
    <row r="75" spans="1:9" ht="25.5" customHeight="1" x14ac:dyDescent="0.3">
      <c r="A75" s="69">
        <v>4.3</v>
      </c>
      <c r="B75" s="72" t="s">
        <v>2597</v>
      </c>
      <c r="C75" s="9" t="s">
        <v>2598</v>
      </c>
      <c r="D75" s="82" t="s">
        <v>2599</v>
      </c>
      <c r="E75" s="83">
        <v>3</v>
      </c>
      <c r="F75" s="10"/>
      <c r="G75" s="84"/>
      <c r="H75" s="10"/>
      <c r="I75" s="84"/>
    </row>
    <row r="76" spans="1:9" ht="12.75" customHeight="1" x14ac:dyDescent="0.3">
      <c r="A76" s="69">
        <v>4.4000000000000004</v>
      </c>
      <c r="B76" s="72" t="s">
        <v>2600</v>
      </c>
      <c r="C76" s="88" t="s">
        <v>2601</v>
      </c>
      <c r="D76" s="10"/>
      <c r="E76" s="10"/>
      <c r="F76" s="10"/>
      <c r="G76" s="10"/>
      <c r="H76" s="10"/>
      <c r="I76" s="10"/>
    </row>
    <row r="77" spans="1:9" ht="12.75" customHeight="1" x14ac:dyDescent="0.3">
      <c r="A77" s="69">
        <v>4.5</v>
      </c>
      <c r="B77" s="72" t="s">
        <v>2602</v>
      </c>
      <c r="C77" s="70" t="s">
        <v>2603</v>
      </c>
      <c r="D77" s="72" t="s">
        <v>2604</v>
      </c>
      <c r="E77" s="68">
        <v>21</v>
      </c>
      <c r="F77" s="10"/>
      <c r="G77" s="75"/>
      <c r="H77" s="10"/>
      <c r="I77" s="75"/>
    </row>
    <row r="78" spans="1:9" ht="25.5" customHeight="1" x14ac:dyDescent="0.3">
      <c r="A78" s="69">
        <v>4.5999999999999996</v>
      </c>
      <c r="B78" s="72" t="s">
        <v>2605</v>
      </c>
      <c r="C78" s="9" t="s">
        <v>2606</v>
      </c>
      <c r="D78" s="82" t="s">
        <v>2607</v>
      </c>
      <c r="E78" s="83">
        <v>20</v>
      </c>
      <c r="F78" s="10"/>
      <c r="G78" s="84"/>
      <c r="H78" s="10"/>
      <c r="I78" s="84"/>
    </row>
    <row r="79" spans="1:9" ht="12.75" customHeight="1" x14ac:dyDescent="0.3">
      <c r="A79" s="87">
        <v>5</v>
      </c>
      <c r="B79" s="10"/>
      <c r="C79" s="88" t="s">
        <v>2608</v>
      </c>
      <c r="D79" s="10"/>
      <c r="E79" s="10"/>
      <c r="F79" s="10"/>
      <c r="G79" s="10"/>
      <c r="H79" s="10"/>
      <c r="I79" s="10"/>
    </row>
    <row r="80" spans="1:9" ht="24.75" customHeight="1" x14ac:dyDescent="0.3">
      <c r="A80" s="69">
        <v>5.0999999999999996</v>
      </c>
      <c r="B80" s="72" t="s">
        <v>2609</v>
      </c>
      <c r="C80" s="70" t="s">
        <v>2610</v>
      </c>
      <c r="D80" s="82" t="s">
        <v>2611</v>
      </c>
      <c r="E80" s="83">
        <v>3</v>
      </c>
      <c r="F80" s="10"/>
      <c r="G80" s="84"/>
      <c r="H80" s="10"/>
      <c r="I80" s="84"/>
    </row>
    <row r="81" spans="1:9" ht="24.75" customHeight="1" x14ac:dyDescent="0.3">
      <c r="A81" s="69">
        <v>5.2</v>
      </c>
      <c r="B81" s="72" t="s">
        <v>2612</v>
      </c>
      <c r="C81" s="70" t="s">
        <v>2613</v>
      </c>
      <c r="D81" s="82" t="s">
        <v>2614</v>
      </c>
      <c r="E81" s="83">
        <v>3</v>
      </c>
      <c r="F81" s="10"/>
      <c r="G81" s="84"/>
      <c r="H81" s="10"/>
      <c r="I81" s="84"/>
    </row>
    <row r="82" spans="1:9" ht="12.75" customHeight="1" x14ac:dyDescent="0.3">
      <c r="A82" s="87">
        <v>6</v>
      </c>
      <c r="B82" s="10"/>
      <c r="C82" s="88" t="s">
        <v>2615</v>
      </c>
      <c r="D82" s="10"/>
      <c r="E82" s="10"/>
      <c r="F82" s="10"/>
      <c r="G82" s="10"/>
      <c r="H82" s="10"/>
      <c r="I82" s="10"/>
    </row>
    <row r="83" spans="1:9" ht="25.5" customHeight="1" x14ac:dyDescent="0.3">
      <c r="A83" s="69">
        <v>6.1</v>
      </c>
      <c r="B83" s="72" t="s">
        <v>2616</v>
      </c>
      <c r="C83" s="9" t="s">
        <v>2617</v>
      </c>
      <c r="D83" s="82" t="s">
        <v>2618</v>
      </c>
      <c r="E83" s="83">
        <v>3</v>
      </c>
      <c r="F83" s="10"/>
      <c r="G83" s="84"/>
      <c r="H83" s="10"/>
      <c r="I83" s="84"/>
    </row>
    <row r="84" spans="1:9" ht="12.75" customHeight="1" x14ac:dyDescent="0.3">
      <c r="A84" s="87">
        <v>7</v>
      </c>
      <c r="B84" s="10"/>
      <c r="C84" s="88" t="s">
        <v>2619</v>
      </c>
      <c r="D84" s="10"/>
      <c r="E84" s="10"/>
      <c r="F84" s="10"/>
      <c r="G84" s="10"/>
      <c r="H84" s="10"/>
      <c r="I84" s="10"/>
    </row>
    <row r="85" spans="1:9" ht="25.5" customHeight="1" x14ac:dyDescent="0.3">
      <c r="A85" s="69">
        <v>7.1</v>
      </c>
      <c r="B85" s="72" t="s">
        <v>2620</v>
      </c>
      <c r="C85" s="9" t="s">
        <v>2621</v>
      </c>
      <c r="D85" s="82" t="s">
        <v>2622</v>
      </c>
      <c r="E85" s="83">
        <v>3</v>
      </c>
      <c r="F85" s="10"/>
      <c r="G85" s="84"/>
      <c r="H85" s="10"/>
      <c r="I85" s="84"/>
    </row>
    <row r="86" spans="1:9" ht="24.75" customHeight="1" x14ac:dyDescent="0.3">
      <c r="A86" s="69">
        <v>7.2</v>
      </c>
      <c r="B86" s="72" t="s">
        <v>2623</v>
      </c>
      <c r="C86" s="70" t="s">
        <v>2624</v>
      </c>
      <c r="D86" s="82" t="s">
        <v>2625</v>
      </c>
      <c r="E86" s="83">
        <v>3</v>
      </c>
      <c r="F86" s="10"/>
      <c r="G86" s="84"/>
      <c r="H86" s="10"/>
      <c r="I86" s="84"/>
    </row>
    <row r="87" spans="1:9" ht="12.75" customHeight="1" x14ac:dyDescent="0.3">
      <c r="A87" s="69">
        <v>7.3</v>
      </c>
      <c r="B87" s="72" t="s">
        <v>2626</v>
      </c>
      <c r="C87" s="70" t="s">
        <v>2627</v>
      </c>
      <c r="D87" s="72" t="s">
        <v>2628</v>
      </c>
      <c r="E87" s="68">
        <v>3</v>
      </c>
      <c r="F87" s="10"/>
      <c r="G87" s="75"/>
      <c r="H87" s="10"/>
      <c r="I87" s="75"/>
    </row>
    <row r="88" spans="1:9" ht="12.75" customHeight="1" x14ac:dyDescent="0.3">
      <c r="A88" s="69">
        <v>7.4</v>
      </c>
      <c r="B88" s="72" t="s">
        <v>2629</v>
      </c>
      <c r="C88" s="70" t="s">
        <v>2630</v>
      </c>
      <c r="D88" s="72" t="s">
        <v>2631</v>
      </c>
      <c r="E88" s="68">
        <v>3</v>
      </c>
      <c r="F88" s="10"/>
      <c r="G88" s="75"/>
      <c r="H88" s="10"/>
      <c r="I88" s="75"/>
    </row>
    <row r="89" spans="1:9" ht="12.75" customHeight="1" x14ac:dyDescent="0.3">
      <c r="A89" s="69">
        <v>7.5</v>
      </c>
      <c r="B89" s="72" t="s">
        <v>2632</v>
      </c>
      <c r="C89" s="70" t="s">
        <v>2633</v>
      </c>
      <c r="D89" s="72" t="s">
        <v>2634</v>
      </c>
      <c r="E89" s="68">
        <v>3</v>
      </c>
      <c r="F89" s="10"/>
      <c r="G89" s="75"/>
      <c r="H89" s="10"/>
      <c r="I89" s="75"/>
    </row>
    <row r="90" spans="1:9" ht="12.75" customHeight="1" x14ac:dyDescent="0.3">
      <c r="A90" s="69">
        <v>7.6</v>
      </c>
      <c r="B90" s="72" t="s">
        <v>2635</v>
      </c>
      <c r="C90" s="70" t="s">
        <v>2636</v>
      </c>
      <c r="D90" s="72" t="s">
        <v>2637</v>
      </c>
      <c r="E90" s="68">
        <v>3</v>
      </c>
      <c r="F90" s="10"/>
      <c r="G90" s="75"/>
      <c r="H90" s="10"/>
      <c r="I90" s="75"/>
    </row>
    <row r="91" spans="1:9" ht="12.75" customHeight="1" x14ac:dyDescent="0.3">
      <c r="A91" s="69">
        <v>7.7</v>
      </c>
      <c r="B91" s="72" t="s">
        <v>2638</v>
      </c>
      <c r="C91" s="70" t="s">
        <v>2639</v>
      </c>
      <c r="D91" s="72" t="s">
        <v>2640</v>
      </c>
      <c r="E91" s="68">
        <v>3</v>
      </c>
      <c r="F91" s="10"/>
      <c r="G91" s="74"/>
      <c r="H91" s="10"/>
      <c r="I91" s="74"/>
    </row>
    <row r="92" spans="1:9" ht="12.75" customHeight="1" x14ac:dyDescent="0.3">
      <c r="A92" s="69">
        <v>7.8</v>
      </c>
      <c r="B92" s="72" t="s">
        <v>2641</v>
      </c>
      <c r="C92" s="70" t="s">
        <v>2642</v>
      </c>
      <c r="D92" s="72" t="s">
        <v>2643</v>
      </c>
      <c r="E92" s="68">
        <v>3</v>
      </c>
      <c r="F92" s="10"/>
      <c r="G92" s="75"/>
      <c r="H92" s="10"/>
      <c r="I92" s="75"/>
    </row>
    <row r="93" spans="1:9" ht="12.75" customHeight="1" x14ac:dyDescent="0.3">
      <c r="A93" s="69">
        <v>7.9</v>
      </c>
      <c r="B93" s="72" t="s">
        <v>2644</v>
      </c>
      <c r="C93" s="70" t="s">
        <v>2645</v>
      </c>
      <c r="D93" s="72" t="s">
        <v>2646</v>
      </c>
      <c r="E93" s="68">
        <v>3</v>
      </c>
      <c r="F93" s="10"/>
      <c r="G93" s="75"/>
      <c r="H93" s="10"/>
      <c r="I93" s="75"/>
    </row>
    <row r="94" spans="1:9" ht="12.75" customHeight="1" x14ac:dyDescent="0.3">
      <c r="A94" s="76">
        <v>7.1</v>
      </c>
      <c r="B94" s="72" t="s">
        <v>2647</v>
      </c>
      <c r="C94" s="70" t="s">
        <v>2648</v>
      </c>
      <c r="D94" s="72" t="s">
        <v>2649</v>
      </c>
      <c r="E94" s="68">
        <v>3</v>
      </c>
      <c r="F94" s="10"/>
      <c r="G94" s="75"/>
      <c r="H94" s="10"/>
      <c r="I94" s="75"/>
    </row>
    <row r="95" spans="1:9" ht="12.75" customHeight="1" x14ac:dyDescent="0.3">
      <c r="A95" s="76">
        <v>7.11</v>
      </c>
      <c r="B95" s="72" t="s">
        <v>2650</v>
      </c>
      <c r="C95" s="70" t="s">
        <v>2651</v>
      </c>
      <c r="D95" s="72" t="s">
        <v>2652</v>
      </c>
      <c r="E95" s="68">
        <v>3</v>
      </c>
      <c r="F95" s="10"/>
      <c r="G95" s="75"/>
      <c r="H95" s="10"/>
      <c r="I95" s="75"/>
    </row>
    <row r="96" spans="1:9" ht="31.5" customHeight="1" x14ac:dyDescent="0.3">
      <c r="A96" s="10"/>
      <c r="B96" s="10"/>
      <c r="C96" s="10"/>
      <c r="D96" s="10"/>
      <c r="E96" s="10"/>
      <c r="F96" s="10"/>
      <c r="G96" s="10"/>
      <c r="H96" s="10"/>
      <c r="I96" s="10"/>
    </row>
    <row r="97" spans="1:9" ht="12.75" customHeight="1" x14ac:dyDescent="0.3">
      <c r="A97" s="67"/>
      <c r="B97" s="67"/>
      <c r="C97" s="66" t="s">
        <v>2653</v>
      </c>
      <c r="D97" s="67"/>
      <c r="E97" s="67"/>
      <c r="F97" s="67"/>
      <c r="G97" s="10"/>
      <c r="H97" s="85"/>
      <c r="I97" s="86"/>
    </row>
    <row r="98" spans="1:9" ht="10.5" customHeight="1" x14ac:dyDescent="0.3">
      <c r="A98" s="11"/>
      <c r="B98" s="11"/>
      <c r="C98" s="11"/>
      <c r="D98" s="11"/>
      <c r="E98" s="11"/>
      <c r="F98" s="11"/>
      <c r="G98" s="11"/>
      <c r="H98" s="11"/>
      <c r="I98" s="11"/>
    </row>
    <row r="99" spans="1:9" ht="12.75" customHeight="1" x14ac:dyDescent="0.3">
      <c r="A99" s="228" t="s">
        <v>2654</v>
      </c>
      <c r="B99" s="221"/>
      <c r="C99" s="66" t="s">
        <v>2655</v>
      </c>
      <c r="D99" s="67"/>
      <c r="E99" s="67"/>
      <c r="F99" s="67"/>
      <c r="G99" s="10"/>
      <c r="H99" s="67"/>
      <c r="I99" s="67"/>
    </row>
    <row r="100" spans="1:9" ht="42" customHeight="1" x14ac:dyDescent="0.3">
      <c r="A100" s="9"/>
      <c r="B100" s="9"/>
      <c r="C100" s="70" t="s">
        <v>2656</v>
      </c>
      <c r="D100" s="9"/>
      <c r="E100" s="9"/>
      <c r="F100" s="9"/>
      <c r="G100" s="9"/>
      <c r="H100" s="9"/>
      <c r="I100" s="9"/>
    </row>
    <row r="101" spans="1:9" ht="90" customHeight="1" x14ac:dyDescent="0.3">
      <c r="A101" s="68">
        <v>1</v>
      </c>
      <c r="B101" s="72" t="s">
        <v>2657</v>
      </c>
      <c r="C101" s="9" t="s">
        <v>2658</v>
      </c>
      <c r="D101" s="9"/>
      <c r="E101" s="9"/>
      <c r="F101" s="9"/>
      <c r="G101" s="9"/>
      <c r="H101" s="9"/>
      <c r="I101" s="9"/>
    </row>
    <row r="102" spans="1:9" ht="53.25" customHeight="1" x14ac:dyDescent="0.3">
      <c r="A102" s="9"/>
      <c r="B102" s="9"/>
      <c r="C102" s="9" t="s">
        <v>2659</v>
      </c>
      <c r="D102" s="9"/>
      <c r="E102" s="9"/>
      <c r="F102" s="9"/>
      <c r="G102" s="9"/>
      <c r="H102" s="9"/>
      <c r="I102" s="9"/>
    </row>
    <row r="103" spans="1:9" ht="31.5" customHeight="1" x14ac:dyDescent="0.3">
      <c r="A103" s="10"/>
      <c r="B103" s="10"/>
      <c r="C103" s="9" t="s">
        <v>2660</v>
      </c>
      <c r="D103" s="10"/>
      <c r="E103" s="10"/>
      <c r="F103" s="10"/>
      <c r="G103" s="10"/>
      <c r="H103" s="10"/>
      <c r="I103" s="10"/>
    </row>
    <row r="104" spans="1:9" ht="12.75" customHeight="1" x14ac:dyDescent="0.3">
      <c r="A104" s="10"/>
      <c r="B104" s="10"/>
      <c r="C104" s="70" t="s">
        <v>2661</v>
      </c>
      <c r="D104" s="10"/>
      <c r="E104" s="10"/>
      <c r="F104" s="10"/>
      <c r="G104" s="10"/>
      <c r="H104" s="10"/>
      <c r="I104" s="10"/>
    </row>
    <row r="105" spans="1:9" ht="25.5" customHeight="1" x14ac:dyDescent="0.3">
      <c r="A105" s="10"/>
      <c r="B105" s="10"/>
      <c r="C105" s="9" t="s">
        <v>2662</v>
      </c>
      <c r="D105" s="10"/>
      <c r="E105" s="10"/>
      <c r="F105" s="10"/>
      <c r="G105" s="10"/>
      <c r="H105" s="10"/>
      <c r="I105" s="10"/>
    </row>
    <row r="106" spans="1:9" ht="12.75" customHeight="1" x14ac:dyDescent="0.3">
      <c r="A106" s="10"/>
      <c r="B106" s="10"/>
      <c r="C106" s="70" t="s">
        <v>2663</v>
      </c>
      <c r="D106" s="10"/>
      <c r="E106" s="10"/>
      <c r="F106" s="10"/>
      <c r="G106" s="10"/>
      <c r="H106" s="10"/>
      <c r="I106" s="10"/>
    </row>
    <row r="107" spans="1:9" ht="12.75" customHeight="1" x14ac:dyDescent="0.3">
      <c r="A107" s="10"/>
      <c r="B107" s="10"/>
      <c r="C107" s="70" t="s">
        <v>2664</v>
      </c>
      <c r="D107" s="10"/>
      <c r="E107" s="10"/>
      <c r="F107" s="10"/>
      <c r="G107" s="10"/>
      <c r="H107" s="10"/>
      <c r="I107" s="10"/>
    </row>
    <row r="108" spans="1:9" ht="12.75" customHeight="1" x14ac:dyDescent="0.3">
      <c r="A108" s="10"/>
      <c r="B108" s="10"/>
      <c r="C108" s="70" t="s">
        <v>2665</v>
      </c>
      <c r="D108" s="10"/>
      <c r="E108" s="10"/>
      <c r="F108" s="10"/>
      <c r="G108" s="10"/>
      <c r="H108" s="10"/>
      <c r="I108" s="10"/>
    </row>
    <row r="109" spans="1:9" ht="12.75" customHeight="1" x14ac:dyDescent="0.3">
      <c r="A109" s="10"/>
      <c r="B109" s="10"/>
      <c r="C109" s="70" t="s">
        <v>2666</v>
      </c>
      <c r="D109" s="10"/>
      <c r="E109" s="10"/>
      <c r="F109" s="10"/>
      <c r="G109" s="10"/>
      <c r="H109" s="10"/>
      <c r="I109" s="10"/>
    </row>
    <row r="110" spans="1:9" ht="12.75" customHeight="1" x14ac:dyDescent="0.3">
      <c r="A110" s="10"/>
      <c r="B110" s="10"/>
      <c r="C110" s="70" t="s">
        <v>2667</v>
      </c>
      <c r="D110" s="10"/>
      <c r="E110" s="10"/>
      <c r="F110" s="10"/>
      <c r="G110" s="10"/>
      <c r="H110" s="10"/>
      <c r="I110" s="10"/>
    </row>
    <row r="111" spans="1:9" ht="25.5" customHeight="1" x14ac:dyDescent="0.3">
      <c r="A111" s="10"/>
      <c r="B111" s="10"/>
      <c r="C111" s="9" t="s">
        <v>2668</v>
      </c>
      <c r="D111" s="10"/>
      <c r="E111" s="10"/>
      <c r="F111" s="10"/>
      <c r="G111" s="10"/>
      <c r="H111" s="10"/>
      <c r="I111" s="10"/>
    </row>
    <row r="112" spans="1:9" ht="12.75" customHeight="1" x14ac:dyDescent="0.3">
      <c r="A112" s="10"/>
      <c r="B112" s="10"/>
      <c r="C112" s="70" t="s">
        <v>2669</v>
      </c>
      <c r="D112" s="10"/>
      <c r="E112" s="10"/>
      <c r="F112" s="10"/>
      <c r="G112" s="10"/>
      <c r="H112" s="10"/>
      <c r="I112" s="10"/>
    </row>
    <row r="113" spans="1:9" ht="31.5" customHeight="1" x14ac:dyDescent="0.3">
      <c r="A113" s="10"/>
      <c r="B113" s="10"/>
      <c r="C113" s="9" t="s">
        <v>2670</v>
      </c>
      <c r="D113" s="10"/>
      <c r="E113" s="10"/>
      <c r="F113" s="10"/>
      <c r="G113" s="10"/>
      <c r="H113" s="10"/>
      <c r="I113" s="10"/>
    </row>
    <row r="114" spans="1:9" ht="25.5" customHeight="1" x14ac:dyDescent="0.3">
      <c r="A114" s="10"/>
      <c r="B114" s="10"/>
      <c r="C114" s="9" t="s">
        <v>2671</v>
      </c>
      <c r="D114" s="10"/>
      <c r="E114" s="10"/>
      <c r="F114" s="10"/>
      <c r="G114" s="10"/>
      <c r="H114" s="10"/>
      <c r="I114" s="10"/>
    </row>
    <row r="115" spans="1:9" ht="12.75" customHeight="1" x14ac:dyDescent="0.3">
      <c r="A115" s="10"/>
      <c r="B115" s="10"/>
      <c r="C115" s="70" t="s">
        <v>2672</v>
      </c>
      <c r="D115" s="10"/>
      <c r="E115" s="10"/>
      <c r="F115" s="10"/>
      <c r="G115" s="10"/>
      <c r="H115" s="10"/>
      <c r="I115" s="10"/>
    </row>
    <row r="116" spans="1:9" ht="12.75" customHeight="1" x14ac:dyDescent="0.3">
      <c r="A116" s="10"/>
      <c r="B116" s="10"/>
      <c r="C116" s="70" t="s">
        <v>2673</v>
      </c>
      <c r="D116" s="10"/>
      <c r="E116" s="10"/>
      <c r="F116" s="10"/>
      <c r="G116" s="10"/>
      <c r="H116" s="10"/>
      <c r="I116" s="10"/>
    </row>
    <row r="117" spans="1:9" ht="10.5" customHeight="1" x14ac:dyDescent="0.3">
      <c r="A117" s="11"/>
      <c r="B117" s="11"/>
      <c r="C117" s="11"/>
      <c r="D117" s="11"/>
      <c r="E117" s="11"/>
      <c r="F117" s="11"/>
      <c r="G117" s="11"/>
      <c r="H117" s="11"/>
      <c r="I117" s="11"/>
    </row>
    <row r="118" spans="1:9" ht="36.75" customHeight="1" x14ac:dyDescent="0.3">
      <c r="A118" s="69">
        <v>1.1000000000000001</v>
      </c>
      <c r="B118" s="72" t="s">
        <v>2674</v>
      </c>
      <c r="C118" s="70" t="s">
        <v>2675</v>
      </c>
      <c r="D118" s="82" t="s">
        <v>2676</v>
      </c>
      <c r="E118" s="83">
        <v>1</v>
      </c>
      <c r="F118" s="9"/>
      <c r="G118" s="89"/>
      <c r="H118" s="9"/>
      <c r="I118" s="84"/>
    </row>
    <row r="119" spans="1:9" ht="36.75" customHeight="1" x14ac:dyDescent="0.3">
      <c r="A119" s="69">
        <v>1.2</v>
      </c>
      <c r="B119" s="72" t="s">
        <v>2677</v>
      </c>
      <c r="C119" s="70" t="s">
        <v>2678</v>
      </c>
      <c r="D119" s="82" t="s">
        <v>2679</v>
      </c>
      <c r="E119" s="83">
        <v>1</v>
      </c>
      <c r="F119" s="9"/>
      <c r="G119" s="89"/>
      <c r="H119" s="9"/>
      <c r="I119" s="84"/>
    </row>
    <row r="120" spans="1:9" ht="36.75" customHeight="1" x14ac:dyDescent="0.3">
      <c r="A120" s="69">
        <v>1.3</v>
      </c>
      <c r="B120" s="72" t="s">
        <v>2680</v>
      </c>
      <c r="C120" s="70" t="s">
        <v>2681</v>
      </c>
      <c r="D120" s="82" t="s">
        <v>2682</v>
      </c>
      <c r="E120" s="83">
        <v>1</v>
      </c>
      <c r="F120" s="9"/>
      <c r="G120" s="89"/>
      <c r="H120" s="9"/>
      <c r="I120" s="84"/>
    </row>
    <row r="121" spans="1:9" ht="36.75" customHeight="1" x14ac:dyDescent="0.3">
      <c r="A121" s="69">
        <v>1.4</v>
      </c>
      <c r="B121" s="72" t="s">
        <v>2683</v>
      </c>
      <c r="C121" s="70" t="s">
        <v>2684</v>
      </c>
      <c r="D121" s="82" t="s">
        <v>2685</v>
      </c>
      <c r="E121" s="83">
        <v>1</v>
      </c>
      <c r="F121" s="9"/>
      <c r="G121" s="89"/>
      <c r="H121" s="9"/>
      <c r="I121" s="84"/>
    </row>
    <row r="122" spans="1:9" ht="36.75" customHeight="1" x14ac:dyDescent="0.3">
      <c r="A122" s="69">
        <v>1.5</v>
      </c>
      <c r="B122" s="72" t="s">
        <v>2686</v>
      </c>
      <c r="C122" s="70" t="s">
        <v>2687</v>
      </c>
      <c r="D122" s="82" t="s">
        <v>2688</v>
      </c>
      <c r="E122" s="83">
        <v>1</v>
      </c>
      <c r="F122" s="9"/>
      <c r="G122" s="89"/>
      <c r="H122" s="9"/>
      <c r="I122" s="84"/>
    </row>
    <row r="123" spans="1:9" ht="31.5" customHeight="1" x14ac:dyDescent="0.3">
      <c r="A123" s="10"/>
      <c r="B123" s="10"/>
      <c r="C123" s="10"/>
      <c r="D123" s="10"/>
      <c r="E123" s="10"/>
      <c r="F123" s="10"/>
      <c r="G123" s="10"/>
      <c r="H123" s="10"/>
      <c r="I123" s="10"/>
    </row>
    <row r="124" spans="1:9" ht="12.75" customHeight="1" x14ac:dyDescent="0.3">
      <c r="A124" s="67"/>
      <c r="B124" s="67"/>
      <c r="C124" s="66" t="s">
        <v>2689</v>
      </c>
      <c r="D124" s="67"/>
      <c r="E124" s="67"/>
      <c r="F124" s="67"/>
      <c r="G124" s="10"/>
      <c r="H124" s="85"/>
      <c r="I124" s="86"/>
    </row>
    <row r="125" spans="1:9" ht="10.5" customHeight="1" x14ac:dyDescent="0.3">
      <c r="A125" s="11"/>
      <c r="B125" s="11"/>
      <c r="C125" s="11"/>
      <c r="D125" s="11"/>
      <c r="E125" s="11"/>
      <c r="F125" s="11"/>
      <c r="G125" s="11"/>
      <c r="H125" s="11"/>
      <c r="I125" s="11"/>
    </row>
    <row r="126" spans="1:9" ht="12.75" customHeight="1" x14ac:dyDescent="0.3">
      <c r="A126" s="228" t="s">
        <v>2690</v>
      </c>
      <c r="B126" s="221"/>
      <c r="C126" s="66" t="s">
        <v>2691</v>
      </c>
      <c r="D126" s="67"/>
      <c r="E126" s="67"/>
      <c r="F126" s="67"/>
      <c r="G126" s="10"/>
      <c r="H126" s="67"/>
      <c r="I126" s="67"/>
    </row>
    <row r="127" spans="1:9" ht="185.25" customHeight="1" x14ac:dyDescent="0.3">
      <c r="A127" s="68">
        <v>1</v>
      </c>
      <c r="B127" s="70" t="s">
        <v>2692</v>
      </c>
      <c r="C127" s="9" t="s">
        <v>2693</v>
      </c>
      <c r="D127" s="9"/>
      <c r="E127" s="9"/>
      <c r="F127" s="9"/>
      <c r="G127" s="9"/>
      <c r="H127" s="9"/>
      <c r="I127" s="9"/>
    </row>
    <row r="128" spans="1:9" ht="74.25" customHeight="1" x14ac:dyDescent="0.3">
      <c r="A128" s="9"/>
      <c r="B128" s="9"/>
      <c r="C128" s="70" t="s">
        <v>2694</v>
      </c>
      <c r="D128" s="9"/>
      <c r="E128" s="9"/>
      <c r="F128" s="9"/>
      <c r="G128" s="9"/>
      <c r="H128" s="9"/>
      <c r="I128" s="9"/>
    </row>
    <row r="129" spans="1:9" ht="138" customHeight="1" x14ac:dyDescent="0.3">
      <c r="A129" s="9"/>
      <c r="B129" s="9"/>
      <c r="C129" s="70" t="s">
        <v>2695</v>
      </c>
      <c r="D129" s="9"/>
      <c r="E129" s="9"/>
      <c r="F129" s="9"/>
      <c r="G129" s="9"/>
      <c r="H129" s="9"/>
      <c r="I129" s="9"/>
    </row>
    <row r="130" spans="1:9" ht="74.25" customHeight="1" x14ac:dyDescent="0.3">
      <c r="A130" s="9"/>
      <c r="B130" s="9"/>
      <c r="C130" s="70" t="s">
        <v>2696</v>
      </c>
      <c r="D130" s="9"/>
      <c r="E130" s="9"/>
      <c r="F130" s="9"/>
      <c r="G130" s="9"/>
      <c r="H130" s="9"/>
      <c r="I130" s="9"/>
    </row>
    <row r="131" spans="1:9" ht="12.75" customHeight="1" x14ac:dyDescent="0.3">
      <c r="A131" s="69">
        <v>1.1000000000000001</v>
      </c>
      <c r="B131" s="72" t="s">
        <v>2697</v>
      </c>
      <c r="C131" s="70" t="s">
        <v>2698</v>
      </c>
      <c r="D131" s="72" t="s">
        <v>2699</v>
      </c>
      <c r="E131" s="68">
        <v>21</v>
      </c>
      <c r="F131" s="10"/>
      <c r="G131" s="90"/>
      <c r="H131" s="10"/>
      <c r="I131" s="75"/>
    </row>
    <row r="132" spans="1:9" ht="12.75" customHeight="1" x14ac:dyDescent="0.3">
      <c r="A132" s="69">
        <v>1.2</v>
      </c>
      <c r="B132" s="72" t="s">
        <v>2700</v>
      </c>
      <c r="C132" s="70" t="s">
        <v>2701</v>
      </c>
      <c r="D132" s="72" t="s">
        <v>2702</v>
      </c>
      <c r="E132" s="68">
        <v>3</v>
      </c>
      <c r="F132" s="10"/>
      <c r="G132" s="90"/>
      <c r="H132" s="10"/>
      <c r="I132" s="75"/>
    </row>
    <row r="133" spans="1:9" ht="31.5" customHeight="1" x14ac:dyDescent="0.3">
      <c r="A133" s="10"/>
      <c r="B133" s="10"/>
      <c r="C133" s="10"/>
      <c r="D133" s="10"/>
      <c r="E133" s="10"/>
      <c r="F133" s="10"/>
      <c r="G133" s="10"/>
      <c r="H133" s="10"/>
      <c r="I133" s="10"/>
    </row>
    <row r="134" spans="1:9" ht="12.75" customHeight="1" x14ac:dyDescent="0.3">
      <c r="A134" s="67"/>
      <c r="B134" s="67"/>
      <c r="C134" s="66" t="s">
        <v>2703</v>
      </c>
      <c r="D134" s="67"/>
      <c r="E134" s="67"/>
      <c r="F134" s="67"/>
      <c r="G134" s="10"/>
      <c r="H134" s="85"/>
      <c r="I134" s="86"/>
    </row>
    <row r="135" spans="1:9" ht="132.75" customHeight="1" x14ac:dyDescent="0.2">
      <c r="A135" s="68">
        <v>1</v>
      </c>
      <c r="B135" s="72" t="s">
        <v>2704</v>
      </c>
      <c r="C135" s="9" t="s">
        <v>2705</v>
      </c>
      <c r="D135" s="77" t="s">
        <v>2706</v>
      </c>
      <c r="E135" s="78">
        <v>110</v>
      </c>
      <c r="F135" s="9"/>
      <c r="G135" s="9">
        <v>350</v>
      </c>
      <c r="H135" s="75">
        <f>E135*F135</f>
        <v>0</v>
      </c>
      <c r="I135" s="75">
        <f>E135*G135</f>
        <v>38500</v>
      </c>
    </row>
    <row r="136" spans="1:9" ht="10.5" customHeight="1" x14ac:dyDescent="0.3">
      <c r="A136" s="11"/>
      <c r="B136" s="11"/>
      <c r="C136" s="11"/>
      <c r="D136" s="11"/>
      <c r="E136" s="11"/>
      <c r="F136" s="11"/>
      <c r="G136" s="11"/>
      <c r="H136" s="229"/>
      <c r="I136" s="220"/>
    </row>
    <row r="137" spans="1:9" ht="105.75" customHeight="1" x14ac:dyDescent="0.3">
      <c r="A137" s="68">
        <v>2</v>
      </c>
      <c r="B137" s="72" t="s">
        <v>2707</v>
      </c>
      <c r="C137" s="9" t="s">
        <v>2708</v>
      </c>
      <c r="D137" s="9"/>
      <c r="E137" s="9"/>
      <c r="F137" s="9"/>
      <c r="G137" s="9"/>
      <c r="H137" s="9"/>
      <c r="I137" s="9"/>
    </row>
    <row r="138" spans="1:9" ht="12.75" customHeight="1" x14ac:dyDescent="0.3">
      <c r="A138" s="69">
        <v>2.1</v>
      </c>
      <c r="B138" s="72" t="s">
        <v>2709</v>
      </c>
      <c r="C138" s="70" t="s">
        <v>2710</v>
      </c>
      <c r="D138" s="72" t="s">
        <v>2711</v>
      </c>
      <c r="E138" s="68">
        <v>165</v>
      </c>
      <c r="F138" s="10"/>
      <c r="G138" s="10">
        <v>150</v>
      </c>
      <c r="H138" s="75">
        <f t="shared" ref="H138:H145" si="7">E138*F138</f>
        <v>0</v>
      </c>
      <c r="I138" s="75">
        <f t="shared" ref="I138:I145" si="8">E138*G138</f>
        <v>24750</v>
      </c>
    </row>
    <row r="139" spans="1:9" ht="12.75" customHeight="1" x14ac:dyDescent="0.3">
      <c r="A139" s="69">
        <v>2.2000000000000002</v>
      </c>
      <c r="B139" s="72" t="s">
        <v>2712</v>
      </c>
      <c r="C139" s="70" t="s">
        <v>2713</v>
      </c>
      <c r="D139" s="72" t="s">
        <v>2714</v>
      </c>
      <c r="E139" s="68">
        <v>150</v>
      </c>
      <c r="F139" s="10"/>
      <c r="G139" s="10">
        <v>188</v>
      </c>
      <c r="H139" s="75">
        <f t="shared" si="7"/>
        <v>0</v>
      </c>
      <c r="I139" s="75">
        <f t="shared" si="8"/>
        <v>28200</v>
      </c>
    </row>
    <row r="140" spans="1:9" ht="12.75" customHeight="1" x14ac:dyDescent="0.3">
      <c r="A140" s="69">
        <v>2.2999999999999998</v>
      </c>
      <c r="B140" s="72" t="s">
        <v>2715</v>
      </c>
      <c r="C140" s="70" t="s">
        <v>2716</v>
      </c>
      <c r="D140" s="72" t="s">
        <v>2717</v>
      </c>
      <c r="E140" s="68">
        <v>120</v>
      </c>
      <c r="F140" s="10"/>
      <c r="G140" s="10">
        <v>225</v>
      </c>
      <c r="H140" s="75">
        <f t="shared" si="7"/>
        <v>0</v>
      </c>
      <c r="I140" s="75">
        <f t="shared" si="8"/>
        <v>27000</v>
      </c>
    </row>
    <row r="141" spans="1:9" ht="12.75" customHeight="1" x14ac:dyDescent="0.3">
      <c r="A141" s="69">
        <v>2.4</v>
      </c>
      <c r="B141" s="72" t="s">
        <v>2718</v>
      </c>
      <c r="C141" s="70" t="s">
        <v>2719</v>
      </c>
      <c r="D141" s="72" t="s">
        <v>2720</v>
      </c>
      <c r="E141" s="68">
        <v>120</v>
      </c>
      <c r="F141" s="10"/>
      <c r="G141" s="92">
        <v>300</v>
      </c>
      <c r="H141" s="75">
        <f t="shared" si="7"/>
        <v>0</v>
      </c>
      <c r="I141" s="75">
        <f t="shared" si="8"/>
        <v>36000</v>
      </c>
    </row>
    <row r="142" spans="1:9" ht="12.75" customHeight="1" x14ac:dyDescent="0.3">
      <c r="A142" s="69">
        <v>2.5</v>
      </c>
      <c r="B142" s="72" t="s">
        <v>2721</v>
      </c>
      <c r="C142" s="70" t="s">
        <v>2722</v>
      </c>
      <c r="D142" s="72" t="s">
        <v>2723</v>
      </c>
      <c r="E142" s="68">
        <v>120</v>
      </c>
      <c r="F142" s="10"/>
      <c r="G142" s="92">
        <v>375</v>
      </c>
      <c r="H142" s="75">
        <f t="shared" si="7"/>
        <v>0</v>
      </c>
      <c r="I142" s="75">
        <f t="shared" si="8"/>
        <v>45000</v>
      </c>
    </row>
    <row r="143" spans="1:9" ht="12.75" customHeight="1" x14ac:dyDescent="0.3">
      <c r="A143" s="69">
        <v>2.6</v>
      </c>
      <c r="B143" s="72" t="s">
        <v>2724</v>
      </c>
      <c r="C143" s="70" t="s">
        <v>2725</v>
      </c>
      <c r="D143" s="72" t="s">
        <v>2726</v>
      </c>
      <c r="E143" s="68">
        <v>120</v>
      </c>
      <c r="F143" s="10"/>
      <c r="G143" s="92">
        <v>450</v>
      </c>
      <c r="H143" s="75">
        <f t="shared" si="7"/>
        <v>0</v>
      </c>
      <c r="I143" s="75">
        <f t="shared" si="8"/>
        <v>54000</v>
      </c>
    </row>
    <row r="144" spans="1:9" ht="12.75" customHeight="1" x14ac:dyDescent="0.3">
      <c r="A144" s="69">
        <v>2.7</v>
      </c>
      <c r="B144" s="72" t="s">
        <v>2727</v>
      </c>
      <c r="C144" s="70" t="s">
        <v>2728</v>
      </c>
      <c r="D144" s="72" t="s">
        <v>2729</v>
      </c>
      <c r="E144" s="68">
        <v>70</v>
      </c>
      <c r="F144" s="10"/>
      <c r="G144" s="92">
        <v>600</v>
      </c>
      <c r="H144" s="75">
        <f t="shared" si="7"/>
        <v>0</v>
      </c>
      <c r="I144" s="75">
        <f t="shared" si="8"/>
        <v>42000</v>
      </c>
    </row>
    <row r="145" spans="1:9" ht="12.75" customHeight="1" x14ac:dyDescent="0.3">
      <c r="A145" s="69">
        <v>2.8</v>
      </c>
      <c r="B145" s="72" t="s">
        <v>2730</v>
      </c>
      <c r="C145" s="70" t="s">
        <v>2731</v>
      </c>
      <c r="D145" s="72" t="s">
        <v>2732</v>
      </c>
      <c r="E145" s="68">
        <v>30</v>
      </c>
      <c r="F145" s="10"/>
      <c r="G145" s="10">
        <v>900</v>
      </c>
      <c r="H145" s="75">
        <f t="shared" si="7"/>
        <v>0</v>
      </c>
      <c r="I145" s="75">
        <f t="shared" si="8"/>
        <v>27000</v>
      </c>
    </row>
    <row r="146" spans="1:9" ht="10.5" customHeight="1" x14ac:dyDescent="0.3">
      <c r="A146" s="11"/>
      <c r="B146" s="11"/>
      <c r="C146" s="11"/>
      <c r="D146" s="11"/>
      <c r="E146" s="11"/>
      <c r="F146" s="11"/>
      <c r="G146" s="11"/>
      <c r="H146" s="229"/>
      <c r="I146" s="220"/>
    </row>
    <row r="147" spans="1:9" ht="72.75" customHeight="1" x14ac:dyDescent="0.2">
      <c r="A147" s="68">
        <v>3</v>
      </c>
      <c r="B147" s="72" t="s">
        <v>2733</v>
      </c>
      <c r="C147" s="9" t="s">
        <v>2734</v>
      </c>
      <c r="D147" s="77" t="s">
        <v>2735</v>
      </c>
      <c r="E147" s="78">
        <v>220</v>
      </c>
      <c r="F147" s="9"/>
      <c r="G147" s="9">
        <v>250</v>
      </c>
      <c r="H147" s="75">
        <f>E147*F147</f>
        <v>0</v>
      </c>
      <c r="I147" s="75">
        <f>E147*G147</f>
        <v>55000</v>
      </c>
    </row>
    <row r="148" spans="1:9" ht="10.5" customHeight="1" x14ac:dyDescent="0.3">
      <c r="A148" s="11"/>
      <c r="B148" s="11"/>
      <c r="C148" s="11"/>
      <c r="D148" s="11"/>
      <c r="E148" s="11"/>
      <c r="F148" s="11"/>
      <c r="G148" s="11"/>
      <c r="H148" s="11"/>
      <c r="I148" s="11"/>
    </row>
    <row r="149" spans="1:9" ht="84.75" customHeight="1" x14ac:dyDescent="0.3">
      <c r="A149" s="68">
        <v>4</v>
      </c>
      <c r="B149" s="72" t="s">
        <v>2736</v>
      </c>
      <c r="C149" s="9" t="s">
        <v>2737</v>
      </c>
      <c r="D149" s="9"/>
      <c r="E149" s="9"/>
      <c r="F149" s="9"/>
      <c r="G149" s="9"/>
      <c r="H149" s="9"/>
      <c r="I149" s="9"/>
    </row>
    <row r="150" spans="1:9" ht="12.75" customHeight="1" x14ac:dyDescent="0.3">
      <c r="A150" s="69">
        <v>4.0999999999999996</v>
      </c>
      <c r="B150" s="72" t="s">
        <v>2738</v>
      </c>
      <c r="C150" s="70" t="s">
        <v>2739</v>
      </c>
      <c r="D150" s="72" t="s">
        <v>2740</v>
      </c>
      <c r="E150" s="68">
        <v>330</v>
      </c>
      <c r="F150" s="10"/>
      <c r="G150" s="10">
        <v>300</v>
      </c>
      <c r="H150" s="75">
        <f t="shared" ref="H150:H157" si="9">E150*F150</f>
        <v>0</v>
      </c>
      <c r="I150" s="75">
        <f t="shared" ref="I150:I157" si="10">E150*G150</f>
        <v>99000</v>
      </c>
    </row>
    <row r="151" spans="1:9" ht="12.75" customHeight="1" x14ac:dyDescent="0.3">
      <c r="A151" s="69">
        <v>4.2</v>
      </c>
      <c r="B151" s="72" t="s">
        <v>2741</v>
      </c>
      <c r="C151" s="70" t="s">
        <v>2742</v>
      </c>
      <c r="D151" s="72" t="s">
        <v>2743</v>
      </c>
      <c r="E151" s="68">
        <v>110</v>
      </c>
      <c r="F151" s="10"/>
      <c r="G151" s="10">
        <v>376</v>
      </c>
      <c r="H151" s="75">
        <f t="shared" si="9"/>
        <v>0</v>
      </c>
      <c r="I151" s="75">
        <f t="shared" si="10"/>
        <v>41360</v>
      </c>
    </row>
    <row r="152" spans="1:9" ht="12.75" customHeight="1" x14ac:dyDescent="0.3">
      <c r="A152" s="69">
        <v>4.3</v>
      </c>
      <c r="B152" s="72" t="s">
        <v>2744</v>
      </c>
      <c r="C152" s="70" t="s">
        <v>2745</v>
      </c>
      <c r="D152" s="72" t="s">
        <v>2746</v>
      </c>
      <c r="E152" s="68">
        <v>55</v>
      </c>
      <c r="F152" s="10"/>
      <c r="G152" s="10">
        <v>450</v>
      </c>
      <c r="H152" s="75">
        <f t="shared" si="9"/>
        <v>0</v>
      </c>
      <c r="I152" s="75">
        <f t="shared" si="10"/>
        <v>24750</v>
      </c>
    </row>
    <row r="153" spans="1:9" ht="12.75" customHeight="1" x14ac:dyDescent="0.3">
      <c r="A153" s="69">
        <v>4.4000000000000004</v>
      </c>
      <c r="B153" s="72" t="s">
        <v>2747</v>
      </c>
      <c r="C153" s="70" t="s">
        <v>2748</v>
      </c>
      <c r="D153" s="72" t="s">
        <v>2749</v>
      </c>
      <c r="E153" s="68">
        <v>110</v>
      </c>
      <c r="F153" s="10"/>
      <c r="G153" s="10">
        <v>600</v>
      </c>
      <c r="H153" s="75">
        <f t="shared" si="9"/>
        <v>0</v>
      </c>
      <c r="I153" s="75">
        <f t="shared" si="10"/>
        <v>66000</v>
      </c>
    </row>
    <row r="154" spans="1:9" ht="12.75" customHeight="1" x14ac:dyDescent="0.3">
      <c r="A154" s="69">
        <v>4.5</v>
      </c>
      <c r="B154" s="72" t="s">
        <v>2750</v>
      </c>
      <c r="C154" s="70" t="s">
        <v>2751</v>
      </c>
      <c r="D154" s="72" t="s">
        <v>2752</v>
      </c>
      <c r="E154" s="68">
        <v>110</v>
      </c>
      <c r="F154" s="10"/>
      <c r="G154" s="10">
        <v>750</v>
      </c>
      <c r="H154" s="75">
        <f t="shared" si="9"/>
        <v>0</v>
      </c>
      <c r="I154" s="75">
        <f t="shared" si="10"/>
        <v>82500</v>
      </c>
    </row>
    <row r="155" spans="1:9" ht="12.75" customHeight="1" x14ac:dyDescent="0.3">
      <c r="A155" s="69">
        <v>4.5999999999999996</v>
      </c>
      <c r="B155" s="72" t="s">
        <v>2753</v>
      </c>
      <c r="C155" s="70" t="s">
        <v>2754</v>
      </c>
      <c r="D155" s="72" t="s">
        <v>2755</v>
      </c>
      <c r="E155" s="68">
        <v>110</v>
      </c>
      <c r="F155" s="10"/>
      <c r="G155" s="10">
        <v>900</v>
      </c>
      <c r="H155" s="75">
        <f t="shared" si="9"/>
        <v>0</v>
      </c>
      <c r="I155" s="75">
        <f t="shared" si="10"/>
        <v>99000</v>
      </c>
    </row>
    <row r="156" spans="1:9" ht="12.75" customHeight="1" x14ac:dyDescent="0.3">
      <c r="A156" s="69">
        <v>4.7</v>
      </c>
      <c r="B156" s="72" t="s">
        <v>2756</v>
      </c>
      <c r="C156" s="70" t="s">
        <v>2757</v>
      </c>
      <c r="D156" s="72" t="s">
        <v>2758</v>
      </c>
      <c r="E156" s="68">
        <v>55</v>
      </c>
      <c r="F156" s="10"/>
      <c r="G156" s="10">
        <v>1200</v>
      </c>
      <c r="H156" s="75">
        <f t="shared" si="9"/>
        <v>0</v>
      </c>
      <c r="I156" s="75">
        <f t="shared" si="10"/>
        <v>66000</v>
      </c>
    </row>
    <row r="157" spans="1:9" ht="12.75" customHeight="1" x14ac:dyDescent="0.3">
      <c r="A157" s="69">
        <v>4.8</v>
      </c>
      <c r="B157" s="72" t="s">
        <v>2759</v>
      </c>
      <c r="C157" s="70" t="s">
        <v>2760</v>
      </c>
      <c r="D157" s="72" t="s">
        <v>2761</v>
      </c>
      <c r="E157" s="68">
        <v>22</v>
      </c>
      <c r="F157" s="10"/>
      <c r="G157" s="10">
        <v>1800</v>
      </c>
      <c r="H157" s="75">
        <f t="shared" si="9"/>
        <v>0</v>
      </c>
      <c r="I157" s="75">
        <f t="shared" si="10"/>
        <v>39600</v>
      </c>
    </row>
    <row r="158" spans="1:9" ht="9.75" customHeight="1" x14ac:dyDescent="0.3">
      <c r="A158" s="11"/>
      <c r="B158" s="11"/>
      <c r="C158" s="11"/>
      <c r="D158" s="11"/>
      <c r="E158" s="11"/>
      <c r="F158" s="11"/>
      <c r="G158" s="11"/>
      <c r="H158" s="11"/>
      <c r="I158" s="11"/>
    </row>
    <row r="159" spans="1:9" ht="24.75" customHeight="1" x14ac:dyDescent="0.3">
      <c r="A159" s="67"/>
      <c r="B159" s="67"/>
      <c r="C159" s="66" t="s">
        <v>2762</v>
      </c>
      <c r="D159" s="67"/>
      <c r="E159" s="67"/>
      <c r="F159" s="67"/>
      <c r="G159" s="67"/>
      <c r="H159" s="80">
        <f t="shared" ref="H159:I159" si="11">SUM(H135:H157)</f>
        <v>0</v>
      </c>
      <c r="I159" s="80">
        <f t="shared" si="11"/>
        <v>895660</v>
      </c>
    </row>
    <row r="160" spans="1:9"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14">
    <mergeCell ref="H136:I136"/>
    <mergeCell ref="H146:I146"/>
    <mergeCell ref="A1:A2"/>
    <mergeCell ref="B1:B2"/>
    <mergeCell ref="C1:C2"/>
    <mergeCell ref="D1:D2"/>
    <mergeCell ref="E1:E2"/>
    <mergeCell ref="F1:G1"/>
    <mergeCell ref="H1:I1"/>
    <mergeCell ref="A3:B3"/>
    <mergeCell ref="A33:B33"/>
    <mergeCell ref="A52:B52"/>
    <mergeCell ref="A99:B99"/>
    <mergeCell ref="A126:B126"/>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sheetViews>
  <sheetFormatPr defaultColWidth="14.3984375" defaultRowHeight="15" customHeight="1" x14ac:dyDescent="0.3"/>
  <cols>
    <col min="1" max="1" width="19.296875" customWidth="1"/>
    <col min="2" max="2" width="63.8984375" customWidth="1"/>
    <col min="3" max="4" width="25.09765625" customWidth="1"/>
    <col min="5" max="5" width="25.296875" customWidth="1"/>
    <col min="6" max="6" width="20.296875" customWidth="1"/>
    <col min="7" max="26" width="8.69921875" customWidth="1"/>
  </cols>
  <sheetData>
    <row r="1" spans="1:6" ht="31.5" customHeight="1" x14ac:dyDescent="0.3">
      <c r="A1" s="233" t="s">
        <v>2763</v>
      </c>
      <c r="B1" s="213"/>
      <c r="C1" s="213"/>
      <c r="D1" s="213"/>
      <c r="E1" s="213"/>
      <c r="F1" s="213"/>
    </row>
    <row r="2" spans="1:6" ht="15.75" customHeight="1" x14ac:dyDescent="0.3">
      <c r="A2" s="234" t="s">
        <v>2764</v>
      </c>
      <c r="B2" s="213"/>
      <c r="C2" s="213"/>
      <c r="D2" s="213"/>
      <c r="E2" s="213"/>
      <c r="F2" s="213"/>
    </row>
    <row r="3" spans="1:6" ht="15.75" customHeight="1" x14ac:dyDescent="0.3">
      <c r="A3" s="235" t="s">
        <v>2765</v>
      </c>
      <c r="B3" s="236" t="s">
        <v>2766</v>
      </c>
      <c r="C3" s="237" t="s">
        <v>2767</v>
      </c>
      <c r="D3" s="220"/>
      <c r="E3" s="221"/>
    </row>
    <row r="4" spans="1:6" ht="15.75" customHeight="1" x14ac:dyDescent="0.3">
      <c r="A4" s="217"/>
      <c r="B4" s="217"/>
      <c r="C4" s="93" t="s">
        <v>2768</v>
      </c>
      <c r="D4" s="94" t="s">
        <v>2769</v>
      </c>
      <c r="E4" s="94" t="s">
        <v>2770</v>
      </c>
    </row>
    <row r="5" spans="1:6" ht="13.5" customHeight="1" x14ac:dyDescent="0.3">
      <c r="A5" s="11"/>
      <c r="B5" s="11"/>
      <c r="C5" s="11"/>
      <c r="D5" s="11"/>
      <c r="E5" s="11"/>
    </row>
    <row r="6" spans="1:6" ht="27.75" customHeight="1" x14ac:dyDescent="0.3">
      <c r="A6" s="95" t="s">
        <v>2771</v>
      </c>
      <c r="B6" s="96" t="s">
        <v>2772</v>
      </c>
      <c r="C6" s="97"/>
      <c r="D6" s="97"/>
      <c r="E6" s="97"/>
    </row>
    <row r="7" spans="1:6" ht="31.5" customHeight="1" x14ac:dyDescent="0.3">
      <c r="A7" s="95" t="s">
        <v>2773</v>
      </c>
      <c r="B7" s="9" t="s">
        <v>2774</v>
      </c>
      <c r="C7" s="97"/>
      <c r="D7" s="97"/>
      <c r="E7" s="97"/>
    </row>
    <row r="8" spans="1:6" ht="27.75" customHeight="1" x14ac:dyDescent="0.3">
      <c r="A8" s="95" t="s">
        <v>2775</v>
      </c>
      <c r="B8" s="96" t="s">
        <v>2776</v>
      </c>
      <c r="C8" s="97"/>
      <c r="D8" s="97"/>
      <c r="E8" s="97"/>
    </row>
    <row r="9" spans="1:6" ht="27.75" customHeight="1" x14ac:dyDescent="0.3">
      <c r="A9" s="95" t="s">
        <v>2777</v>
      </c>
      <c r="B9" s="96" t="s">
        <v>2778</v>
      </c>
      <c r="C9" s="97"/>
      <c r="D9" s="97"/>
      <c r="E9" s="97"/>
    </row>
    <row r="10" spans="1:6" ht="27.75" customHeight="1" x14ac:dyDescent="0.3">
      <c r="A10" s="95" t="s">
        <v>2779</v>
      </c>
      <c r="B10" s="96" t="s">
        <v>2780</v>
      </c>
      <c r="C10" s="97"/>
      <c r="D10" s="97"/>
      <c r="E10" s="97"/>
    </row>
    <row r="11" spans="1:6" ht="27.75" customHeight="1" x14ac:dyDescent="0.3">
      <c r="A11" s="95" t="s">
        <v>2781</v>
      </c>
      <c r="B11" s="96" t="s">
        <v>2782</v>
      </c>
      <c r="C11" s="97"/>
      <c r="D11" s="98"/>
      <c r="E11" s="97"/>
    </row>
    <row r="12" spans="1:6" ht="27.75" customHeight="1" x14ac:dyDescent="0.3">
      <c r="A12" s="95" t="s">
        <v>2783</v>
      </c>
      <c r="B12" s="96" t="s">
        <v>2784</v>
      </c>
      <c r="C12" s="97"/>
      <c r="D12" s="98"/>
      <c r="E12" s="97"/>
    </row>
    <row r="13" spans="1:6" ht="27.75" customHeight="1" x14ac:dyDescent="0.3">
      <c r="A13" s="95" t="s">
        <v>2785</v>
      </c>
      <c r="B13" s="96" t="s">
        <v>2786</v>
      </c>
      <c r="C13" s="97"/>
      <c r="D13" s="97"/>
      <c r="E13" s="97"/>
    </row>
    <row r="14" spans="1:6" ht="15.75" customHeight="1" x14ac:dyDescent="0.3">
      <c r="A14" s="11"/>
      <c r="B14" s="99" t="s">
        <v>2787</v>
      </c>
      <c r="C14" s="100"/>
      <c r="D14" s="100"/>
      <c r="E14" s="100"/>
    </row>
    <row r="15" spans="1:6" ht="15.75" customHeight="1" x14ac:dyDescent="0.3">
      <c r="A15" s="11"/>
      <c r="B15" s="99" t="s">
        <v>2788</v>
      </c>
      <c r="C15" s="101"/>
      <c r="D15" s="11"/>
      <c r="E15" s="11"/>
    </row>
    <row r="16" spans="1:6" ht="15.75" customHeight="1" x14ac:dyDescent="0.3">
      <c r="A16" s="11"/>
      <c r="B16" s="99" t="s">
        <v>2789</v>
      </c>
      <c r="C16" s="238"/>
      <c r="D16" s="220"/>
      <c r="E16" s="221"/>
    </row>
    <row r="17" ht="12.75" customHeight="1" x14ac:dyDescent="0.3"/>
    <row r="18" ht="12.75" customHeight="1" x14ac:dyDescent="0.3"/>
    <row r="19" ht="12.75" customHeight="1" x14ac:dyDescent="0.3"/>
    <row r="20" ht="12.75" customHeight="1" x14ac:dyDescent="0.3"/>
    <row r="21" ht="12.75" customHeight="1" x14ac:dyDescent="0.3"/>
    <row r="22" ht="12.75" customHeight="1" x14ac:dyDescent="0.3"/>
    <row r="23" ht="12.75" customHeight="1" x14ac:dyDescent="0.3"/>
    <row r="24" ht="12.75" customHeight="1" x14ac:dyDescent="0.3"/>
    <row r="25" ht="12.75" customHeight="1" x14ac:dyDescent="0.3"/>
    <row r="26" ht="12.75" customHeight="1" x14ac:dyDescent="0.3"/>
    <row r="27" ht="12.75" customHeight="1" x14ac:dyDescent="0.3"/>
    <row r="28" ht="12.75" customHeight="1" x14ac:dyDescent="0.3"/>
    <row r="29" ht="12.75" customHeight="1" x14ac:dyDescent="0.3"/>
    <row r="30" ht="12.75" customHeight="1" x14ac:dyDescent="0.3"/>
    <row r="31" ht="12.75" customHeight="1" x14ac:dyDescent="0.3"/>
    <row r="32"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6">
    <mergeCell ref="C16:E16"/>
    <mergeCell ref="A1:F1"/>
    <mergeCell ref="A2:F2"/>
    <mergeCell ref="A3:A4"/>
    <mergeCell ref="B3:B4"/>
    <mergeCell ref="C3:E3"/>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ySplit="5" topLeftCell="A6" activePane="bottomLeft" state="frozen"/>
      <selection pane="bottomLeft" activeCell="B7" sqref="B7"/>
    </sheetView>
  </sheetViews>
  <sheetFormatPr defaultColWidth="14.3984375" defaultRowHeight="15" customHeight="1" x14ac:dyDescent="0.3"/>
  <cols>
    <col min="1" max="1" width="6.69921875" customWidth="1"/>
    <col min="2" max="2" width="14.296875" customWidth="1"/>
    <col min="3" max="3" width="62" customWidth="1"/>
    <col min="4" max="4" width="6.8984375" customWidth="1"/>
    <col min="5" max="5" width="13.09765625" customWidth="1"/>
    <col min="6" max="6" width="14.69921875" customWidth="1"/>
    <col min="7" max="7" width="15.69921875" customWidth="1"/>
    <col min="8" max="8" width="20" customWidth="1"/>
    <col min="9" max="9" width="19.8984375" customWidth="1"/>
    <col min="10" max="10" width="5.09765625" customWidth="1"/>
    <col min="11" max="11" width="0.69921875" customWidth="1"/>
    <col min="12" max="26" width="8.69921875" customWidth="1"/>
  </cols>
  <sheetData>
    <row r="1" spans="1:26" x14ac:dyDescent="0.3">
      <c r="A1" s="241" t="s">
        <v>2790</v>
      </c>
      <c r="B1" s="213"/>
      <c r="C1" s="213"/>
      <c r="D1" s="213"/>
      <c r="E1" s="213"/>
      <c r="F1" s="213"/>
      <c r="G1" s="213"/>
      <c r="H1" s="213"/>
      <c r="I1" s="213"/>
      <c r="J1" s="213"/>
      <c r="K1" s="102"/>
      <c r="L1" s="102"/>
      <c r="M1" s="102"/>
      <c r="N1" s="102"/>
      <c r="O1" s="102"/>
      <c r="P1" s="102"/>
      <c r="Q1" s="102"/>
      <c r="R1" s="102"/>
      <c r="S1" s="102"/>
      <c r="T1" s="102"/>
      <c r="U1" s="102"/>
      <c r="V1" s="102"/>
      <c r="W1" s="102"/>
      <c r="X1" s="102"/>
      <c r="Y1" s="102"/>
      <c r="Z1" s="102"/>
    </row>
    <row r="2" spans="1:26" x14ac:dyDescent="0.3">
      <c r="A2" s="233" t="s">
        <v>2791</v>
      </c>
      <c r="B2" s="213"/>
      <c r="C2" s="213"/>
      <c r="D2" s="213"/>
      <c r="E2" s="213"/>
      <c r="F2" s="213"/>
      <c r="G2" s="213"/>
      <c r="H2" s="213"/>
      <c r="I2" s="213"/>
      <c r="J2" s="213"/>
      <c r="K2" s="102"/>
      <c r="L2" s="102"/>
      <c r="M2" s="102"/>
      <c r="N2" s="102"/>
      <c r="O2" s="102"/>
      <c r="P2" s="102"/>
      <c r="Q2" s="102"/>
      <c r="R2" s="102"/>
      <c r="S2" s="102"/>
      <c r="T2" s="102"/>
      <c r="U2" s="102"/>
      <c r="V2" s="102"/>
      <c r="W2" s="102"/>
      <c r="X2" s="102"/>
      <c r="Y2" s="102"/>
      <c r="Z2" s="102"/>
    </row>
    <row r="3" spans="1:26" x14ac:dyDescent="0.3">
      <c r="A3" s="241" t="s">
        <v>2792</v>
      </c>
      <c r="B3" s="213"/>
      <c r="C3" s="213"/>
      <c r="D3" s="213"/>
      <c r="E3" s="213"/>
      <c r="F3" s="213"/>
      <c r="G3" s="213"/>
      <c r="H3" s="213"/>
      <c r="I3" s="213"/>
      <c r="J3" s="213"/>
      <c r="K3" s="213"/>
      <c r="L3" s="102"/>
      <c r="M3" s="102"/>
      <c r="N3" s="102"/>
      <c r="O3" s="102"/>
      <c r="P3" s="102"/>
      <c r="Q3" s="102"/>
      <c r="R3" s="102"/>
      <c r="S3" s="102"/>
      <c r="T3" s="102"/>
      <c r="U3" s="102"/>
      <c r="V3" s="102"/>
      <c r="W3" s="102"/>
      <c r="X3" s="102"/>
      <c r="Y3" s="102"/>
      <c r="Z3" s="102"/>
    </row>
    <row r="4" spans="1:26" x14ac:dyDescent="0.3">
      <c r="A4" s="235" t="s">
        <v>2793</v>
      </c>
      <c r="B4" s="235" t="s">
        <v>2794</v>
      </c>
      <c r="C4" s="236" t="s">
        <v>2795</v>
      </c>
      <c r="D4" s="235" t="s">
        <v>2796</v>
      </c>
      <c r="E4" s="239" t="s">
        <v>2797</v>
      </c>
      <c r="F4" s="240" t="s">
        <v>2798</v>
      </c>
      <c r="G4" s="221"/>
      <c r="H4" s="242" t="s">
        <v>2799</v>
      </c>
      <c r="I4" s="221"/>
      <c r="J4" s="102"/>
      <c r="K4" s="102"/>
      <c r="L4" s="102"/>
      <c r="M4" s="102"/>
      <c r="N4" s="102"/>
      <c r="O4" s="102"/>
      <c r="P4" s="102"/>
      <c r="Q4" s="102"/>
      <c r="R4" s="102"/>
      <c r="S4" s="102"/>
      <c r="T4" s="102"/>
      <c r="U4" s="102"/>
      <c r="V4" s="102"/>
      <c r="W4" s="102"/>
      <c r="X4" s="102"/>
      <c r="Y4" s="102"/>
      <c r="Z4" s="102"/>
    </row>
    <row r="5" spans="1:26" x14ac:dyDescent="0.3">
      <c r="A5" s="217"/>
      <c r="B5" s="217"/>
      <c r="C5" s="217"/>
      <c r="D5" s="217"/>
      <c r="E5" s="217"/>
      <c r="F5" s="93" t="s">
        <v>2800</v>
      </c>
      <c r="G5" s="94" t="s">
        <v>2801</v>
      </c>
      <c r="H5" s="103" t="s">
        <v>2802</v>
      </c>
      <c r="I5" s="104" t="s">
        <v>2803</v>
      </c>
      <c r="J5" s="102"/>
      <c r="K5" s="102"/>
      <c r="L5" s="102"/>
      <c r="M5" s="102"/>
      <c r="N5" s="102"/>
      <c r="O5" s="102"/>
      <c r="P5" s="102"/>
      <c r="Q5" s="102"/>
      <c r="R5" s="102"/>
      <c r="S5" s="102"/>
      <c r="T5" s="102"/>
      <c r="U5" s="102"/>
      <c r="V5" s="102"/>
      <c r="W5" s="102"/>
      <c r="X5" s="102"/>
      <c r="Y5" s="102"/>
      <c r="Z5" s="102"/>
    </row>
    <row r="6" spans="1:26" x14ac:dyDescent="0.3">
      <c r="A6" s="243" t="s">
        <v>2804</v>
      </c>
      <c r="B6" s="221"/>
      <c r="C6" s="105" t="s">
        <v>2805</v>
      </c>
      <c r="D6" s="11"/>
      <c r="E6" s="11"/>
      <c r="F6" s="11"/>
      <c r="G6" s="11"/>
      <c r="H6" s="11"/>
      <c r="I6" s="91"/>
      <c r="J6" s="102"/>
      <c r="K6" s="102"/>
      <c r="L6" s="102"/>
      <c r="M6" s="102"/>
      <c r="N6" s="102"/>
      <c r="O6" s="102"/>
      <c r="P6" s="102"/>
      <c r="Q6" s="102"/>
      <c r="R6" s="102"/>
      <c r="S6" s="102"/>
      <c r="T6" s="102"/>
      <c r="U6" s="102"/>
      <c r="V6" s="102"/>
      <c r="W6" s="102"/>
      <c r="X6" s="102"/>
      <c r="Y6" s="102"/>
      <c r="Z6" s="102"/>
    </row>
    <row r="7" spans="1:26" x14ac:dyDescent="0.3">
      <c r="A7" s="11"/>
      <c r="B7" s="11"/>
      <c r="C7" s="11"/>
      <c r="D7" s="11"/>
      <c r="E7" s="11"/>
      <c r="F7" s="11"/>
      <c r="G7" s="11"/>
      <c r="H7" s="11"/>
      <c r="I7" s="91"/>
      <c r="J7" s="102"/>
      <c r="K7" s="102"/>
      <c r="L7" s="102"/>
      <c r="M7" s="102"/>
      <c r="N7" s="102"/>
      <c r="O7" s="102"/>
      <c r="P7" s="102"/>
      <c r="Q7" s="102"/>
      <c r="R7" s="102"/>
      <c r="S7" s="102"/>
      <c r="T7" s="102"/>
      <c r="U7" s="102"/>
      <c r="V7" s="102"/>
      <c r="W7" s="102"/>
      <c r="X7" s="102"/>
      <c r="Y7" s="102"/>
      <c r="Z7" s="102"/>
    </row>
    <row r="8" spans="1:26" x14ac:dyDescent="0.3">
      <c r="A8" s="106">
        <v>1</v>
      </c>
      <c r="B8" s="11"/>
      <c r="C8" s="96" t="s">
        <v>2806</v>
      </c>
      <c r="D8" s="11"/>
      <c r="E8" s="11"/>
      <c r="F8" s="11"/>
      <c r="G8" s="11"/>
      <c r="H8" s="11"/>
      <c r="I8" s="91"/>
      <c r="J8" s="102"/>
      <c r="K8" s="102"/>
      <c r="L8" s="102"/>
      <c r="M8" s="102"/>
      <c r="N8" s="102"/>
      <c r="O8" s="102"/>
      <c r="P8" s="102"/>
      <c r="Q8" s="102"/>
      <c r="R8" s="102"/>
      <c r="S8" s="102"/>
      <c r="T8" s="102"/>
      <c r="U8" s="102"/>
      <c r="V8" s="102"/>
      <c r="W8" s="102"/>
      <c r="X8" s="102"/>
      <c r="Y8" s="102"/>
      <c r="Z8" s="102"/>
    </row>
    <row r="9" spans="1:26" x14ac:dyDescent="0.3">
      <c r="A9" s="9"/>
      <c r="B9" s="107">
        <v>30.2</v>
      </c>
      <c r="C9" s="96" t="s">
        <v>2807</v>
      </c>
      <c r="D9" s="9"/>
      <c r="E9" s="9"/>
      <c r="F9" s="9"/>
      <c r="G9" s="9"/>
      <c r="H9" s="9"/>
      <c r="I9" s="108"/>
      <c r="J9" s="102"/>
      <c r="K9" s="102"/>
      <c r="L9" s="102"/>
      <c r="M9" s="102"/>
      <c r="N9" s="102"/>
      <c r="O9" s="102"/>
      <c r="P9" s="102"/>
      <c r="Q9" s="102"/>
      <c r="R9" s="102"/>
      <c r="S9" s="102"/>
      <c r="T9" s="102"/>
      <c r="U9" s="102"/>
      <c r="V9" s="102"/>
      <c r="W9" s="102"/>
      <c r="X9" s="102"/>
      <c r="Y9" s="102"/>
      <c r="Z9" s="102"/>
    </row>
    <row r="10" spans="1:26" x14ac:dyDescent="0.3">
      <c r="A10" s="9"/>
      <c r="B10" s="9"/>
      <c r="C10" s="96" t="s">
        <v>2808</v>
      </c>
      <c r="D10" s="9"/>
      <c r="E10" s="9"/>
      <c r="F10" s="9"/>
      <c r="G10" s="9"/>
      <c r="H10" s="9"/>
      <c r="I10" s="108"/>
      <c r="J10" s="102"/>
      <c r="K10" s="102"/>
      <c r="L10" s="102"/>
      <c r="M10" s="102"/>
      <c r="N10" s="102"/>
      <c r="O10" s="102"/>
      <c r="P10" s="102"/>
      <c r="Q10" s="102"/>
      <c r="R10" s="102"/>
      <c r="S10" s="102"/>
      <c r="T10" s="102"/>
      <c r="U10" s="102"/>
      <c r="V10" s="102"/>
      <c r="W10" s="102"/>
      <c r="X10" s="102"/>
      <c r="Y10" s="102"/>
      <c r="Z10" s="102"/>
    </row>
    <row r="11" spans="1:26" x14ac:dyDescent="0.3">
      <c r="A11" s="109">
        <v>1.1000000000000001</v>
      </c>
      <c r="B11" s="110">
        <v>47521</v>
      </c>
      <c r="C11" s="96" t="s">
        <v>2809</v>
      </c>
      <c r="D11" s="95" t="s">
        <v>2810</v>
      </c>
      <c r="E11" s="111">
        <v>95</v>
      </c>
      <c r="F11" s="112">
        <v>3028</v>
      </c>
      <c r="G11" s="112">
        <v>825</v>
      </c>
      <c r="H11" s="113">
        <f t="shared" ref="H11:H18" si="0">E11*F11</f>
        <v>287660</v>
      </c>
      <c r="I11" s="113">
        <f t="shared" ref="I11:I18" si="1">E11*G11</f>
        <v>78375</v>
      </c>
      <c r="J11" s="102"/>
      <c r="K11" s="102"/>
      <c r="L11" s="102"/>
      <c r="M11" s="102"/>
      <c r="N11" s="102"/>
      <c r="O11" s="102"/>
      <c r="P11" s="102"/>
      <c r="Q11" s="102"/>
      <c r="R11" s="102"/>
      <c r="S11" s="102"/>
      <c r="T11" s="102"/>
      <c r="U11" s="102"/>
      <c r="V11" s="102"/>
      <c r="W11" s="102"/>
      <c r="X11" s="102"/>
      <c r="Y11" s="102"/>
      <c r="Z11" s="102"/>
    </row>
    <row r="12" spans="1:26" x14ac:dyDescent="0.3">
      <c r="A12" s="109">
        <v>1.2</v>
      </c>
      <c r="B12" s="110">
        <v>47522</v>
      </c>
      <c r="C12" s="96" t="s">
        <v>2811</v>
      </c>
      <c r="D12" s="95" t="s">
        <v>2812</v>
      </c>
      <c r="E12" s="111">
        <v>44</v>
      </c>
      <c r="F12" s="112">
        <v>2708</v>
      </c>
      <c r="G12" s="112">
        <v>675</v>
      </c>
      <c r="H12" s="113">
        <f t="shared" si="0"/>
        <v>119152</v>
      </c>
      <c r="I12" s="113">
        <f t="shared" si="1"/>
        <v>29700</v>
      </c>
      <c r="J12" s="102"/>
      <c r="K12" s="102"/>
      <c r="L12" s="102"/>
      <c r="M12" s="102"/>
      <c r="N12" s="102"/>
      <c r="O12" s="102"/>
      <c r="P12" s="102"/>
      <c r="Q12" s="102"/>
      <c r="R12" s="102"/>
      <c r="S12" s="102"/>
      <c r="T12" s="102"/>
      <c r="U12" s="102"/>
      <c r="V12" s="102"/>
      <c r="W12" s="102"/>
      <c r="X12" s="102"/>
      <c r="Y12" s="102"/>
      <c r="Z12" s="102"/>
    </row>
    <row r="13" spans="1:26" x14ac:dyDescent="0.3">
      <c r="A13" s="109">
        <v>1.3</v>
      </c>
      <c r="B13" s="110">
        <v>47523</v>
      </c>
      <c r="C13" s="96" t="s">
        <v>2813</v>
      </c>
      <c r="D13" s="95" t="s">
        <v>2814</v>
      </c>
      <c r="E13" s="111">
        <v>134.19999999999999</v>
      </c>
      <c r="F13" s="112">
        <v>1998</v>
      </c>
      <c r="G13" s="112">
        <v>525</v>
      </c>
      <c r="H13" s="113">
        <f t="shared" si="0"/>
        <v>268131.59999999998</v>
      </c>
      <c r="I13" s="113">
        <f t="shared" si="1"/>
        <v>70455</v>
      </c>
      <c r="J13" s="102"/>
      <c r="K13" s="102"/>
      <c r="L13" s="102"/>
      <c r="M13" s="102"/>
      <c r="N13" s="102"/>
      <c r="O13" s="102"/>
      <c r="P13" s="102"/>
      <c r="Q13" s="102"/>
      <c r="R13" s="102"/>
      <c r="S13" s="102"/>
      <c r="T13" s="102"/>
      <c r="U13" s="102"/>
      <c r="V13" s="102"/>
      <c r="W13" s="102"/>
      <c r="X13" s="102"/>
      <c r="Y13" s="102"/>
      <c r="Z13" s="102"/>
    </row>
    <row r="14" spans="1:26" x14ac:dyDescent="0.3">
      <c r="A14" s="109">
        <v>1.4</v>
      </c>
      <c r="B14" s="114">
        <v>47524</v>
      </c>
      <c r="C14" s="96" t="s">
        <v>2815</v>
      </c>
      <c r="D14" s="95" t="s">
        <v>2816</v>
      </c>
      <c r="E14" s="111">
        <v>105.6</v>
      </c>
      <c r="F14" s="112">
        <v>1733</v>
      </c>
      <c r="G14" s="112">
        <v>425</v>
      </c>
      <c r="H14" s="113">
        <f t="shared" si="0"/>
        <v>183004.79999999999</v>
      </c>
      <c r="I14" s="113">
        <f t="shared" si="1"/>
        <v>44880</v>
      </c>
      <c r="J14" s="102"/>
      <c r="K14" s="102"/>
      <c r="L14" s="102"/>
      <c r="M14" s="102"/>
      <c r="N14" s="102"/>
      <c r="O14" s="102"/>
      <c r="P14" s="102"/>
      <c r="Q14" s="102"/>
      <c r="R14" s="102"/>
      <c r="S14" s="102"/>
      <c r="T14" s="102"/>
      <c r="U14" s="102"/>
      <c r="V14" s="102"/>
      <c r="W14" s="102"/>
      <c r="X14" s="102"/>
      <c r="Y14" s="102"/>
      <c r="Z14" s="102"/>
    </row>
    <row r="15" spans="1:26" x14ac:dyDescent="0.3">
      <c r="A15" s="109">
        <v>1.5</v>
      </c>
      <c r="B15" s="114">
        <v>47525</v>
      </c>
      <c r="C15" s="96" t="s">
        <v>2817</v>
      </c>
      <c r="D15" s="95" t="s">
        <v>2818</v>
      </c>
      <c r="E15" s="111">
        <v>28.6</v>
      </c>
      <c r="F15" s="112">
        <v>1683</v>
      </c>
      <c r="G15" s="112">
        <v>350</v>
      </c>
      <c r="H15" s="113">
        <f t="shared" si="0"/>
        <v>48133.8</v>
      </c>
      <c r="I15" s="113">
        <f t="shared" si="1"/>
        <v>10010</v>
      </c>
      <c r="J15" s="102"/>
      <c r="K15" s="102"/>
      <c r="L15" s="102"/>
      <c r="M15" s="102"/>
      <c r="N15" s="102"/>
      <c r="O15" s="102"/>
      <c r="P15" s="102"/>
      <c r="Q15" s="102"/>
      <c r="R15" s="102"/>
      <c r="S15" s="102"/>
      <c r="T15" s="102"/>
      <c r="U15" s="102"/>
      <c r="V15" s="102"/>
      <c r="W15" s="102"/>
      <c r="X15" s="102"/>
      <c r="Y15" s="102"/>
      <c r="Z15" s="102"/>
    </row>
    <row r="16" spans="1:26" x14ac:dyDescent="0.3">
      <c r="A16" s="109">
        <v>1.6</v>
      </c>
      <c r="B16" s="114">
        <v>47526</v>
      </c>
      <c r="C16" s="96" t="s">
        <v>2819</v>
      </c>
      <c r="D16" s="95" t="s">
        <v>2820</v>
      </c>
      <c r="E16" s="111">
        <v>288.2</v>
      </c>
      <c r="F16" s="112">
        <v>1335</v>
      </c>
      <c r="G16" s="112">
        <v>275</v>
      </c>
      <c r="H16" s="113">
        <f t="shared" si="0"/>
        <v>384747</v>
      </c>
      <c r="I16" s="113">
        <f t="shared" si="1"/>
        <v>79255</v>
      </c>
      <c r="J16" s="102"/>
      <c r="K16" s="102"/>
      <c r="L16" s="102"/>
      <c r="M16" s="102"/>
      <c r="N16" s="102"/>
      <c r="O16" s="102"/>
      <c r="P16" s="102"/>
      <c r="Q16" s="102"/>
      <c r="R16" s="102"/>
      <c r="S16" s="102"/>
      <c r="T16" s="102"/>
      <c r="U16" s="102"/>
      <c r="V16" s="102"/>
      <c r="W16" s="102"/>
      <c r="X16" s="102"/>
      <c r="Y16" s="102"/>
      <c r="Z16" s="102"/>
    </row>
    <row r="17" spans="1:26" x14ac:dyDescent="0.3">
      <c r="A17" s="109">
        <v>1.7</v>
      </c>
      <c r="B17" s="114">
        <v>47527</v>
      </c>
      <c r="C17" s="96" t="s">
        <v>2821</v>
      </c>
      <c r="D17" s="95" t="s">
        <v>2822</v>
      </c>
      <c r="E17" s="111">
        <v>836</v>
      </c>
      <c r="F17" s="112">
        <v>1238</v>
      </c>
      <c r="G17" s="112">
        <v>238</v>
      </c>
      <c r="H17" s="113">
        <f t="shared" si="0"/>
        <v>1034968</v>
      </c>
      <c r="I17" s="113">
        <f t="shared" si="1"/>
        <v>198968</v>
      </c>
      <c r="J17" s="102"/>
      <c r="K17" s="102"/>
      <c r="L17" s="102"/>
      <c r="M17" s="102"/>
      <c r="N17" s="102"/>
      <c r="O17" s="102"/>
      <c r="P17" s="102"/>
      <c r="Q17" s="102"/>
      <c r="R17" s="102"/>
      <c r="S17" s="102"/>
      <c r="T17" s="102"/>
      <c r="U17" s="102"/>
      <c r="V17" s="102"/>
      <c r="W17" s="102"/>
      <c r="X17" s="102"/>
      <c r="Y17" s="102"/>
      <c r="Z17" s="102"/>
    </row>
    <row r="18" spans="1:26" x14ac:dyDescent="0.3">
      <c r="A18" s="109">
        <v>1.8</v>
      </c>
      <c r="B18" s="114">
        <v>47528</v>
      </c>
      <c r="C18" s="96" t="s">
        <v>2823</v>
      </c>
      <c r="D18" s="95" t="s">
        <v>2824</v>
      </c>
      <c r="E18" s="111">
        <v>61.6</v>
      </c>
      <c r="F18" s="112">
        <v>1104</v>
      </c>
      <c r="G18" s="112">
        <v>200</v>
      </c>
      <c r="H18" s="113">
        <f t="shared" si="0"/>
        <v>68006.400000000009</v>
      </c>
      <c r="I18" s="113">
        <f t="shared" si="1"/>
        <v>12320</v>
      </c>
      <c r="J18" s="102"/>
      <c r="K18" s="102"/>
      <c r="L18" s="102"/>
      <c r="M18" s="102"/>
      <c r="N18" s="102"/>
      <c r="O18" s="102"/>
      <c r="P18" s="102"/>
      <c r="Q18" s="102"/>
      <c r="R18" s="102"/>
      <c r="S18" s="102"/>
      <c r="T18" s="102"/>
      <c r="U18" s="102"/>
      <c r="V18" s="102"/>
      <c r="W18" s="102"/>
      <c r="X18" s="102"/>
      <c r="Y18" s="102"/>
      <c r="Z18" s="102"/>
    </row>
    <row r="19" spans="1:26" x14ac:dyDescent="0.3">
      <c r="A19" s="11"/>
      <c r="B19" s="11"/>
      <c r="C19" s="11"/>
      <c r="D19" s="11"/>
      <c r="E19" s="11"/>
      <c r="F19" s="11"/>
      <c r="G19" s="11"/>
      <c r="H19" s="11"/>
      <c r="I19" s="91"/>
      <c r="J19" s="102"/>
      <c r="K19" s="102"/>
      <c r="L19" s="102"/>
      <c r="M19" s="102"/>
      <c r="N19" s="102"/>
      <c r="O19" s="102"/>
      <c r="P19" s="102"/>
      <c r="Q19" s="102"/>
      <c r="R19" s="102"/>
      <c r="S19" s="102"/>
      <c r="T19" s="102"/>
      <c r="U19" s="102"/>
      <c r="V19" s="102"/>
      <c r="W19" s="102"/>
      <c r="X19" s="102"/>
      <c r="Y19" s="102"/>
      <c r="Z19" s="102"/>
    </row>
    <row r="20" spans="1:26" x14ac:dyDescent="0.3">
      <c r="A20" s="111">
        <v>2</v>
      </c>
      <c r="B20" s="115" t="s">
        <v>2825</v>
      </c>
      <c r="C20" s="9" t="s">
        <v>2826</v>
      </c>
      <c r="D20" s="9"/>
      <c r="E20" s="9"/>
      <c r="F20" s="9"/>
      <c r="G20" s="9"/>
      <c r="H20" s="9"/>
      <c r="I20" s="108"/>
      <c r="J20" s="102"/>
      <c r="K20" s="102"/>
      <c r="L20" s="102"/>
      <c r="M20" s="102"/>
      <c r="N20" s="102"/>
      <c r="O20" s="102"/>
      <c r="P20" s="102"/>
      <c r="Q20" s="102"/>
      <c r="R20" s="102"/>
      <c r="S20" s="102"/>
      <c r="T20" s="102"/>
      <c r="U20" s="102"/>
      <c r="V20" s="102"/>
      <c r="W20" s="102"/>
      <c r="X20" s="102"/>
      <c r="Y20" s="102"/>
      <c r="Z20" s="102"/>
    </row>
    <row r="21" spans="1:26" x14ac:dyDescent="0.3">
      <c r="A21" s="109">
        <v>2.1</v>
      </c>
      <c r="B21" s="95" t="s">
        <v>2827</v>
      </c>
      <c r="C21" s="96" t="s">
        <v>2828</v>
      </c>
      <c r="D21" s="95" t="s">
        <v>2829</v>
      </c>
      <c r="E21" s="111">
        <v>45</v>
      </c>
      <c r="F21" s="112">
        <v>320</v>
      </c>
      <c r="G21" s="112">
        <v>65</v>
      </c>
      <c r="H21" s="113">
        <f t="shared" ref="H21:H23" si="2">E21*F21</f>
        <v>14400</v>
      </c>
      <c r="I21" s="113">
        <f t="shared" ref="I21:I23" si="3">E21*G21</f>
        <v>2925</v>
      </c>
      <c r="J21" s="102"/>
      <c r="K21" s="102"/>
      <c r="L21" s="102"/>
      <c r="M21" s="102"/>
      <c r="N21" s="102"/>
      <c r="O21" s="102"/>
      <c r="P21" s="102"/>
      <c r="Q21" s="102"/>
      <c r="R21" s="102"/>
      <c r="S21" s="102"/>
      <c r="T21" s="102"/>
      <c r="U21" s="102"/>
      <c r="V21" s="102"/>
      <c r="W21" s="102"/>
      <c r="X21" s="102"/>
      <c r="Y21" s="102"/>
      <c r="Z21" s="102"/>
    </row>
    <row r="22" spans="1:26" x14ac:dyDescent="0.3">
      <c r="A22" s="109">
        <v>2.2000000000000002</v>
      </c>
      <c r="B22" s="95" t="s">
        <v>2830</v>
      </c>
      <c r="C22" s="96" t="s">
        <v>2831</v>
      </c>
      <c r="D22" s="95" t="s">
        <v>2832</v>
      </c>
      <c r="E22" s="111">
        <v>195</v>
      </c>
      <c r="F22" s="112">
        <v>105</v>
      </c>
      <c r="G22" s="112">
        <v>25</v>
      </c>
      <c r="H22" s="113">
        <f t="shared" si="2"/>
        <v>20475</v>
      </c>
      <c r="I22" s="113">
        <f t="shared" si="3"/>
        <v>4875</v>
      </c>
      <c r="J22" s="102"/>
      <c r="K22" s="102"/>
      <c r="L22" s="102"/>
      <c r="M22" s="102"/>
      <c r="N22" s="102"/>
      <c r="O22" s="102"/>
      <c r="P22" s="102"/>
      <c r="Q22" s="102"/>
      <c r="R22" s="102"/>
      <c r="S22" s="102"/>
      <c r="T22" s="102"/>
      <c r="U22" s="102"/>
      <c r="V22" s="102"/>
      <c r="W22" s="102"/>
      <c r="X22" s="102"/>
      <c r="Y22" s="102"/>
      <c r="Z22" s="102"/>
    </row>
    <row r="23" spans="1:26" x14ac:dyDescent="0.3">
      <c r="A23" s="109">
        <v>2.2999999999999998</v>
      </c>
      <c r="B23" s="95" t="s">
        <v>2833</v>
      </c>
      <c r="C23" s="96" t="s">
        <v>2834</v>
      </c>
      <c r="D23" s="95" t="s">
        <v>2835</v>
      </c>
      <c r="E23" s="111">
        <v>155</v>
      </c>
      <c r="F23" s="112">
        <v>145</v>
      </c>
      <c r="G23" s="112">
        <v>30</v>
      </c>
      <c r="H23" s="113">
        <f t="shared" si="2"/>
        <v>22475</v>
      </c>
      <c r="I23" s="113">
        <f t="shared" si="3"/>
        <v>4650</v>
      </c>
      <c r="J23" s="102"/>
      <c r="K23" s="102"/>
      <c r="L23" s="102"/>
      <c r="M23" s="102"/>
      <c r="N23" s="102"/>
      <c r="O23" s="102"/>
      <c r="P23" s="102"/>
      <c r="Q23" s="102"/>
      <c r="R23" s="102"/>
      <c r="S23" s="102"/>
      <c r="T23" s="102"/>
      <c r="U23" s="102"/>
      <c r="V23" s="102"/>
      <c r="W23" s="102"/>
      <c r="X23" s="102"/>
      <c r="Y23" s="102"/>
      <c r="Z23" s="102"/>
    </row>
    <row r="24" spans="1:26" x14ac:dyDescent="0.3">
      <c r="A24" s="11"/>
      <c r="B24" s="11"/>
      <c r="C24" s="11"/>
      <c r="D24" s="11"/>
      <c r="E24" s="11"/>
      <c r="F24" s="11"/>
      <c r="G24" s="11"/>
      <c r="H24" s="11"/>
      <c r="I24" s="91"/>
      <c r="J24" s="102"/>
      <c r="K24" s="102"/>
      <c r="L24" s="102"/>
      <c r="M24" s="102"/>
      <c r="N24" s="102"/>
      <c r="O24" s="102"/>
      <c r="P24" s="102"/>
      <c r="Q24" s="102"/>
      <c r="R24" s="102"/>
      <c r="S24" s="102"/>
      <c r="T24" s="102"/>
      <c r="U24" s="102"/>
      <c r="V24" s="102"/>
      <c r="W24" s="102"/>
      <c r="X24" s="102"/>
      <c r="Y24" s="102"/>
      <c r="Z24" s="102"/>
    </row>
    <row r="25" spans="1:26" x14ac:dyDescent="0.3">
      <c r="A25" s="11"/>
      <c r="B25" s="11"/>
      <c r="C25" s="11"/>
      <c r="D25" s="11"/>
      <c r="E25" s="11"/>
      <c r="F25" s="11"/>
      <c r="G25" s="11"/>
      <c r="H25" s="11"/>
      <c r="I25" s="91"/>
      <c r="J25" s="102"/>
      <c r="K25" s="102"/>
      <c r="L25" s="102"/>
      <c r="M25" s="102"/>
      <c r="N25" s="102"/>
      <c r="O25" s="102"/>
      <c r="P25" s="102"/>
      <c r="Q25" s="102"/>
      <c r="R25" s="102"/>
      <c r="S25" s="102"/>
      <c r="T25" s="102"/>
      <c r="U25" s="102"/>
      <c r="V25" s="102"/>
      <c r="W25" s="102"/>
      <c r="X25" s="102"/>
      <c r="Y25" s="102"/>
      <c r="Z25" s="102"/>
    </row>
    <row r="26" spans="1:26" x14ac:dyDescent="0.3">
      <c r="A26" s="11"/>
      <c r="B26" s="11"/>
      <c r="C26" s="11"/>
      <c r="D26" s="11"/>
      <c r="E26" s="11"/>
      <c r="F26" s="11"/>
      <c r="G26" s="11"/>
      <c r="H26" s="11"/>
      <c r="I26" s="91"/>
      <c r="J26" s="102"/>
      <c r="K26" s="102"/>
      <c r="L26" s="102"/>
      <c r="M26" s="102"/>
      <c r="N26" s="102"/>
      <c r="O26" s="102"/>
      <c r="P26" s="102"/>
      <c r="Q26" s="102"/>
      <c r="R26" s="102"/>
      <c r="S26" s="102"/>
      <c r="T26" s="102"/>
      <c r="U26" s="102"/>
      <c r="V26" s="102"/>
      <c r="W26" s="102"/>
      <c r="X26" s="102"/>
      <c r="Y26" s="102"/>
      <c r="Z26" s="102"/>
    </row>
    <row r="27" spans="1:26" x14ac:dyDescent="0.3">
      <c r="A27" s="106">
        <v>3</v>
      </c>
      <c r="B27" s="109">
        <v>30.5</v>
      </c>
      <c r="C27" s="96" t="s">
        <v>2836</v>
      </c>
      <c r="D27" s="9"/>
      <c r="E27" s="9"/>
      <c r="F27" s="9"/>
      <c r="G27" s="9"/>
      <c r="H27" s="9"/>
      <c r="I27" s="108"/>
      <c r="J27" s="102"/>
      <c r="K27" s="102"/>
      <c r="L27" s="102"/>
      <c r="M27" s="102"/>
      <c r="N27" s="102"/>
      <c r="O27" s="102"/>
      <c r="P27" s="102"/>
      <c r="Q27" s="102"/>
      <c r="R27" s="102"/>
      <c r="S27" s="102"/>
      <c r="T27" s="102"/>
      <c r="U27" s="102"/>
      <c r="V27" s="102"/>
      <c r="W27" s="102"/>
      <c r="X27" s="102"/>
      <c r="Y27" s="102"/>
      <c r="Z27" s="102"/>
    </row>
    <row r="28" spans="1:26" x14ac:dyDescent="0.3">
      <c r="A28" s="109">
        <v>3.1</v>
      </c>
      <c r="B28" s="110">
        <v>47604</v>
      </c>
      <c r="C28" s="96" t="s">
        <v>2837</v>
      </c>
      <c r="D28" s="95" t="s">
        <v>2838</v>
      </c>
      <c r="E28" s="111">
        <v>44</v>
      </c>
      <c r="F28" s="112">
        <v>960</v>
      </c>
      <c r="G28" s="112">
        <v>220</v>
      </c>
      <c r="H28" s="113">
        <f t="shared" ref="H28:H29" si="4">E28*F28</f>
        <v>42240</v>
      </c>
      <c r="I28" s="113">
        <f t="shared" ref="I28:I29" si="5">E28*G28</f>
        <v>9680</v>
      </c>
      <c r="J28" s="102"/>
      <c r="K28" s="102"/>
      <c r="L28" s="102"/>
      <c r="M28" s="102"/>
      <c r="N28" s="102"/>
      <c r="O28" s="102"/>
      <c r="P28" s="102"/>
      <c r="Q28" s="102"/>
      <c r="R28" s="102"/>
      <c r="S28" s="102"/>
      <c r="T28" s="102"/>
      <c r="U28" s="102"/>
      <c r="V28" s="102"/>
      <c r="W28" s="102"/>
      <c r="X28" s="102"/>
      <c r="Y28" s="102"/>
      <c r="Z28" s="102"/>
    </row>
    <row r="29" spans="1:26" x14ac:dyDescent="0.3">
      <c r="A29" s="109">
        <v>3.2</v>
      </c>
      <c r="B29" s="110">
        <v>47605</v>
      </c>
      <c r="C29" s="96" t="s">
        <v>2839</v>
      </c>
      <c r="D29" s="95" t="s">
        <v>2840</v>
      </c>
      <c r="E29" s="111">
        <v>450</v>
      </c>
      <c r="F29" s="112">
        <v>520</v>
      </c>
      <c r="G29" s="112">
        <v>160</v>
      </c>
      <c r="H29" s="113">
        <f t="shared" si="4"/>
        <v>234000</v>
      </c>
      <c r="I29" s="113">
        <f t="shared" si="5"/>
        <v>72000</v>
      </c>
      <c r="J29" s="102"/>
      <c r="K29" s="102"/>
      <c r="L29" s="102"/>
      <c r="M29" s="102"/>
      <c r="N29" s="102"/>
      <c r="O29" s="102"/>
      <c r="P29" s="102"/>
      <c r="Q29" s="102"/>
      <c r="R29" s="102"/>
      <c r="S29" s="102"/>
      <c r="T29" s="102"/>
      <c r="U29" s="102"/>
      <c r="V29" s="102"/>
      <c r="W29" s="102"/>
      <c r="X29" s="102"/>
      <c r="Y29" s="102"/>
      <c r="Z29" s="102"/>
    </row>
    <row r="30" spans="1:26" x14ac:dyDescent="0.3">
      <c r="A30" s="11"/>
      <c r="B30" s="11"/>
      <c r="C30" s="11"/>
      <c r="D30" s="11"/>
      <c r="E30" s="11"/>
      <c r="F30" s="11"/>
      <c r="G30" s="11"/>
      <c r="H30" s="11"/>
      <c r="I30" s="91"/>
      <c r="J30" s="102"/>
      <c r="K30" s="102"/>
      <c r="L30" s="102"/>
      <c r="M30" s="102"/>
      <c r="N30" s="102"/>
      <c r="O30" s="102"/>
      <c r="P30" s="102"/>
      <c r="Q30" s="102"/>
      <c r="R30" s="102"/>
      <c r="S30" s="102"/>
      <c r="T30" s="102"/>
      <c r="U30" s="102"/>
      <c r="V30" s="102"/>
      <c r="W30" s="102"/>
      <c r="X30" s="102"/>
      <c r="Y30" s="102"/>
      <c r="Z30" s="102"/>
    </row>
    <row r="31" spans="1:26" x14ac:dyDescent="0.3">
      <c r="A31" s="11"/>
      <c r="B31" s="11"/>
      <c r="C31" s="96" t="s">
        <v>2841</v>
      </c>
      <c r="D31" s="11"/>
      <c r="E31" s="11"/>
      <c r="F31" s="11"/>
      <c r="G31" s="11"/>
      <c r="H31" s="11"/>
      <c r="I31" s="91"/>
      <c r="J31" s="102"/>
      <c r="K31" s="102"/>
      <c r="L31" s="102"/>
      <c r="M31" s="102"/>
      <c r="N31" s="102"/>
      <c r="O31" s="102"/>
      <c r="P31" s="102"/>
      <c r="Q31" s="102"/>
      <c r="R31" s="102"/>
      <c r="S31" s="102"/>
      <c r="T31" s="102"/>
      <c r="U31" s="102"/>
      <c r="V31" s="102"/>
      <c r="W31" s="102"/>
      <c r="X31" s="102"/>
      <c r="Y31" s="102"/>
      <c r="Z31" s="102"/>
    </row>
    <row r="32" spans="1:26" x14ac:dyDescent="0.3">
      <c r="A32" s="106">
        <v>4</v>
      </c>
      <c r="B32" s="109">
        <v>30.7</v>
      </c>
      <c r="C32" s="9" t="s">
        <v>2842</v>
      </c>
      <c r="D32" s="9"/>
      <c r="E32" s="9"/>
      <c r="F32" s="9"/>
      <c r="G32" s="9"/>
      <c r="H32" s="9"/>
      <c r="I32" s="108"/>
      <c r="J32" s="102"/>
      <c r="K32" s="102"/>
      <c r="L32" s="102"/>
      <c r="M32" s="102"/>
      <c r="N32" s="102"/>
      <c r="O32" s="102"/>
      <c r="P32" s="102"/>
      <c r="Q32" s="102"/>
      <c r="R32" s="102"/>
      <c r="S32" s="102"/>
      <c r="T32" s="102"/>
      <c r="U32" s="102"/>
      <c r="V32" s="102"/>
      <c r="W32" s="102"/>
      <c r="X32" s="102"/>
      <c r="Y32" s="102"/>
      <c r="Z32" s="102"/>
    </row>
    <row r="33" spans="1:26" x14ac:dyDescent="0.3">
      <c r="A33" s="107">
        <v>4.0999999999999996</v>
      </c>
      <c r="B33" s="116">
        <v>47665</v>
      </c>
      <c r="C33" s="9" t="s">
        <v>2843</v>
      </c>
      <c r="D33" s="10"/>
      <c r="E33" s="10"/>
      <c r="F33" s="10"/>
      <c r="G33" s="10"/>
      <c r="H33" s="10"/>
      <c r="I33" s="117"/>
      <c r="J33" s="102"/>
      <c r="K33" s="102"/>
      <c r="L33" s="102"/>
      <c r="M33" s="102"/>
      <c r="N33" s="102"/>
      <c r="O33" s="102"/>
      <c r="P33" s="102"/>
      <c r="Q33" s="102"/>
      <c r="R33" s="102"/>
      <c r="S33" s="102"/>
      <c r="T33" s="102"/>
      <c r="U33" s="102"/>
      <c r="V33" s="102"/>
      <c r="W33" s="102"/>
      <c r="X33" s="102"/>
      <c r="Y33" s="102"/>
      <c r="Z33" s="102"/>
    </row>
    <row r="34" spans="1:26" x14ac:dyDescent="0.3">
      <c r="A34" s="11"/>
      <c r="B34" s="11"/>
      <c r="C34" s="11"/>
      <c r="D34" s="11"/>
      <c r="E34" s="11"/>
      <c r="F34" s="11"/>
      <c r="G34" s="11"/>
      <c r="H34" s="11"/>
      <c r="I34" s="91"/>
      <c r="J34" s="102"/>
      <c r="K34" s="102"/>
      <c r="L34" s="102"/>
      <c r="M34" s="102"/>
      <c r="N34" s="102"/>
      <c r="O34" s="102"/>
      <c r="P34" s="102"/>
      <c r="Q34" s="102"/>
      <c r="R34" s="102"/>
      <c r="S34" s="102"/>
      <c r="T34" s="102"/>
      <c r="U34" s="102"/>
      <c r="V34" s="102"/>
      <c r="W34" s="102"/>
      <c r="X34" s="102"/>
      <c r="Y34" s="102"/>
      <c r="Z34" s="102"/>
    </row>
    <row r="35" spans="1:26" x14ac:dyDescent="0.3">
      <c r="A35" s="95" t="s">
        <v>2844</v>
      </c>
      <c r="B35" s="95" t="s">
        <v>2845</v>
      </c>
      <c r="C35" s="96" t="s">
        <v>2846</v>
      </c>
      <c r="D35" s="95" t="s">
        <v>2847</v>
      </c>
      <c r="E35" s="111">
        <v>16</v>
      </c>
      <c r="F35" s="112"/>
      <c r="G35" s="112"/>
      <c r="H35" s="113">
        <f t="shared" ref="H35:H38" si="6">E35*F35</f>
        <v>0</v>
      </c>
      <c r="I35" s="113">
        <f t="shared" ref="I35:I38" si="7">E35*G35</f>
        <v>0</v>
      </c>
      <c r="J35" s="102"/>
      <c r="K35" s="102"/>
      <c r="L35" s="102"/>
      <c r="M35" s="102"/>
      <c r="N35" s="102"/>
      <c r="O35" s="102"/>
      <c r="P35" s="102"/>
      <c r="Q35" s="102"/>
      <c r="R35" s="102"/>
      <c r="S35" s="102"/>
      <c r="T35" s="102"/>
      <c r="U35" s="102"/>
      <c r="V35" s="102"/>
      <c r="W35" s="102"/>
      <c r="X35" s="102"/>
      <c r="Y35" s="102"/>
      <c r="Z35" s="102"/>
    </row>
    <row r="36" spans="1:26" x14ac:dyDescent="0.3">
      <c r="A36" s="95" t="s">
        <v>2848</v>
      </c>
      <c r="B36" s="95" t="s">
        <v>2849</v>
      </c>
      <c r="C36" s="96" t="s">
        <v>2850</v>
      </c>
      <c r="D36" s="95" t="s">
        <v>2851</v>
      </c>
      <c r="E36" s="111">
        <v>4</v>
      </c>
      <c r="F36" s="112"/>
      <c r="G36" s="112"/>
      <c r="H36" s="113">
        <f t="shared" si="6"/>
        <v>0</v>
      </c>
      <c r="I36" s="113">
        <f t="shared" si="7"/>
        <v>0</v>
      </c>
      <c r="J36" s="102"/>
      <c r="K36" s="102"/>
      <c r="L36" s="102"/>
      <c r="M36" s="102"/>
      <c r="N36" s="102"/>
      <c r="O36" s="102"/>
      <c r="P36" s="102"/>
      <c r="Q36" s="102"/>
      <c r="R36" s="102"/>
      <c r="S36" s="102"/>
      <c r="T36" s="102"/>
      <c r="U36" s="102"/>
      <c r="V36" s="102"/>
      <c r="W36" s="102"/>
      <c r="X36" s="102"/>
      <c r="Y36" s="102"/>
      <c r="Z36" s="102"/>
    </row>
    <row r="37" spans="1:26" x14ac:dyDescent="0.3">
      <c r="A37" s="95" t="s">
        <v>2852</v>
      </c>
      <c r="B37" s="95" t="s">
        <v>2853</v>
      </c>
      <c r="C37" s="96" t="s">
        <v>2854</v>
      </c>
      <c r="D37" s="95" t="s">
        <v>2855</v>
      </c>
      <c r="E37" s="111">
        <v>4</v>
      </c>
      <c r="F37" s="112"/>
      <c r="G37" s="112"/>
      <c r="H37" s="113">
        <f t="shared" si="6"/>
        <v>0</v>
      </c>
      <c r="I37" s="113">
        <f t="shared" si="7"/>
        <v>0</v>
      </c>
      <c r="J37" s="102"/>
      <c r="K37" s="102"/>
      <c r="L37" s="102"/>
      <c r="M37" s="102"/>
      <c r="N37" s="102"/>
      <c r="O37" s="102"/>
      <c r="P37" s="102"/>
      <c r="Q37" s="102"/>
      <c r="R37" s="102"/>
      <c r="S37" s="102"/>
      <c r="T37" s="102"/>
      <c r="U37" s="102"/>
      <c r="V37" s="102"/>
      <c r="W37" s="102"/>
      <c r="X37" s="102"/>
      <c r="Y37" s="102"/>
      <c r="Z37" s="102"/>
    </row>
    <row r="38" spans="1:26" x14ac:dyDescent="0.3">
      <c r="A38" s="95" t="s">
        <v>2856</v>
      </c>
      <c r="B38" s="95" t="s">
        <v>2857</v>
      </c>
      <c r="C38" s="96" t="s">
        <v>2858</v>
      </c>
      <c r="D38" s="95" t="s">
        <v>2859</v>
      </c>
      <c r="E38" s="111">
        <v>26</v>
      </c>
      <c r="F38" s="112"/>
      <c r="G38" s="112"/>
      <c r="H38" s="113">
        <f t="shared" si="6"/>
        <v>0</v>
      </c>
      <c r="I38" s="113">
        <f t="shared" si="7"/>
        <v>0</v>
      </c>
      <c r="J38" s="102"/>
      <c r="K38" s="102"/>
      <c r="L38" s="102"/>
      <c r="M38" s="102"/>
      <c r="N38" s="102"/>
      <c r="O38" s="102"/>
      <c r="P38" s="102"/>
      <c r="Q38" s="102"/>
      <c r="R38" s="102"/>
      <c r="S38" s="102"/>
      <c r="T38" s="102"/>
      <c r="U38" s="102"/>
      <c r="V38" s="102"/>
      <c r="W38" s="102"/>
      <c r="X38" s="102"/>
      <c r="Y38" s="102"/>
      <c r="Z38" s="102"/>
    </row>
    <row r="39" spans="1:26" x14ac:dyDescent="0.3">
      <c r="A39" s="11"/>
      <c r="B39" s="11"/>
      <c r="C39" s="11"/>
      <c r="D39" s="11"/>
      <c r="E39" s="11"/>
      <c r="F39" s="11"/>
      <c r="G39" s="11"/>
      <c r="H39" s="11"/>
      <c r="I39" s="91"/>
      <c r="J39" s="102"/>
      <c r="K39" s="102"/>
      <c r="L39" s="102"/>
      <c r="M39" s="102"/>
      <c r="N39" s="102"/>
      <c r="O39" s="102"/>
      <c r="P39" s="102"/>
      <c r="Q39" s="102"/>
      <c r="R39" s="102"/>
      <c r="S39" s="102"/>
      <c r="T39" s="102"/>
      <c r="U39" s="102"/>
      <c r="V39" s="102"/>
      <c r="W39" s="102"/>
      <c r="X39" s="102"/>
      <c r="Y39" s="102"/>
      <c r="Z39" s="102"/>
    </row>
    <row r="40" spans="1:26" x14ac:dyDescent="0.3">
      <c r="A40" s="109">
        <v>4.2</v>
      </c>
      <c r="B40" s="110">
        <v>47666</v>
      </c>
      <c r="C40" s="9" t="s">
        <v>2860</v>
      </c>
      <c r="D40" s="9"/>
      <c r="E40" s="9"/>
      <c r="F40" s="9"/>
      <c r="G40" s="9"/>
      <c r="H40" s="9"/>
      <c r="I40" s="108"/>
      <c r="J40" s="102"/>
      <c r="K40" s="102"/>
      <c r="L40" s="102"/>
      <c r="M40" s="102"/>
      <c r="N40" s="102"/>
      <c r="O40" s="102"/>
      <c r="P40" s="102"/>
      <c r="Q40" s="102"/>
      <c r="R40" s="102"/>
      <c r="S40" s="102"/>
      <c r="T40" s="102"/>
      <c r="U40" s="102"/>
      <c r="V40" s="102"/>
      <c r="W40" s="102"/>
      <c r="X40" s="102"/>
      <c r="Y40" s="102"/>
      <c r="Z40" s="102"/>
    </row>
    <row r="41" spans="1:26" x14ac:dyDescent="0.3">
      <c r="A41" s="95" t="s">
        <v>2861</v>
      </c>
      <c r="B41" s="95" t="s">
        <v>2862</v>
      </c>
      <c r="C41" s="96" t="s">
        <v>2863</v>
      </c>
      <c r="D41" s="95" t="s">
        <v>2864</v>
      </c>
      <c r="E41" s="111">
        <v>6</v>
      </c>
      <c r="F41" s="112"/>
      <c r="G41" s="112"/>
      <c r="H41" s="113">
        <f t="shared" ref="H41:H44" si="8">E41*F41</f>
        <v>0</v>
      </c>
      <c r="I41" s="113">
        <f t="shared" ref="I41:I44" si="9">E41*G41</f>
        <v>0</v>
      </c>
      <c r="J41" s="102"/>
      <c r="K41" s="102"/>
      <c r="L41" s="102"/>
      <c r="M41" s="102"/>
      <c r="N41" s="102"/>
      <c r="O41" s="102"/>
      <c r="P41" s="102"/>
      <c r="Q41" s="102"/>
      <c r="R41" s="102"/>
      <c r="S41" s="102"/>
      <c r="T41" s="102"/>
      <c r="U41" s="102"/>
      <c r="V41" s="102"/>
      <c r="W41" s="102"/>
      <c r="X41" s="102"/>
      <c r="Y41" s="102"/>
      <c r="Z41" s="102"/>
    </row>
    <row r="42" spans="1:26" x14ac:dyDescent="0.3">
      <c r="A42" s="95" t="s">
        <v>2865</v>
      </c>
      <c r="B42" s="95" t="s">
        <v>2866</v>
      </c>
      <c r="C42" s="96" t="s">
        <v>2867</v>
      </c>
      <c r="D42" s="95" t="s">
        <v>2868</v>
      </c>
      <c r="E42" s="111">
        <v>1</v>
      </c>
      <c r="F42" s="112"/>
      <c r="G42" s="112"/>
      <c r="H42" s="113">
        <f t="shared" si="8"/>
        <v>0</v>
      </c>
      <c r="I42" s="113">
        <f t="shared" si="9"/>
        <v>0</v>
      </c>
      <c r="J42" s="102"/>
      <c r="K42" s="102"/>
      <c r="L42" s="102"/>
      <c r="M42" s="102"/>
      <c r="N42" s="102"/>
      <c r="O42" s="102"/>
      <c r="P42" s="102"/>
      <c r="Q42" s="102"/>
      <c r="R42" s="102"/>
      <c r="S42" s="102"/>
      <c r="T42" s="102"/>
      <c r="U42" s="102"/>
      <c r="V42" s="102"/>
      <c r="W42" s="102"/>
      <c r="X42" s="102"/>
      <c r="Y42" s="102"/>
      <c r="Z42" s="102"/>
    </row>
    <row r="43" spans="1:26" x14ac:dyDescent="0.3">
      <c r="A43" s="95" t="s">
        <v>2869</v>
      </c>
      <c r="B43" s="95" t="s">
        <v>2870</v>
      </c>
      <c r="C43" s="96" t="s">
        <v>2871</v>
      </c>
      <c r="D43" s="95" t="s">
        <v>2872</v>
      </c>
      <c r="E43" s="111">
        <v>1</v>
      </c>
      <c r="F43" s="112"/>
      <c r="G43" s="112"/>
      <c r="H43" s="113">
        <f t="shared" si="8"/>
        <v>0</v>
      </c>
      <c r="I43" s="113">
        <f t="shared" si="9"/>
        <v>0</v>
      </c>
      <c r="J43" s="102"/>
      <c r="K43" s="102"/>
      <c r="L43" s="102"/>
      <c r="M43" s="102"/>
      <c r="N43" s="102"/>
      <c r="O43" s="102"/>
      <c r="P43" s="102"/>
      <c r="Q43" s="102"/>
      <c r="R43" s="102"/>
      <c r="S43" s="102"/>
      <c r="T43" s="102"/>
      <c r="U43" s="102"/>
      <c r="V43" s="102"/>
      <c r="W43" s="102"/>
      <c r="X43" s="102"/>
      <c r="Y43" s="102"/>
      <c r="Z43" s="102"/>
    </row>
    <row r="44" spans="1:26" x14ac:dyDescent="0.3">
      <c r="A44" s="95" t="s">
        <v>2873</v>
      </c>
      <c r="B44" s="95" t="s">
        <v>2874</v>
      </c>
      <c r="C44" s="96" t="s">
        <v>2875</v>
      </c>
      <c r="D44" s="95" t="s">
        <v>2876</v>
      </c>
      <c r="E44" s="111">
        <v>7</v>
      </c>
      <c r="F44" s="112"/>
      <c r="G44" s="112"/>
      <c r="H44" s="113">
        <f t="shared" si="8"/>
        <v>0</v>
      </c>
      <c r="I44" s="113">
        <f t="shared" si="9"/>
        <v>0</v>
      </c>
      <c r="J44" s="102"/>
      <c r="K44" s="102"/>
      <c r="L44" s="102"/>
      <c r="M44" s="102"/>
      <c r="N44" s="102"/>
      <c r="O44" s="102"/>
      <c r="P44" s="102"/>
      <c r="Q44" s="102"/>
      <c r="R44" s="102"/>
      <c r="S44" s="102"/>
      <c r="T44" s="102"/>
      <c r="U44" s="102"/>
      <c r="V44" s="102"/>
      <c r="W44" s="102"/>
      <c r="X44" s="102"/>
      <c r="Y44" s="102"/>
      <c r="Z44" s="102"/>
    </row>
    <row r="45" spans="1:26" x14ac:dyDescent="0.3">
      <c r="A45" s="11"/>
      <c r="B45" s="11"/>
      <c r="C45" s="11"/>
      <c r="D45" s="11"/>
      <c r="E45" s="11"/>
      <c r="F45" s="11"/>
      <c r="G45" s="11"/>
      <c r="H45" s="11"/>
      <c r="I45" s="91"/>
      <c r="J45" s="102"/>
      <c r="K45" s="102"/>
      <c r="L45" s="102"/>
      <c r="M45" s="102"/>
      <c r="N45" s="102"/>
      <c r="O45" s="102"/>
      <c r="P45" s="102"/>
      <c r="Q45" s="102"/>
      <c r="R45" s="102"/>
      <c r="S45" s="102"/>
      <c r="T45" s="102"/>
      <c r="U45" s="102"/>
      <c r="V45" s="102"/>
      <c r="W45" s="102"/>
      <c r="X45" s="102"/>
      <c r="Y45" s="102"/>
      <c r="Z45" s="102"/>
    </row>
    <row r="46" spans="1:26" x14ac:dyDescent="0.3">
      <c r="A46" s="107">
        <v>4.3</v>
      </c>
      <c r="B46" s="116">
        <v>47667</v>
      </c>
      <c r="C46" s="9" t="s">
        <v>2877</v>
      </c>
      <c r="D46" s="10"/>
      <c r="E46" s="10"/>
      <c r="F46" s="10"/>
      <c r="G46" s="10"/>
      <c r="H46" s="10"/>
      <c r="I46" s="117"/>
      <c r="J46" s="102"/>
      <c r="K46" s="102"/>
      <c r="L46" s="102"/>
      <c r="M46" s="102"/>
      <c r="N46" s="102"/>
      <c r="O46" s="102"/>
      <c r="P46" s="102"/>
      <c r="Q46" s="102"/>
      <c r="R46" s="102"/>
      <c r="S46" s="102"/>
      <c r="T46" s="102"/>
      <c r="U46" s="102"/>
      <c r="V46" s="102"/>
      <c r="W46" s="102"/>
      <c r="X46" s="102"/>
      <c r="Y46" s="102"/>
      <c r="Z46" s="102"/>
    </row>
    <row r="47" spans="1:26" x14ac:dyDescent="0.3">
      <c r="A47" s="95" t="s">
        <v>2878</v>
      </c>
      <c r="B47" s="95" t="s">
        <v>2879</v>
      </c>
      <c r="C47" s="96" t="s">
        <v>2880</v>
      </c>
      <c r="D47" s="95" t="s">
        <v>2881</v>
      </c>
      <c r="E47" s="111">
        <v>4</v>
      </c>
      <c r="F47" s="112"/>
      <c r="G47" s="112"/>
      <c r="H47" s="113">
        <f>E47*F47</f>
        <v>0</v>
      </c>
      <c r="I47" s="113">
        <f>E47*G47</f>
        <v>0</v>
      </c>
      <c r="J47" s="102"/>
      <c r="K47" s="102"/>
      <c r="L47" s="102"/>
      <c r="M47" s="102"/>
      <c r="N47" s="102"/>
      <c r="O47" s="102"/>
      <c r="P47" s="102"/>
      <c r="Q47" s="102"/>
      <c r="R47" s="102"/>
      <c r="S47" s="102"/>
      <c r="T47" s="102"/>
      <c r="U47" s="102"/>
      <c r="V47" s="102"/>
      <c r="W47" s="102"/>
      <c r="X47" s="102"/>
      <c r="Y47" s="102"/>
      <c r="Z47" s="102"/>
    </row>
    <row r="48" spans="1:26" x14ac:dyDescent="0.3">
      <c r="A48" s="11"/>
      <c r="B48" s="11"/>
      <c r="C48" s="11"/>
      <c r="D48" s="11"/>
      <c r="E48" s="11"/>
      <c r="F48" s="11"/>
      <c r="G48" s="11"/>
      <c r="H48" s="11"/>
      <c r="I48" s="91"/>
      <c r="J48" s="102"/>
      <c r="K48" s="102"/>
      <c r="L48" s="102"/>
      <c r="M48" s="102"/>
      <c r="N48" s="102"/>
      <c r="O48" s="102"/>
      <c r="P48" s="102"/>
      <c r="Q48" s="102"/>
      <c r="R48" s="102"/>
      <c r="S48" s="102"/>
      <c r="T48" s="102"/>
      <c r="U48" s="102"/>
      <c r="V48" s="102"/>
      <c r="W48" s="102"/>
      <c r="X48" s="102"/>
      <c r="Y48" s="102"/>
      <c r="Z48" s="102"/>
    </row>
    <row r="49" spans="1:26" x14ac:dyDescent="0.3">
      <c r="A49" s="107">
        <v>4.4000000000000004</v>
      </c>
      <c r="B49" s="116">
        <v>47668</v>
      </c>
      <c r="C49" s="96" t="s">
        <v>2882</v>
      </c>
      <c r="D49" s="10"/>
      <c r="E49" s="10"/>
      <c r="F49" s="10"/>
      <c r="G49" s="10"/>
      <c r="H49" s="10"/>
      <c r="I49" s="117"/>
      <c r="J49" s="102"/>
      <c r="K49" s="102"/>
      <c r="L49" s="102"/>
      <c r="M49" s="102"/>
      <c r="N49" s="102"/>
      <c r="O49" s="102"/>
      <c r="P49" s="102"/>
      <c r="Q49" s="102"/>
      <c r="R49" s="102"/>
      <c r="S49" s="102"/>
      <c r="T49" s="102"/>
      <c r="U49" s="102"/>
      <c r="V49" s="102"/>
      <c r="W49" s="102"/>
      <c r="X49" s="102"/>
      <c r="Y49" s="102"/>
      <c r="Z49" s="102"/>
    </row>
    <row r="50" spans="1:26" x14ac:dyDescent="0.3">
      <c r="A50" s="95" t="s">
        <v>2883</v>
      </c>
      <c r="B50" s="95" t="s">
        <v>2884</v>
      </c>
      <c r="C50" s="96" t="s">
        <v>2885</v>
      </c>
      <c r="D50" s="95" t="s">
        <v>2886</v>
      </c>
      <c r="E50" s="111">
        <v>4</v>
      </c>
      <c r="F50" s="112"/>
      <c r="G50" s="112"/>
      <c r="H50" s="113">
        <f t="shared" ref="H50:H55" si="10">E50*F50</f>
        <v>0</v>
      </c>
      <c r="I50" s="113">
        <f t="shared" ref="I50:I55" si="11">E50*G50</f>
        <v>0</v>
      </c>
      <c r="J50" s="102"/>
      <c r="K50" s="102"/>
      <c r="L50" s="102"/>
      <c r="M50" s="102"/>
      <c r="N50" s="102"/>
      <c r="O50" s="102"/>
      <c r="P50" s="102"/>
      <c r="Q50" s="102"/>
      <c r="R50" s="102"/>
      <c r="S50" s="102"/>
      <c r="T50" s="102"/>
      <c r="U50" s="102"/>
      <c r="V50" s="102"/>
      <c r="W50" s="102"/>
      <c r="X50" s="102"/>
      <c r="Y50" s="102"/>
      <c r="Z50" s="102"/>
    </row>
    <row r="51" spans="1:26" x14ac:dyDescent="0.3">
      <c r="A51" s="95" t="s">
        <v>2887</v>
      </c>
      <c r="B51" s="95" t="s">
        <v>2888</v>
      </c>
      <c r="C51" s="96" t="s">
        <v>2889</v>
      </c>
      <c r="D51" s="95" t="s">
        <v>2890</v>
      </c>
      <c r="E51" s="111">
        <v>1</v>
      </c>
      <c r="F51" s="112"/>
      <c r="G51" s="112"/>
      <c r="H51" s="113">
        <f t="shared" si="10"/>
        <v>0</v>
      </c>
      <c r="I51" s="113">
        <f t="shared" si="11"/>
        <v>0</v>
      </c>
      <c r="J51" s="102"/>
      <c r="K51" s="102"/>
      <c r="L51" s="102"/>
      <c r="M51" s="102"/>
      <c r="N51" s="102"/>
      <c r="O51" s="102"/>
      <c r="P51" s="102"/>
      <c r="Q51" s="102"/>
      <c r="R51" s="102"/>
      <c r="S51" s="102"/>
      <c r="T51" s="102"/>
      <c r="U51" s="102"/>
      <c r="V51" s="102"/>
      <c r="W51" s="102"/>
      <c r="X51" s="102"/>
      <c r="Y51" s="102"/>
      <c r="Z51" s="102"/>
    </row>
    <row r="52" spans="1:26" x14ac:dyDescent="0.3">
      <c r="A52" s="95" t="s">
        <v>2891</v>
      </c>
      <c r="B52" s="95" t="s">
        <v>2892</v>
      </c>
      <c r="C52" s="96" t="s">
        <v>2893</v>
      </c>
      <c r="D52" s="95" t="s">
        <v>2894</v>
      </c>
      <c r="E52" s="111">
        <v>2</v>
      </c>
      <c r="F52" s="112"/>
      <c r="G52" s="112"/>
      <c r="H52" s="113">
        <f t="shared" si="10"/>
        <v>0</v>
      </c>
      <c r="I52" s="113">
        <f t="shared" si="11"/>
        <v>0</v>
      </c>
      <c r="J52" s="102"/>
      <c r="K52" s="102"/>
      <c r="L52" s="102"/>
      <c r="M52" s="102"/>
      <c r="N52" s="102"/>
      <c r="O52" s="102"/>
      <c r="P52" s="102"/>
      <c r="Q52" s="102"/>
      <c r="R52" s="102"/>
      <c r="S52" s="102"/>
      <c r="T52" s="102"/>
      <c r="U52" s="102"/>
      <c r="V52" s="102"/>
      <c r="W52" s="102"/>
      <c r="X52" s="102"/>
      <c r="Y52" s="102"/>
      <c r="Z52" s="102"/>
    </row>
    <row r="53" spans="1:26" x14ac:dyDescent="0.3">
      <c r="A53" s="95" t="s">
        <v>2895</v>
      </c>
      <c r="B53" s="95" t="s">
        <v>2896</v>
      </c>
      <c r="C53" s="96" t="s">
        <v>2897</v>
      </c>
      <c r="D53" s="95" t="s">
        <v>2898</v>
      </c>
      <c r="E53" s="111">
        <v>12</v>
      </c>
      <c r="F53" s="112"/>
      <c r="G53" s="112"/>
      <c r="H53" s="113">
        <f t="shared" si="10"/>
        <v>0</v>
      </c>
      <c r="I53" s="113">
        <f t="shared" si="11"/>
        <v>0</v>
      </c>
      <c r="J53" s="102"/>
      <c r="K53" s="102"/>
      <c r="L53" s="102"/>
      <c r="M53" s="102"/>
      <c r="N53" s="102"/>
      <c r="O53" s="102"/>
      <c r="P53" s="102"/>
      <c r="Q53" s="102"/>
      <c r="R53" s="102"/>
      <c r="S53" s="102"/>
      <c r="T53" s="102"/>
      <c r="U53" s="102"/>
      <c r="V53" s="102"/>
      <c r="W53" s="102"/>
      <c r="X53" s="102"/>
      <c r="Y53" s="102"/>
      <c r="Z53" s="102"/>
    </row>
    <row r="54" spans="1:26" x14ac:dyDescent="0.3">
      <c r="A54" s="95" t="s">
        <v>2899</v>
      </c>
      <c r="B54" s="95" t="s">
        <v>2900</v>
      </c>
      <c r="C54" s="96" t="s">
        <v>2901</v>
      </c>
      <c r="D54" s="95" t="s">
        <v>2902</v>
      </c>
      <c r="E54" s="111">
        <v>36</v>
      </c>
      <c r="F54" s="112"/>
      <c r="G54" s="112"/>
      <c r="H54" s="113">
        <f t="shared" si="10"/>
        <v>0</v>
      </c>
      <c r="I54" s="113">
        <f t="shared" si="11"/>
        <v>0</v>
      </c>
      <c r="J54" s="102"/>
      <c r="K54" s="102"/>
      <c r="L54" s="102"/>
      <c r="M54" s="102"/>
      <c r="N54" s="102"/>
      <c r="O54" s="102"/>
      <c r="P54" s="102"/>
      <c r="Q54" s="102"/>
      <c r="R54" s="102"/>
      <c r="S54" s="102"/>
      <c r="T54" s="102"/>
      <c r="U54" s="102"/>
      <c r="V54" s="102"/>
      <c r="W54" s="102"/>
      <c r="X54" s="102"/>
      <c r="Y54" s="102"/>
      <c r="Z54" s="102"/>
    </row>
    <row r="55" spans="1:26" x14ac:dyDescent="0.3">
      <c r="A55" s="95" t="s">
        <v>2903</v>
      </c>
      <c r="B55" s="95" t="s">
        <v>2904</v>
      </c>
      <c r="C55" s="96" t="s">
        <v>2905</v>
      </c>
      <c r="D55" s="95" t="s">
        <v>2906</v>
      </c>
      <c r="E55" s="111">
        <v>8</v>
      </c>
      <c r="F55" s="112"/>
      <c r="G55" s="112"/>
      <c r="H55" s="113">
        <f t="shared" si="10"/>
        <v>0</v>
      </c>
      <c r="I55" s="113">
        <f t="shared" si="11"/>
        <v>0</v>
      </c>
      <c r="J55" s="102"/>
      <c r="K55" s="102"/>
      <c r="L55" s="102"/>
      <c r="M55" s="102"/>
      <c r="N55" s="102"/>
      <c r="O55" s="102"/>
      <c r="P55" s="102"/>
      <c r="Q55" s="102"/>
      <c r="R55" s="102"/>
      <c r="S55" s="102"/>
      <c r="T55" s="102"/>
      <c r="U55" s="102"/>
      <c r="V55" s="102"/>
      <c r="W55" s="102"/>
      <c r="X55" s="102"/>
      <c r="Y55" s="102"/>
      <c r="Z55" s="102"/>
    </row>
    <row r="56" spans="1:26" x14ac:dyDescent="0.3">
      <c r="A56" s="11"/>
      <c r="B56" s="11"/>
      <c r="C56" s="11"/>
      <c r="D56" s="11"/>
      <c r="E56" s="11"/>
      <c r="F56" s="11"/>
      <c r="G56" s="11"/>
      <c r="H56" s="11"/>
      <c r="I56" s="91"/>
      <c r="J56" s="102"/>
      <c r="K56" s="102"/>
      <c r="L56" s="102"/>
      <c r="M56" s="102"/>
      <c r="N56" s="102"/>
      <c r="O56" s="102"/>
      <c r="P56" s="102"/>
      <c r="Q56" s="102"/>
      <c r="R56" s="102"/>
      <c r="S56" s="102"/>
      <c r="T56" s="102"/>
      <c r="U56" s="102"/>
      <c r="V56" s="102"/>
      <c r="W56" s="102"/>
      <c r="X56" s="102"/>
      <c r="Y56" s="102"/>
      <c r="Z56" s="102"/>
    </row>
    <row r="57" spans="1:26" x14ac:dyDescent="0.3">
      <c r="A57" s="109">
        <v>4.5</v>
      </c>
      <c r="B57" s="109">
        <v>30.8</v>
      </c>
      <c r="C57" s="9" t="s">
        <v>2907</v>
      </c>
      <c r="D57" s="95" t="s">
        <v>2908</v>
      </c>
      <c r="E57" s="111">
        <v>134</v>
      </c>
      <c r="F57" s="112"/>
      <c r="G57" s="112"/>
      <c r="H57" s="113">
        <f>E57*F57</f>
        <v>0</v>
      </c>
      <c r="I57" s="113">
        <f>E57*G57</f>
        <v>0</v>
      </c>
      <c r="J57" s="102"/>
      <c r="K57" s="102"/>
      <c r="L57" s="102"/>
      <c r="M57" s="102"/>
      <c r="N57" s="102"/>
      <c r="O57" s="102"/>
      <c r="P57" s="102"/>
      <c r="Q57" s="102"/>
      <c r="R57" s="102"/>
      <c r="S57" s="102"/>
      <c r="T57" s="102"/>
      <c r="U57" s="102"/>
      <c r="V57" s="102"/>
      <c r="W57" s="102"/>
      <c r="X57" s="102"/>
      <c r="Y57" s="102"/>
      <c r="Z57" s="102"/>
    </row>
    <row r="58" spans="1:26" x14ac:dyDescent="0.3">
      <c r="A58" s="11"/>
      <c r="B58" s="11"/>
      <c r="C58" s="11"/>
      <c r="D58" s="11"/>
      <c r="E58" s="11"/>
      <c r="F58" s="11"/>
      <c r="G58" s="11"/>
      <c r="H58" s="11"/>
      <c r="I58" s="91"/>
      <c r="J58" s="102"/>
      <c r="K58" s="102"/>
      <c r="L58" s="102"/>
      <c r="M58" s="102"/>
      <c r="N58" s="102"/>
      <c r="O58" s="102"/>
      <c r="P58" s="102"/>
      <c r="Q58" s="102"/>
      <c r="R58" s="102"/>
      <c r="S58" s="102"/>
      <c r="T58" s="102"/>
      <c r="U58" s="102"/>
      <c r="V58" s="102"/>
      <c r="W58" s="102"/>
      <c r="X58" s="102"/>
      <c r="Y58" s="102"/>
      <c r="Z58" s="102"/>
    </row>
    <row r="59" spans="1:26" x14ac:dyDescent="0.3">
      <c r="A59" s="109">
        <v>4.5999999999999996</v>
      </c>
      <c r="B59" s="109">
        <v>30.9</v>
      </c>
      <c r="C59" s="9" t="s">
        <v>2909</v>
      </c>
      <c r="D59" s="95" t="s">
        <v>2910</v>
      </c>
      <c r="E59" s="111">
        <v>134</v>
      </c>
      <c r="F59" s="112"/>
      <c r="G59" s="112"/>
      <c r="H59" s="113">
        <f>E59*F59</f>
        <v>0</v>
      </c>
      <c r="I59" s="113">
        <f>E59*G59</f>
        <v>0</v>
      </c>
      <c r="J59" s="102"/>
      <c r="K59" s="102"/>
      <c r="L59" s="102"/>
      <c r="M59" s="102"/>
      <c r="N59" s="102"/>
      <c r="O59" s="102"/>
      <c r="P59" s="102"/>
      <c r="Q59" s="102"/>
      <c r="R59" s="102"/>
      <c r="S59" s="102"/>
      <c r="T59" s="102"/>
      <c r="U59" s="102"/>
      <c r="V59" s="102"/>
      <c r="W59" s="102"/>
      <c r="X59" s="102"/>
      <c r="Y59" s="102"/>
      <c r="Z59" s="102"/>
    </row>
    <row r="60" spans="1:26" x14ac:dyDescent="0.3">
      <c r="A60" s="11"/>
      <c r="B60" s="11"/>
      <c r="C60" s="11"/>
      <c r="D60" s="11"/>
      <c r="E60" s="11"/>
      <c r="F60" s="11"/>
      <c r="G60" s="11"/>
      <c r="H60" s="11"/>
      <c r="I60" s="91"/>
      <c r="J60" s="102"/>
      <c r="K60" s="102"/>
      <c r="L60" s="102"/>
      <c r="M60" s="102"/>
      <c r="N60" s="102"/>
      <c r="O60" s="102"/>
      <c r="P60" s="102"/>
      <c r="Q60" s="102"/>
      <c r="R60" s="102"/>
      <c r="S60" s="102"/>
      <c r="T60" s="102"/>
      <c r="U60" s="102"/>
      <c r="V60" s="102"/>
      <c r="W60" s="102"/>
      <c r="X60" s="102"/>
      <c r="Y60" s="102"/>
      <c r="Z60" s="102"/>
    </row>
    <row r="61" spans="1:26" x14ac:dyDescent="0.3">
      <c r="A61" s="11"/>
      <c r="B61" s="11"/>
      <c r="C61" s="96" t="s">
        <v>2911</v>
      </c>
      <c r="D61" s="11"/>
      <c r="E61" s="11"/>
      <c r="F61" s="11"/>
      <c r="G61" s="11"/>
      <c r="H61" s="11"/>
      <c r="I61" s="91"/>
      <c r="J61" s="102"/>
      <c r="K61" s="102"/>
      <c r="L61" s="102"/>
      <c r="M61" s="102"/>
      <c r="N61" s="102"/>
      <c r="O61" s="102"/>
      <c r="P61" s="102"/>
      <c r="Q61" s="102"/>
      <c r="R61" s="102"/>
      <c r="S61" s="102"/>
      <c r="T61" s="102"/>
      <c r="U61" s="102"/>
      <c r="V61" s="102"/>
      <c r="W61" s="102"/>
      <c r="X61" s="102"/>
      <c r="Y61" s="102"/>
      <c r="Z61" s="102"/>
    </row>
    <row r="62" spans="1:26" x14ac:dyDescent="0.3">
      <c r="A62" s="111">
        <v>5</v>
      </c>
      <c r="B62" s="118">
        <v>3.11</v>
      </c>
      <c r="C62" s="96" t="s">
        <v>2912</v>
      </c>
      <c r="D62" s="10"/>
      <c r="E62" s="10"/>
      <c r="F62" s="10"/>
      <c r="G62" s="10"/>
      <c r="H62" s="10"/>
      <c r="I62" s="117"/>
      <c r="J62" s="102"/>
      <c r="K62" s="102"/>
      <c r="L62" s="102"/>
      <c r="M62" s="102"/>
      <c r="N62" s="102"/>
      <c r="O62" s="102"/>
      <c r="P62" s="102"/>
      <c r="Q62" s="102"/>
      <c r="R62" s="102"/>
      <c r="S62" s="102"/>
      <c r="T62" s="102"/>
      <c r="U62" s="102"/>
      <c r="V62" s="102"/>
      <c r="W62" s="102"/>
      <c r="X62" s="102"/>
      <c r="Y62" s="102"/>
      <c r="Z62" s="102"/>
    </row>
    <row r="63" spans="1:26" x14ac:dyDescent="0.3">
      <c r="A63" s="107">
        <v>5.0999999999999996</v>
      </c>
      <c r="B63" s="119">
        <v>47790</v>
      </c>
      <c r="C63" s="9" t="s">
        <v>2913</v>
      </c>
      <c r="D63" s="9"/>
      <c r="E63" s="9"/>
      <c r="F63" s="9"/>
      <c r="G63" s="9"/>
      <c r="H63" s="9"/>
      <c r="I63" s="108"/>
      <c r="J63" s="102"/>
      <c r="K63" s="102"/>
      <c r="L63" s="102"/>
      <c r="M63" s="102"/>
      <c r="N63" s="102"/>
      <c r="O63" s="102"/>
      <c r="P63" s="102"/>
      <c r="Q63" s="102"/>
      <c r="R63" s="102"/>
      <c r="S63" s="102"/>
      <c r="T63" s="102"/>
      <c r="U63" s="102"/>
      <c r="V63" s="102"/>
      <c r="W63" s="102"/>
      <c r="X63" s="102"/>
      <c r="Y63" s="102"/>
      <c r="Z63" s="102"/>
    </row>
    <row r="64" spans="1:26" x14ac:dyDescent="0.3">
      <c r="A64" s="95" t="s">
        <v>2914</v>
      </c>
      <c r="B64" s="95" t="s">
        <v>2915</v>
      </c>
      <c r="C64" s="96" t="s">
        <v>2916</v>
      </c>
      <c r="D64" s="95" t="s">
        <v>2917</v>
      </c>
      <c r="E64" s="111">
        <v>4</v>
      </c>
      <c r="F64" s="112"/>
      <c r="G64" s="112"/>
      <c r="H64" s="113">
        <f>E64*F64</f>
        <v>0</v>
      </c>
      <c r="I64" s="113">
        <f>E64*G64</f>
        <v>0</v>
      </c>
      <c r="J64" s="102"/>
      <c r="K64" s="102"/>
      <c r="L64" s="102"/>
      <c r="M64" s="102"/>
      <c r="N64" s="102"/>
      <c r="O64" s="102"/>
      <c r="P64" s="102"/>
      <c r="Q64" s="102"/>
      <c r="R64" s="102"/>
      <c r="S64" s="102"/>
      <c r="T64" s="102"/>
      <c r="U64" s="102"/>
      <c r="V64" s="102"/>
      <c r="W64" s="102"/>
      <c r="X64" s="102"/>
      <c r="Y64" s="102"/>
      <c r="Z64" s="102"/>
    </row>
    <row r="65" spans="1:26" x14ac:dyDescent="0.3">
      <c r="A65" s="95" t="s">
        <v>2918</v>
      </c>
      <c r="B65" s="95" t="s">
        <v>2919</v>
      </c>
      <c r="C65" s="96" t="s">
        <v>2920</v>
      </c>
      <c r="D65" s="95" t="s">
        <v>2921</v>
      </c>
      <c r="E65" s="106">
        <v>0</v>
      </c>
      <c r="F65" s="112"/>
      <c r="G65" s="11"/>
      <c r="H65" s="11"/>
      <c r="I65" s="91"/>
      <c r="J65" s="102"/>
      <c r="K65" s="102"/>
      <c r="L65" s="102"/>
      <c r="M65" s="102"/>
      <c r="N65" s="102"/>
      <c r="O65" s="102"/>
      <c r="P65" s="102"/>
      <c r="Q65" s="102"/>
      <c r="R65" s="102"/>
      <c r="S65" s="102"/>
      <c r="T65" s="102"/>
      <c r="U65" s="102"/>
      <c r="V65" s="102"/>
      <c r="W65" s="102"/>
      <c r="X65" s="102"/>
      <c r="Y65" s="102"/>
      <c r="Z65" s="102"/>
    </row>
    <row r="66" spans="1:26" x14ac:dyDescent="0.3">
      <c r="A66" s="95" t="s">
        <v>2922</v>
      </c>
      <c r="B66" s="95" t="s">
        <v>2923</v>
      </c>
      <c r="C66" s="96" t="s">
        <v>2924</v>
      </c>
      <c r="D66" s="95" t="s">
        <v>2925</v>
      </c>
      <c r="E66" s="106">
        <v>0</v>
      </c>
      <c r="F66" s="112"/>
      <c r="G66" s="11"/>
      <c r="H66" s="11"/>
      <c r="I66" s="91"/>
      <c r="J66" s="102"/>
      <c r="K66" s="102"/>
      <c r="L66" s="102"/>
      <c r="M66" s="102"/>
      <c r="N66" s="102"/>
      <c r="O66" s="102"/>
      <c r="P66" s="102"/>
      <c r="Q66" s="102"/>
      <c r="R66" s="102"/>
      <c r="S66" s="102"/>
      <c r="T66" s="102"/>
      <c r="U66" s="102"/>
      <c r="V66" s="102"/>
      <c r="W66" s="102"/>
      <c r="X66" s="102"/>
      <c r="Y66" s="102"/>
      <c r="Z66" s="102"/>
    </row>
    <row r="67" spans="1:26" x14ac:dyDescent="0.3">
      <c r="A67" s="11"/>
      <c r="B67" s="11"/>
      <c r="C67" s="11"/>
      <c r="D67" s="11"/>
      <c r="E67" s="11"/>
      <c r="F67" s="11"/>
      <c r="G67" s="11"/>
      <c r="H67" s="11"/>
      <c r="I67" s="91"/>
      <c r="J67" s="102"/>
      <c r="K67" s="102"/>
      <c r="L67" s="102"/>
      <c r="M67" s="102"/>
      <c r="N67" s="102"/>
      <c r="O67" s="102"/>
      <c r="P67" s="102"/>
      <c r="Q67" s="102"/>
      <c r="R67" s="102"/>
      <c r="S67" s="102"/>
      <c r="T67" s="102"/>
      <c r="U67" s="102"/>
      <c r="V67" s="102"/>
      <c r="W67" s="102"/>
      <c r="X67" s="102"/>
      <c r="Y67" s="102"/>
      <c r="Z67" s="102"/>
    </row>
    <row r="68" spans="1:26" x14ac:dyDescent="0.3">
      <c r="A68" s="107">
        <v>5.2</v>
      </c>
      <c r="B68" s="119">
        <v>47791</v>
      </c>
      <c r="C68" s="96" t="s">
        <v>2926</v>
      </c>
      <c r="D68" s="9"/>
      <c r="E68" s="9"/>
      <c r="F68" s="9"/>
      <c r="G68" s="9"/>
      <c r="H68" s="9"/>
      <c r="I68" s="108"/>
      <c r="J68" s="102"/>
      <c r="K68" s="102"/>
      <c r="L68" s="102"/>
      <c r="M68" s="102"/>
      <c r="N68" s="102"/>
      <c r="O68" s="102"/>
      <c r="P68" s="102"/>
      <c r="Q68" s="102"/>
      <c r="R68" s="102"/>
      <c r="S68" s="102"/>
      <c r="T68" s="102"/>
      <c r="U68" s="102"/>
      <c r="V68" s="102"/>
      <c r="W68" s="102"/>
      <c r="X68" s="102"/>
      <c r="Y68" s="102"/>
      <c r="Z68" s="102"/>
    </row>
    <row r="69" spans="1:26" x14ac:dyDescent="0.3">
      <c r="A69" s="95" t="s">
        <v>2927</v>
      </c>
      <c r="B69" s="95" t="s">
        <v>2928</v>
      </c>
      <c r="C69" s="96" t="s">
        <v>2929</v>
      </c>
      <c r="D69" s="95" t="s">
        <v>2930</v>
      </c>
      <c r="E69" s="106">
        <v>0</v>
      </c>
      <c r="F69" s="112"/>
      <c r="G69" s="11"/>
      <c r="H69" s="11"/>
      <c r="I69" s="91"/>
      <c r="J69" s="102"/>
      <c r="K69" s="102"/>
      <c r="L69" s="102"/>
      <c r="M69" s="102"/>
      <c r="N69" s="102"/>
      <c r="O69" s="102"/>
      <c r="P69" s="102"/>
      <c r="Q69" s="102"/>
      <c r="R69" s="102"/>
      <c r="S69" s="102"/>
      <c r="T69" s="102"/>
      <c r="U69" s="102"/>
      <c r="V69" s="102"/>
      <c r="W69" s="102"/>
      <c r="X69" s="102"/>
      <c r="Y69" s="102"/>
      <c r="Z69" s="102"/>
    </row>
    <row r="70" spans="1:26" x14ac:dyDescent="0.3">
      <c r="A70" s="95" t="s">
        <v>2931</v>
      </c>
      <c r="B70" s="95" t="s">
        <v>2932</v>
      </c>
      <c r="C70" s="96" t="s">
        <v>2933</v>
      </c>
      <c r="D70" s="95" t="s">
        <v>2934</v>
      </c>
      <c r="E70" s="111">
        <v>1</v>
      </c>
      <c r="F70" s="112"/>
      <c r="G70" s="112"/>
      <c r="H70" s="113">
        <f t="shared" ref="H70:H74" si="12">E70*F70</f>
        <v>0</v>
      </c>
      <c r="I70" s="113">
        <f t="shared" ref="I70:I74" si="13">E70*G70</f>
        <v>0</v>
      </c>
      <c r="J70" s="102"/>
      <c r="K70" s="102"/>
      <c r="L70" s="102"/>
      <c r="M70" s="102"/>
      <c r="N70" s="102"/>
      <c r="O70" s="102"/>
      <c r="P70" s="102"/>
      <c r="Q70" s="102"/>
      <c r="R70" s="102"/>
      <c r="S70" s="102"/>
      <c r="T70" s="102"/>
      <c r="U70" s="102"/>
      <c r="V70" s="102"/>
      <c r="W70" s="102"/>
      <c r="X70" s="102"/>
      <c r="Y70" s="102"/>
      <c r="Z70" s="102"/>
    </row>
    <row r="71" spans="1:26" x14ac:dyDescent="0.3">
      <c r="A71" s="95" t="s">
        <v>2935</v>
      </c>
      <c r="B71" s="95" t="s">
        <v>2936</v>
      </c>
      <c r="C71" s="96" t="s">
        <v>2937</v>
      </c>
      <c r="D71" s="95" t="s">
        <v>2938</v>
      </c>
      <c r="E71" s="111">
        <v>2</v>
      </c>
      <c r="F71" s="112"/>
      <c r="G71" s="112"/>
      <c r="H71" s="113">
        <f t="shared" si="12"/>
        <v>0</v>
      </c>
      <c r="I71" s="113">
        <f t="shared" si="13"/>
        <v>0</v>
      </c>
      <c r="J71" s="102"/>
      <c r="K71" s="102"/>
      <c r="L71" s="102"/>
      <c r="M71" s="102"/>
      <c r="N71" s="102"/>
      <c r="O71" s="102"/>
      <c r="P71" s="102"/>
      <c r="Q71" s="102"/>
      <c r="R71" s="102"/>
      <c r="S71" s="102"/>
      <c r="T71" s="102"/>
      <c r="U71" s="102"/>
      <c r="V71" s="102"/>
      <c r="W71" s="102"/>
      <c r="X71" s="102"/>
      <c r="Y71" s="102"/>
      <c r="Z71" s="102"/>
    </row>
    <row r="72" spans="1:26" x14ac:dyDescent="0.3">
      <c r="A72" s="95" t="s">
        <v>2939</v>
      </c>
      <c r="B72" s="95" t="s">
        <v>2940</v>
      </c>
      <c r="C72" s="96" t="s">
        <v>2941</v>
      </c>
      <c r="D72" s="95" t="s">
        <v>2942</v>
      </c>
      <c r="E72" s="111">
        <v>12</v>
      </c>
      <c r="F72" s="112"/>
      <c r="G72" s="112"/>
      <c r="H72" s="113">
        <f t="shared" si="12"/>
        <v>0</v>
      </c>
      <c r="I72" s="113">
        <f t="shared" si="13"/>
        <v>0</v>
      </c>
      <c r="J72" s="102"/>
      <c r="K72" s="102"/>
      <c r="L72" s="102"/>
      <c r="M72" s="102"/>
      <c r="N72" s="102"/>
      <c r="O72" s="102"/>
      <c r="P72" s="102"/>
      <c r="Q72" s="102"/>
      <c r="R72" s="102"/>
      <c r="S72" s="102"/>
      <c r="T72" s="102"/>
      <c r="U72" s="102"/>
      <c r="V72" s="102"/>
      <c r="W72" s="102"/>
      <c r="X72" s="102"/>
      <c r="Y72" s="102"/>
      <c r="Z72" s="102"/>
    </row>
    <row r="73" spans="1:26" x14ac:dyDescent="0.3">
      <c r="A73" s="95" t="s">
        <v>2943</v>
      </c>
      <c r="B73" s="95" t="s">
        <v>2944</v>
      </c>
      <c r="C73" s="96" t="s">
        <v>2945</v>
      </c>
      <c r="D73" s="95" t="s">
        <v>2946</v>
      </c>
      <c r="E73" s="111">
        <v>36</v>
      </c>
      <c r="F73" s="112"/>
      <c r="G73" s="112"/>
      <c r="H73" s="113">
        <f t="shared" si="12"/>
        <v>0</v>
      </c>
      <c r="I73" s="113">
        <f t="shared" si="13"/>
        <v>0</v>
      </c>
      <c r="J73" s="102"/>
      <c r="K73" s="102"/>
      <c r="L73" s="102"/>
      <c r="M73" s="102"/>
      <c r="N73" s="102"/>
      <c r="O73" s="102"/>
      <c r="P73" s="102"/>
      <c r="Q73" s="102"/>
      <c r="R73" s="102"/>
      <c r="S73" s="102"/>
      <c r="T73" s="102"/>
      <c r="U73" s="102"/>
      <c r="V73" s="102"/>
      <c r="W73" s="102"/>
      <c r="X73" s="102"/>
      <c r="Y73" s="102"/>
      <c r="Z73" s="102"/>
    </row>
    <row r="74" spans="1:26" x14ac:dyDescent="0.3">
      <c r="A74" s="95" t="s">
        <v>2947</v>
      </c>
      <c r="B74" s="95" t="s">
        <v>2948</v>
      </c>
      <c r="C74" s="96" t="s">
        <v>2949</v>
      </c>
      <c r="D74" s="95" t="s">
        <v>2950</v>
      </c>
      <c r="E74" s="111">
        <v>8</v>
      </c>
      <c r="F74" s="112"/>
      <c r="G74" s="112"/>
      <c r="H74" s="113">
        <f t="shared" si="12"/>
        <v>0</v>
      </c>
      <c r="I74" s="113">
        <f t="shared" si="13"/>
        <v>0</v>
      </c>
      <c r="J74" s="102"/>
      <c r="K74" s="102"/>
      <c r="L74" s="102"/>
      <c r="M74" s="102"/>
      <c r="N74" s="102"/>
      <c r="O74" s="102"/>
      <c r="P74" s="102"/>
      <c r="Q74" s="102"/>
      <c r="R74" s="102"/>
      <c r="S74" s="102"/>
      <c r="T74" s="102"/>
      <c r="U74" s="102"/>
      <c r="V74" s="102"/>
      <c r="W74" s="102"/>
      <c r="X74" s="102"/>
      <c r="Y74" s="102"/>
      <c r="Z74" s="102"/>
    </row>
    <row r="75" spans="1:26" x14ac:dyDescent="0.3">
      <c r="A75" s="11"/>
      <c r="B75" s="11"/>
      <c r="C75" s="11"/>
      <c r="D75" s="11"/>
      <c r="E75" s="11"/>
      <c r="F75" s="11"/>
      <c r="G75" s="11"/>
      <c r="H75" s="11"/>
      <c r="I75" s="91"/>
      <c r="J75" s="102"/>
      <c r="K75" s="102"/>
      <c r="L75" s="102"/>
      <c r="M75" s="102"/>
      <c r="N75" s="102"/>
      <c r="O75" s="102"/>
      <c r="P75" s="102"/>
      <c r="Q75" s="102"/>
      <c r="R75" s="102"/>
      <c r="S75" s="102"/>
      <c r="T75" s="102"/>
      <c r="U75" s="102"/>
      <c r="V75" s="102"/>
      <c r="W75" s="102"/>
      <c r="X75" s="102"/>
      <c r="Y75" s="102"/>
      <c r="Z75" s="102"/>
    </row>
    <row r="76" spans="1:26" x14ac:dyDescent="0.3">
      <c r="A76" s="109">
        <v>5.3</v>
      </c>
      <c r="B76" s="95" t="s">
        <v>2951</v>
      </c>
      <c r="C76" s="9" t="s">
        <v>2952</v>
      </c>
      <c r="D76" s="10"/>
      <c r="E76" s="10"/>
      <c r="F76" s="10"/>
      <c r="G76" s="10"/>
      <c r="H76" s="10"/>
      <c r="I76" s="117"/>
      <c r="J76" s="102"/>
      <c r="K76" s="102"/>
      <c r="L76" s="102"/>
      <c r="M76" s="102"/>
      <c r="N76" s="102"/>
      <c r="O76" s="102"/>
      <c r="P76" s="102"/>
      <c r="Q76" s="102"/>
      <c r="R76" s="102"/>
      <c r="S76" s="102"/>
      <c r="T76" s="102"/>
      <c r="U76" s="102"/>
      <c r="V76" s="102"/>
      <c r="W76" s="102"/>
      <c r="X76" s="102"/>
      <c r="Y76" s="102"/>
      <c r="Z76" s="102"/>
    </row>
    <row r="77" spans="1:26" x14ac:dyDescent="0.3">
      <c r="A77" s="95" t="s">
        <v>2953</v>
      </c>
      <c r="B77" s="95" t="s">
        <v>2954</v>
      </c>
      <c r="C77" s="96" t="s">
        <v>2955</v>
      </c>
      <c r="D77" s="95" t="s">
        <v>2956</v>
      </c>
      <c r="E77" s="111">
        <v>16</v>
      </c>
      <c r="F77" s="112"/>
      <c r="G77" s="112"/>
      <c r="H77" s="113">
        <f t="shared" ref="H77:H78" si="14">E77*F77</f>
        <v>0</v>
      </c>
      <c r="I77" s="113">
        <f t="shared" ref="I77:I78" si="15">E77*G77</f>
        <v>0</v>
      </c>
      <c r="J77" s="102"/>
      <c r="K77" s="102"/>
      <c r="L77" s="102"/>
      <c r="M77" s="102"/>
      <c r="N77" s="102"/>
      <c r="O77" s="102"/>
      <c r="P77" s="102"/>
      <c r="Q77" s="102"/>
      <c r="R77" s="102"/>
      <c r="S77" s="102"/>
      <c r="T77" s="102"/>
      <c r="U77" s="102"/>
      <c r="V77" s="102"/>
      <c r="W77" s="102"/>
      <c r="X77" s="102"/>
      <c r="Y77" s="102"/>
      <c r="Z77" s="102"/>
    </row>
    <row r="78" spans="1:26" x14ac:dyDescent="0.3">
      <c r="A78" s="95" t="s">
        <v>2957</v>
      </c>
      <c r="B78" s="95" t="s">
        <v>2958</v>
      </c>
      <c r="C78" s="96" t="s">
        <v>2959</v>
      </c>
      <c r="D78" s="95" t="s">
        <v>2960</v>
      </c>
      <c r="E78" s="111">
        <v>86</v>
      </c>
      <c r="F78" s="112"/>
      <c r="G78" s="112"/>
      <c r="H78" s="113">
        <f t="shared" si="14"/>
        <v>0</v>
      </c>
      <c r="I78" s="113">
        <f t="shared" si="15"/>
        <v>0</v>
      </c>
      <c r="J78" s="102"/>
      <c r="K78" s="102"/>
      <c r="L78" s="102"/>
      <c r="M78" s="102"/>
      <c r="N78" s="102"/>
      <c r="O78" s="102"/>
      <c r="P78" s="102"/>
      <c r="Q78" s="102"/>
      <c r="R78" s="102"/>
      <c r="S78" s="102"/>
      <c r="T78" s="102"/>
      <c r="U78" s="102"/>
      <c r="V78" s="102"/>
      <c r="W78" s="102"/>
      <c r="X78" s="102"/>
      <c r="Y78" s="102"/>
      <c r="Z78" s="102"/>
    </row>
    <row r="79" spans="1:26" x14ac:dyDescent="0.3">
      <c r="A79" s="11"/>
      <c r="B79" s="11"/>
      <c r="C79" s="11"/>
      <c r="D79" s="11"/>
      <c r="E79" s="11"/>
      <c r="F79" s="11"/>
      <c r="G79" s="11"/>
      <c r="H79" s="11"/>
      <c r="I79" s="91"/>
      <c r="J79" s="102"/>
      <c r="K79" s="102"/>
      <c r="L79" s="102"/>
      <c r="M79" s="102"/>
      <c r="N79" s="102"/>
      <c r="O79" s="102"/>
      <c r="P79" s="102"/>
      <c r="Q79" s="102"/>
      <c r="R79" s="102"/>
      <c r="S79" s="102"/>
      <c r="T79" s="102"/>
      <c r="U79" s="102"/>
      <c r="V79" s="102"/>
      <c r="W79" s="102"/>
      <c r="X79" s="102"/>
      <c r="Y79" s="102"/>
      <c r="Z79" s="102"/>
    </row>
    <row r="80" spans="1:26" x14ac:dyDescent="0.3">
      <c r="A80" s="106">
        <v>6</v>
      </c>
      <c r="B80" s="95" t="s">
        <v>2961</v>
      </c>
      <c r="C80" s="105" t="s">
        <v>2962</v>
      </c>
      <c r="D80" s="11"/>
      <c r="E80" s="11"/>
      <c r="F80" s="11"/>
      <c r="G80" s="11"/>
      <c r="H80" s="11"/>
      <c r="I80" s="91"/>
      <c r="J80" s="102"/>
      <c r="K80" s="102"/>
      <c r="L80" s="102"/>
      <c r="M80" s="102"/>
      <c r="N80" s="102"/>
      <c r="O80" s="102"/>
      <c r="P80" s="102"/>
      <c r="Q80" s="102"/>
      <c r="R80" s="102"/>
      <c r="S80" s="102"/>
      <c r="T80" s="102"/>
      <c r="U80" s="102"/>
      <c r="V80" s="102"/>
      <c r="W80" s="102"/>
      <c r="X80" s="102"/>
      <c r="Y80" s="102"/>
      <c r="Z80" s="102"/>
    </row>
    <row r="81" spans="1:26" x14ac:dyDescent="0.3">
      <c r="A81" s="9"/>
      <c r="B81" s="9"/>
      <c r="C81" s="96" t="s">
        <v>2963</v>
      </c>
      <c r="D81" s="9"/>
      <c r="E81" s="9"/>
      <c r="F81" s="9"/>
      <c r="G81" s="9"/>
      <c r="H81" s="9"/>
      <c r="I81" s="108"/>
      <c r="J81" s="102"/>
      <c r="K81" s="102"/>
      <c r="L81" s="102"/>
      <c r="M81" s="102"/>
      <c r="N81" s="102"/>
      <c r="O81" s="102"/>
      <c r="P81" s="102"/>
      <c r="Q81" s="102"/>
      <c r="R81" s="102"/>
      <c r="S81" s="102"/>
      <c r="T81" s="102"/>
      <c r="U81" s="102"/>
      <c r="V81" s="102"/>
      <c r="W81" s="102"/>
      <c r="X81" s="102"/>
      <c r="Y81" s="102"/>
      <c r="Z81" s="102"/>
    </row>
    <row r="82" spans="1:26" x14ac:dyDescent="0.3">
      <c r="A82" s="11"/>
      <c r="B82" s="11"/>
      <c r="C82" s="105" t="s">
        <v>2964</v>
      </c>
      <c r="D82" s="11"/>
      <c r="E82" s="11"/>
      <c r="F82" s="11"/>
      <c r="G82" s="11"/>
      <c r="H82" s="11"/>
      <c r="I82" s="91"/>
      <c r="J82" s="102"/>
      <c r="K82" s="102"/>
      <c r="L82" s="102"/>
      <c r="M82" s="102"/>
      <c r="N82" s="102"/>
      <c r="O82" s="102"/>
      <c r="P82" s="102"/>
      <c r="Q82" s="102"/>
      <c r="R82" s="102"/>
      <c r="S82" s="102"/>
      <c r="T82" s="102"/>
      <c r="U82" s="102"/>
      <c r="V82" s="102"/>
      <c r="W82" s="102"/>
      <c r="X82" s="102"/>
      <c r="Y82" s="102"/>
      <c r="Z82" s="102"/>
    </row>
    <row r="83" spans="1:26" x14ac:dyDescent="0.3">
      <c r="A83" s="109">
        <v>6.1</v>
      </c>
      <c r="B83" s="95" t="s">
        <v>2965</v>
      </c>
      <c r="C83" s="96" t="s">
        <v>2966</v>
      </c>
      <c r="D83" s="95" t="s">
        <v>2967</v>
      </c>
      <c r="E83" s="111">
        <v>16</v>
      </c>
      <c r="F83" s="112"/>
      <c r="G83" s="112"/>
      <c r="H83" s="113">
        <f>E83*F83</f>
        <v>0</v>
      </c>
      <c r="I83" s="113">
        <f>E83*G83</f>
        <v>0</v>
      </c>
      <c r="J83" s="102"/>
      <c r="K83" s="102"/>
      <c r="L83" s="102"/>
      <c r="M83" s="102"/>
      <c r="N83" s="102"/>
      <c r="O83" s="102"/>
      <c r="P83" s="102"/>
      <c r="Q83" s="102"/>
      <c r="R83" s="102"/>
      <c r="S83" s="102"/>
      <c r="T83" s="102"/>
      <c r="U83" s="102"/>
      <c r="V83" s="102"/>
      <c r="W83" s="102"/>
      <c r="X83" s="102"/>
      <c r="Y83" s="102"/>
      <c r="Z83" s="102"/>
    </row>
    <row r="84" spans="1:26" x14ac:dyDescent="0.3">
      <c r="A84" s="11"/>
      <c r="B84" s="11"/>
      <c r="C84" s="11"/>
      <c r="D84" s="11"/>
      <c r="E84" s="11"/>
      <c r="F84" s="11"/>
      <c r="G84" s="11"/>
      <c r="H84" s="11"/>
      <c r="I84" s="91"/>
      <c r="J84" s="102"/>
      <c r="K84" s="102"/>
      <c r="L84" s="102"/>
      <c r="M84" s="102"/>
      <c r="N84" s="102"/>
      <c r="O84" s="102"/>
      <c r="P84" s="102"/>
      <c r="Q84" s="102"/>
      <c r="R84" s="102"/>
      <c r="S84" s="102"/>
      <c r="T84" s="102"/>
      <c r="U84" s="102"/>
      <c r="V84" s="102"/>
      <c r="W84" s="102"/>
      <c r="X84" s="102"/>
      <c r="Y84" s="102"/>
      <c r="Z84" s="102"/>
    </row>
    <row r="85" spans="1:26" x14ac:dyDescent="0.3">
      <c r="A85" s="10"/>
      <c r="B85" s="120" t="s">
        <v>2968</v>
      </c>
      <c r="C85" s="105" t="s">
        <v>2969</v>
      </c>
      <c r="D85" s="10"/>
      <c r="E85" s="10"/>
      <c r="F85" s="10"/>
      <c r="G85" s="10"/>
      <c r="H85" s="10"/>
      <c r="I85" s="117"/>
      <c r="J85" s="102"/>
      <c r="K85" s="102"/>
      <c r="L85" s="102"/>
      <c r="M85" s="102"/>
      <c r="N85" s="102"/>
      <c r="O85" s="102"/>
      <c r="P85" s="102"/>
      <c r="Q85" s="102"/>
      <c r="R85" s="102"/>
      <c r="S85" s="102"/>
      <c r="T85" s="102"/>
      <c r="U85" s="102"/>
      <c r="V85" s="102"/>
      <c r="W85" s="102"/>
      <c r="X85" s="102"/>
      <c r="Y85" s="102"/>
      <c r="Z85" s="102"/>
    </row>
    <row r="86" spans="1:26" x14ac:dyDescent="0.3">
      <c r="A86" s="11"/>
      <c r="B86" s="11"/>
      <c r="C86" s="11"/>
      <c r="D86" s="11"/>
      <c r="E86" s="11"/>
      <c r="F86" s="11"/>
      <c r="G86" s="11"/>
      <c r="H86" s="11"/>
      <c r="I86" s="91"/>
      <c r="J86" s="102"/>
      <c r="K86" s="102"/>
      <c r="L86" s="102"/>
      <c r="M86" s="102"/>
      <c r="N86" s="102"/>
      <c r="O86" s="102"/>
      <c r="P86" s="102"/>
      <c r="Q86" s="102"/>
      <c r="R86" s="102"/>
      <c r="S86" s="102"/>
      <c r="T86" s="102"/>
      <c r="U86" s="102"/>
      <c r="V86" s="102"/>
      <c r="W86" s="102"/>
      <c r="X86" s="102"/>
      <c r="Y86" s="102"/>
      <c r="Z86" s="102"/>
    </row>
    <row r="87" spans="1:26" x14ac:dyDescent="0.3">
      <c r="A87" s="121"/>
      <c r="B87" s="121"/>
      <c r="C87" s="122" t="s">
        <v>2970</v>
      </c>
      <c r="D87" s="121"/>
      <c r="E87" s="121"/>
      <c r="F87" s="121"/>
      <c r="G87" s="121"/>
      <c r="H87" s="123"/>
      <c r="I87" s="124"/>
      <c r="J87" s="102"/>
      <c r="K87" s="102"/>
      <c r="L87" s="102"/>
      <c r="M87" s="102"/>
      <c r="N87" s="102"/>
      <c r="O87" s="102"/>
      <c r="P87" s="102"/>
      <c r="Q87" s="102"/>
      <c r="R87" s="102"/>
      <c r="S87" s="102"/>
      <c r="T87" s="102"/>
      <c r="U87" s="102"/>
      <c r="V87" s="102"/>
      <c r="W87" s="102"/>
      <c r="X87" s="102"/>
      <c r="Y87" s="102"/>
      <c r="Z87" s="102"/>
    </row>
    <row r="88" spans="1:26" x14ac:dyDescent="0.3">
      <c r="A88" s="11"/>
      <c r="B88" s="11"/>
      <c r="C88" s="11"/>
      <c r="D88" s="11"/>
      <c r="E88" s="11"/>
      <c r="F88" s="11"/>
      <c r="G88" s="11"/>
      <c r="H88" s="11"/>
      <c r="I88" s="91"/>
      <c r="J88" s="102"/>
      <c r="K88" s="102"/>
      <c r="L88" s="102"/>
      <c r="M88" s="102"/>
      <c r="N88" s="102"/>
      <c r="O88" s="102"/>
      <c r="P88" s="102"/>
      <c r="Q88" s="102"/>
      <c r="R88" s="102"/>
      <c r="S88" s="102"/>
      <c r="T88" s="102"/>
      <c r="U88" s="102"/>
      <c r="V88" s="102"/>
      <c r="W88" s="102"/>
      <c r="X88" s="102"/>
      <c r="Y88" s="102"/>
      <c r="Z88" s="102"/>
    </row>
    <row r="89" spans="1:26" x14ac:dyDescent="0.3">
      <c r="A89" s="243" t="s">
        <v>2971</v>
      </c>
      <c r="B89" s="221"/>
      <c r="C89" s="105" t="s">
        <v>2972</v>
      </c>
      <c r="D89" s="10"/>
      <c r="E89" s="10"/>
      <c r="F89" s="10"/>
      <c r="G89" s="10"/>
      <c r="H89" s="10"/>
      <c r="I89" s="117"/>
      <c r="J89" s="102"/>
      <c r="K89" s="102"/>
      <c r="L89" s="102"/>
      <c r="M89" s="102"/>
      <c r="N89" s="102"/>
      <c r="O89" s="102"/>
      <c r="P89" s="102"/>
      <c r="Q89" s="102"/>
      <c r="R89" s="102"/>
      <c r="S89" s="102"/>
      <c r="T89" s="102"/>
      <c r="U89" s="102"/>
      <c r="V89" s="102"/>
      <c r="W89" s="102"/>
      <c r="X89" s="102"/>
      <c r="Y89" s="102"/>
      <c r="Z89" s="102"/>
    </row>
    <row r="90" spans="1:26" x14ac:dyDescent="0.3">
      <c r="A90" s="11"/>
      <c r="B90" s="11"/>
      <c r="C90" s="11"/>
      <c r="D90" s="11"/>
      <c r="E90" s="11"/>
      <c r="F90" s="11"/>
      <c r="G90" s="11"/>
      <c r="H90" s="11"/>
      <c r="I90" s="91"/>
      <c r="J90" s="102"/>
      <c r="K90" s="102"/>
      <c r="L90" s="102"/>
      <c r="M90" s="102"/>
      <c r="N90" s="102"/>
      <c r="O90" s="102"/>
      <c r="P90" s="102"/>
      <c r="Q90" s="102"/>
      <c r="R90" s="102"/>
      <c r="S90" s="102"/>
      <c r="T90" s="102"/>
      <c r="U90" s="102"/>
      <c r="V90" s="102"/>
      <c r="W90" s="102"/>
      <c r="X90" s="102"/>
      <c r="Y90" s="102"/>
      <c r="Z90" s="102"/>
    </row>
    <row r="91" spans="1:26" x14ac:dyDescent="0.3">
      <c r="A91" s="106">
        <v>1</v>
      </c>
      <c r="B91" s="125">
        <v>30.12</v>
      </c>
      <c r="C91" s="96" t="s">
        <v>2973</v>
      </c>
      <c r="D91" s="11"/>
      <c r="E91" s="11"/>
      <c r="F91" s="11"/>
      <c r="G91" s="11"/>
      <c r="H91" s="11"/>
      <c r="I91" s="91"/>
      <c r="J91" s="102"/>
      <c r="K91" s="102"/>
      <c r="L91" s="102"/>
      <c r="M91" s="102"/>
      <c r="N91" s="102"/>
      <c r="O91" s="102"/>
      <c r="P91" s="102"/>
      <c r="Q91" s="102"/>
      <c r="R91" s="102"/>
      <c r="S91" s="102"/>
      <c r="T91" s="102"/>
      <c r="U91" s="102"/>
      <c r="V91" s="102"/>
      <c r="W91" s="102"/>
      <c r="X91" s="102"/>
      <c r="Y91" s="102"/>
      <c r="Z91" s="102"/>
    </row>
    <row r="92" spans="1:26" x14ac:dyDescent="0.3">
      <c r="A92" s="9"/>
      <c r="B92" s="119">
        <v>47818</v>
      </c>
      <c r="C92" s="9" t="s">
        <v>2974</v>
      </c>
      <c r="D92" s="9"/>
      <c r="E92" s="9"/>
      <c r="F92" s="9"/>
      <c r="G92" s="9"/>
      <c r="H92" s="9"/>
      <c r="I92" s="108"/>
      <c r="J92" s="102"/>
      <c r="K92" s="102"/>
      <c r="L92" s="102"/>
      <c r="M92" s="102"/>
      <c r="N92" s="102"/>
      <c r="O92" s="102"/>
      <c r="P92" s="102"/>
      <c r="Q92" s="102"/>
      <c r="R92" s="102"/>
      <c r="S92" s="102"/>
      <c r="T92" s="102"/>
      <c r="U92" s="102"/>
      <c r="V92" s="102"/>
      <c r="W92" s="102"/>
      <c r="X92" s="102"/>
      <c r="Y92" s="102"/>
      <c r="Z92" s="102"/>
    </row>
    <row r="93" spans="1:26" x14ac:dyDescent="0.3">
      <c r="A93" s="11"/>
      <c r="B93" s="11"/>
      <c r="C93" s="126" t="s">
        <v>2975</v>
      </c>
      <c r="D93" s="11"/>
      <c r="E93" s="11"/>
      <c r="F93" s="11"/>
      <c r="G93" s="11"/>
      <c r="H93" s="11"/>
      <c r="I93" s="91"/>
      <c r="J93" s="102"/>
      <c r="K93" s="102"/>
      <c r="L93" s="102"/>
      <c r="M93" s="102"/>
      <c r="N93" s="102"/>
      <c r="O93" s="102"/>
      <c r="P93" s="102"/>
      <c r="Q93" s="102"/>
      <c r="R93" s="102"/>
      <c r="S93" s="102"/>
      <c r="T93" s="102"/>
      <c r="U93" s="102"/>
      <c r="V93" s="102"/>
      <c r="W93" s="102"/>
      <c r="X93" s="102"/>
      <c r="Y93" s="102"/>
      <c r="Z93" s="102"/>
    </row>
    <row r="94" spans="1:26" x14ac:dyDescent="0.3">
      <c r="A94" s="107">
        <v>1.1000000000000001</v>
      </c>
      <c r="B94" s="115" t="s">
        <v>2976</v>
      </c>
      <c r="C94" s="127" t="s">
        <v>2977</v>
      </c>
      <c r="D94" s="115" t="s">
        <v>2978</v>
      </c>
      <c r="E94" s="111">
        <v>16966.029600000002</v>
      </c>
      <c r="F94" s="112"/>
      <c r="G94" s="112"/>
      <c r="H94" s="113">
        <f t="shared" ref="H94:H97" si="16">E94*F94</f>
        <v>0</v>
      </c>
      <c r="I94" s="113">
        <f t="shared" ref="I94:I97" si="17">E94*G94</f>
        <v>0</v>
      </c>
      <c r="J94" s="102"/>
      <c r="K94" s="102"/>
      <c r="L94" s="102"/>
      <c r="M94" s="102"/>
      <c r="N94" s="102"/>
      <c r="O94" s="102"/>
      <c r="P94" s="102"/>
      <c r="Q94" s="102"/>
      <c r="R94" s="102"/>
      <c r="S94" s="102"/>
      <c r="T94" s="102"/>
      <c r="U94" s="102"/>
      <c r="V94" s="102"/>
      <c r="W94" s="102"/>
      <c r="X94" s="102"/>
      <c r="Y94" s="102"/>
      <c r="Z94" s="102"/>
    </row>
    <row r="95" spans="1:26" x14ac:dyDescent="0.3">
      <c r="A95" s="109">
        <v>1.2</v>
      </c>
      <c r="B95" s="95" t="s">
        <v>2979</v>
      </c>
      <c r="C95" s="96" t="s">
        <v>2980</v>
      </c>
      <c r="D95" s="95" t="s">
        <v>2981</v>
      </c>
      <c r="E95" s="111">
        <v>5041</v>
      </c>
      <c r="F95" s="112"/>
      <c r="G95" s="112"/>
      <c r="H95" s="113">
        <f t="shared" si="16"/>
        <v>0</v>
      </c>
      <c r="I95" s="113">
        <f t="shared" si="17"/>
        <v>0</v>
      </c>
      <c r="J95" s="102"/>
      <c r="K95" s="102"/>
      <c r="L95" s="102"/>
      <c r="M95" s="102"/>
      <c r="N95" s="102"/>
      <c r="O95" s="102"/>
      <c r="P95" s="102"/>
      <c r="Q95" s="102"/>
      <c r="R95" s="102"/>
      <c r="S95" s="102"/>
      <c r="T95" s="102"/>
      <c r="U95" s="102"/>
      <c r="V95" s="102"/>
      <c r="W95" s="102"/>
      <c r="X95" s="102"/>
      <c r="Y95" s="102"/>
      <c r="Z95" s="102"/>
    </row>
    <row r="96" spans="1:26" x14ac:dyDescent="0.3">
      <c r="A96" s="109">
        <v>1.3</v>
      </c>
      <c r="B96" s="95" t="s">
        <v>2982</v>
      </c>
      <c r="C96" s="96" t="s">
        <v>2983</v>
      </c>
      <c r="D96" s="95" t="s">
        <v>2984</v>
      </c>
      <c r="E96" s="111">
        <v>50</v>
      </c>
      <c r="F96" s="112"/>
      <c r="G96" s="112"/>
      <c r="H96" s="113">
        <f t="shared" si="16"/>
        <v>0</v>
      </c>
      <c r="I96" s="113">
        <f t="shared" si="17"/>
        <v>0</v>
      </c>
      <c r="J96" s="102"/>
      <c r="K96" s="102"/>
      <c r="L96" s="102"/>
      <c r="M96" s="102"/>
      <c r="N96" s="102"/>
      <c r="O96" s="102"/>
      <c r="P96" s="102"/>
      <c r="Q96" s="102"/>
      <c r="R96" s="102"/>
      <c r="S96" s="102"/>
      <c r="T96" s="102"/>
      <c r="U96" s="102"/>
      <c r="V96" s="102"/>
      <c r="W96" s="102"/>
      <c r="X96" s="102"/>
      <c r="Y96" s="102"/>
      <c r="Z96" s="102"/>
    </row>
    <row r="97" spans="1:26" x14ac:dyDescent="0.3">
      <c r="A97" s="109">
        <v>1.4</v>
      </c>
      <c r="B97" s="95" t="s">
        <v>2985</v>
      </c>
      <c r="C97" s="96" t="s">
        <v>2986</v>
      </c>
      <c r="D97" s="95" t="s">
        <v>2987</v>
      </c>
      <c r="E97" s="111">
        <v>25</v>
      </c>
      <c r="F97" s="112"/>
      <c r="G97" s="112"/>
      <c r="H97" s="113">
        <f t="shared" si="16"/>
        <v>0</v>
      </c>
      <c r="I97" s="113">
        <f t="shared" si="17"/>
        <v>0</v>
      </c>
      <c r="J97" s="102"/>
      <c r="K97" s="102"/>
      <c r="L97" s="102"/>
      <c r="M97" s="102"/>
      <c r="N97" s="102"/>
      <c r="O97" s="102"/>
      <c r="P97" s="102"/>
      <c r="Q97" s="102"/>
      <c r="R97" s="102"/>
      <c r="S97" s="102"/>
      <c r="T97" s="102"/>
      <c r="U97" s="102"/>
      <c r="V97" s="102"/>
      <c r="W97" s="102"/>
      <c r="X97" s="102"/>
      <c r="Y97" s="102"/>
      <c r="Z97" s="102"/>
    </row>
    <row r="98" spans="1:26" x14ac:dyDescent="0.3">
      <c r="A98" s="11"/>
      <c r="B98" s="11"/>
      <c r="C98" s="126" t="s">
        <v>2988</v>
      </c>
      <c r="D98" s="11"/>
      <c r="E98" s="11"/>
      <c r="F98" s="11"/>
      <c r="G98" s="11"/>
      <c r="H98" s="11"/>
      <c r="I98" s="91"/>
      <c r="J98" s="102"/>
      <c r="K98" s="102"/>
      <c r="L98" s="102"/>
      <c r="M98" s="102"/>
      <c r="N98" s="102"/>
      <c r="O98" s="102"/>
      <c r="P98" s="102"/>
      <c r="Q98" s="102"/>
      <c r="R98" s="102"/>
      <c r="S98" s="102"/>
      <c r="T98" s="102"/>
      <c r="U98" s="102"/>
      <c r="V98" s="102"/>
      <c r="W98" s="102"/>
      <c r="X98" s="102"/>
      <c r="Y98" s="102"/>
      <c r="Z98" s="102"/>
    </row>
    <row r="99" spans="1:26" x14ac:dyDescent="0.3">
      <c r="A99" s="109">
        <v>1.5</v>
      </c>
      <c r="B99" s="95" t="s">
        <v>2989</v>
      </c>
      <c r="C99" s="96" t="s">
        <v>2990</v>
      </c>
      <c r="D99" s="95" t="s">
        <v>2991</v>
      </c>
      <c r="E99" s="111">
        <v>2354</v>
      </c>
      <c r="F99" s="112"/>
      <c r="G99" s="112"/>
      <c r="H99" s="113">
        <f t="shared" ref="H99:H100" si="18">E99*F99</f>
        <v>0</v>
      </c>
      <c r="I99" s="113">
        <f t="shared" ref="I99:I100" si="19">E99*G99</f>
        <v>0</v>
      </c>
      <c r="J99" s="102"/>
      <c r="K99" s="102"/>
      <c r="L99" s="102"/>
      <c r="M99" s="102"/>
      <c r="N99" s="102"/>
      <c r="O99" s="102"/>
      <c r="P99" s="102"/>
      <c r="Q99" s="102"/>
      <c r="R99" s="102"/>
      <c r="S99" s="102"/>
      <c r="T99" s="102"/>
      <c r="U99" s="102"/>
      <c r="V99" s="102"/>
      <c r="W99" s="102"/>
      <c r="X99" s="102"/>
      <c r="Y99" s="102"/>
      <c r="Z99" s="102"/>
    </row>
    <row r="100" spans="1:26" x14ac:dyDescent="0.3">
      <c r="A100" s="109">
        <v>1.6</v>
      </c>
      <c r="B100" s="95" t="s">
        <v>2992</v>
      </c>
      <c r="C100" s="96" t="s">
        <v>2993</v>
      </c>
      <c r="D100" s="95" t="s">
        <v>2994</v>
      </c>
      <c r="E100" s="111">
        <v>450</v>
      </c>
      <c r="F100" s="112"/>
      <c r="G100" s="112"/>
      <c r="H100" s="113">
        <f t="shared" si="18"/>
        <v>0</v>
      </c>
      <c r="I100" s="113">
        <f t="shared" si="19"/>
        <v>0</v>
      </c>
      <c r="J100" s="102"/>
      <c r="K100" s="102"/>
      <c r="L100" s="102"/>
      <c r="M100" s="102"/>
      <c r="N100" s="102"/>
      <c r="O100" s="102"/>
      <c r="P100" s="102"/>
      <c r="Q100" s="102"/>
      <c r="R100" s="102"/>
      <c r="S100" s="102"/>
      <c r="T100" s="102"/>
      <c r="U100" s="102"/>
      <c r="V100" s="102"/>
      <c r="W100" s="102"/>
      <c r="X100" s="102"/>
      <c r="Y100" s="102"/>
      <c r="Z100" s="102"/>
    </row>
    <row r="101" spans="1:26" x14ac:dyDescent="0.3">
      <c r="A101" s="11"/>
      <c r="B101" s="11"/>
      <c r="C101" s="11"/>
      <c r="D101" s="11"/>
      <c r="E101" s="11"/>
      <c r="F101" s="11"/>
      <c r="G101" s="11"/>
      <c r="H101" s="11"/>
      <c r="I101" s="91"/>
      <c r="J101" s="102"/>
      <c r="K101" s="102"/>
      <c r="L101" s="102"/>
      <c r="M101" s="102"/>
      <c r="N101" s="102"/>
      <c r="O101" s="102"/>
      <c r="P101" s="102"/>
      <c r="Q101" s="102"/>
      <c r="R101" s="102"/>
      <c r="S101" s="102"/>
      <c r="T101" s="102"/>
      <c r="U101" s="102"/>
      <c r="V101" s="102"/>
      <c r="W101" s="102"/>
      <c r="X101" s="102"/>
      <c r="Y101" s="102"/>
      <c r="Z101" s="102"/>
    </row>
    <row r="102" spans="1:26" x14ac:dyDescent="0.3">
      <c r="A102" s="107">
        <v>1.7</v>
      </c>
      <c r="B102" s="115" t="s">
        <v>2995</v>
      </c>
      <c r="C102" s="105" t="s">
        <v>2996</v>
      </c>
      <c r="D102" s="115" t="s">
        <v>2997</v>
      </c>
      <c r="E102" s="111">
        <v>2804</v>
      </c>
      <c r="F102" s="112"/>
      <c r="G102" s="112"/>
      <c r="H102" s="113">
        <f>E102*F102</f>
        <v>0</v>
      </c>
      <c r="I102" s="113">
        <f>E102*G102</f>
        <v>0</v>
      </c>
      <c r="J102" s="102"/>
      <c r="K102" s="102"/>
      <c r="L102" s="102"/>
      <c r="M102" s="102"/>
      <c r="N102" s="102"/>
      <c r="O102" s="102"/>
      <c r="P102" s="102"/>
      <c r="Q102" s="102"/>
      <c r="R102" s="102"/>
      <c r="S102" s="102"/>
      <c r="T102" s="102"/>
      <c r="U102" s="102"/>
      <c r="V102" s="102"/>
      <c r="W102" s="102"/>
      <c r="X102" s="102"/>
      <c r="Y102" s="102"/>
      <c r="Z102" s="102"/>
    </row>
    <row r="103" spans="1:26" x14ac:dyDescent="0.3">
      <c r="A103" s="11"/>
      <c r="B103" s="11"/>
      <c r="C103" s="11"/>
      <c r="D103" s="11"/>
      <c r="E103" s="11"/>
      <c r="F103" s="11"/>
      <c r="G103" s="11"/>
      <c r="H103" s="11"/>
      <c r="I103" s="91"/>
      <c r="J103" s="102"/>
      <c r="K103" s="102"/>
      <c r="L103" s="102"/>
      <c r="M103" s="102"/>
      <c r="N103" s="102"/>
      <c r="O103" s="102"/>
      <c r="P103" s="102"/>
      <c r="Q103" s="102"/>
      <c r="R103" s="102"/>
      <c r="S103" s="102"/>
      <c r="T103" s="102"/>
      <c r="U103" s="102"/>
      <c r="V103" s="102"/>
      <c r="W103" s="102"/>
      <c r="X103" s="102"/>
      <c r="Y103" s="102"/>
      <c r="Z103" s="102"/>
    </row>
    <row r="104" spans="1:26" x14ac:dyDescent="0.3">
      <c r="A104" s="111">
        <v>2</v>
      </c>
      <c r="B104" s="119">
        <v>47819</v>
      </c>
      <c r="C104" s="96" t="s">
        <v>2998</v>
      </c>
      <c r="D104" s="9"/>
      <c r="E104" s="9"/>
      <c r="F104" s="9"/>
      <c r="G104" s="9"/>
      <c r="H104" s="9"/>
      <c r="I104" s="108"/>
      <c r="J104" s="102"/>
      <c r="K104" s="102"/>
      <c r="L104" s="102"/>
      <c r="M104" s="102"/>
      <c r="N104" s="102"/>
      <c r="O104" s="102"/>
      <c r="P104" s="102"/>
      <c r="Q104" s="102"/>
      <c r="R104" s="102"/>
      <c r="S104" s="102"/>
      <c r="T104" s="102"/>
      <c r="U104" s="102"/>
      <c r="V104" s="102"/>
      <c r="W104" s="102"/>
      <c r="X104" s="102"/>
      <c r="Y104" s="102"/>
      <c r="Z104" s="102"/>
    </row>
    <row r="105" spans="1:26" x14ac:dyDescent="0.3">
      <c r="A105" s="11"/>
      <c r="B105" s="11"/>
      <c r="C105" s="11"/>
      <c r="D105" s="11"/>
      <c r="E105" s="11"/>
      <c r="F105" s="11"/>
      <c r="G105" s="11"/>
      <c r="H105" s="11"/>
      <c r="I105" s="91"/>
      <c r="J105" s="102"/>
      <c r="K105" s="102"/>
      <c r="L105" s="102"/>
      <c r="M105" s="102"/>
      <c r="N105" s="102"/>
      <c r="O105" s="102"/>
      <c r="P105" s="102"/>
      <c r="Q105" s="102"/>
      <c r="R105" s="102"/>
      <c r="S105" s="102"/>
      <c r="T105" s="102"/>
      <c r="U105" s="102"/>
      <c r="V105" s="102"/>
      <c r="W105" s="102"/>
      <c r="X105" s="102"/>
      <c r="Y105" s="102"/>
      <c r="Z105" s="102"/>
    </row>
    <row r="106" spans="1:26" x14ac:dyDescent="0.3">
      <c r="A106" s="109">
        <v>2.1</v>
      </c>
      <c r="B106" s="95" t="s">
        <v>2999</v>
      </c>
      <c r="C106" s="96" t="s">
        <v>3000</v>
      </c>
      <c r="D106" s="95" t="s">
        <v>3001</v>
      </c>
      <c r="E106" s="111">
        <v>1696.6029599999999</v>
      </c>
      <c r="F106" s="112"/>
      <c r="G106" s="112"/>
      <c r="H106" s="113">
        <f t="shared" ref="H106:H107" si="20">E106*F106</f>
        <v>0</v>
      </c>
      <c r="I106" s="113">
        <f t="shared" ref="I106:I107" si="21">E106*G106</f>
        <v>0</v>
      </c>
      <c r="J106" s="102"/>
      <c r="K106" s="102"/>
      <c r="L106" s="102"/>
      <c r="M106" s="102"/>
      <c r="N106" s="102"/>
      <c r="O106" s="102"/>
      <c r="P106" s="102"/>
      <c r="Q106" s="102"/>
      <c r="R106" s="102"/>
      <c r="S106" s="102"/>
      <c r="T106" s="102"/>
      <c r="U106" s="102"/>
      <c r="V106" s="102"/>
      <c r="W106" s="102"/>
      <c r="X106" s="102"/>
      <c r="Y106" s="102"/>
      <c r="Z106" s="102"/>
    </row>
    <row r="107" spans="1:26" x14ac:dyDescent="0.3">
      <c r="A107" s="109">
        <v>2.2000000000000002</v>
      </c>
      <c r="B107" s="95" t="s">
        <v>3002</v>
      </c>
      <c r="C107" s="96" t="s">
        <v>3003</v>
      </c>
      <c r="D107" s="95" t="s">
        <v>3004</v>
      </c>
      <c r="E107" s="111">
        <v>504.1</v>
      </c>
      <c r="F107" s="112"/>
      <c r="G107" s="112"/>
      <c r="H107" s="113">
        <f t="shared" si="20"/>
        <v>0</v>
      </c>
      <c r="I107" s="113">
        <f t="shared" si="21"/>
        <v>0</v>
      </c>
      <c r="J107" s="102"/>
      <c r="K107" s="102"/>
      <c r="L107" s="102"/>
      <c r="M107" s="102"/>
      <c r="N107" s="102"/>
      <c r="O107" s="102"/>
      <c r="P107" s="102"/>
      <c r="Q107" s="102"/>
      <c r="R107" s="102"/>
      <c r="S107" s="102"/>
      <c r="T107" s="102"/>
      <c r="U107" s="102"/>
      <c r="V107" s="102"/>
      <c r="W107" s="102"/>
      <c r="X107" s="102"/>
      <c r="Y107" s="102"/>
      <c r="Z107" s="102"/>
    </row>
    <row r="108" spans="1:26" x14ac:dyDescent="0.3">
      <c r="A108" s="11"/>
      <c r="B108" s="11"/>
      <c r="C108" s="11"/>
      <c r="D108" s="11"/>
      <c r="E108" s="11"/>
      <c r="F108" s="11"/>
      <c r="G108" s="11"/>
      <c r="H108" s="11"/>
      <c r="I108" s="91"/>
      <c r="J108" s="102"/>
      <c r="K108" s="102"/>
      <c r="L108" s="102"/>
      <c r="M108" s="102"/>
      <c r="N108" s="102"/>
      <c r="O108" s="102"/>
      <c r="P108" s="102"/>
      <c r="Q108" s="102"/>
      <c r="R108" s="102"/>
      <c r="S108" s="102"/>
      <c r="T108" s="102"/>
      <c r="U108" s="102"/>
      <c r="V108" s="102"/>
      <c r="W108" s="102"/>
      <c r="X108" s="102"/>
      <c r="Y108" s="102"/>
      <c r="Z108" s="102"/>
    </row>
    <row r="109" spans="1:26" x14ac:dyDescent="0.3">
      <c r="A109" s="106">
        <v>3</v>
      </c>
      <c r="B109" s="125">
        <v>30.13</v>
      </c>
      <c r="C109" s="9" t="s">
        <v>3005</v>
      </c>
      <c r="D109" s="95" t="s">
        <v>3006</v>
      </c>
      <c r="E109" s="111">
        <v>208.1</v>
      </c>
      <c r="F109" s="112"/>
      <c r="G109" s="112"/>
      <c r="H109" s="113">
        <f>E109*F109</f>
        <v>0</v>
      </c>
      <c r="I109" s="113">
        <f>E109*G109</f>
        <v>0</v>
      </c>
      <c r="J109" s="102"/>
      <c r="K109" s="102"/>
      <c r="L109" s="102"/>
      <c r="M109" s="102"/>
      <c r="N109" s="102"/>
      <c r="O109" s="102"/>
      <c r="P109" s="102"/>
      <c r="Q109" s="102"/>
      <c r="R109" s="102"/>
      <c r="S109" s="102"/>
      <c r="T109" s="102"/>
      <c r="U109" s="102"/>
      <c r="V109" s="102"/>
      <c r="W109" s="102"/>
      <c r="X109" s="102"/>
      <c r="Y109" s="102"/>
      <c r="Z109" s="102"/>
    </row>
    <row r="110" spans="1:26" x14ac:dyDescent="0.3">
      <c r="A110" s="11"/>
      <c r="B110" s="11"/>
      <c r="C110" s="11"/>
      <c r="D110" s="11"/>
      <c r="E110" s="11"/>
      <c r="F110" s="11"/>
      <c r="G110" s="11"/>
      <c r="H110" s="11"/>
      <c r="I110" s="91"/>
      <c r="J110" s="102"/>
      <c r="K110" s="102"/>
      <c r="L110" s="102"/>
      <c r="M110" s="102"/>
      <c r="N110" s="102"/>
      <c r="O110" s="102"/>
      <c r="P110" s="102"/>
      <c r="Q110" s="102"/>
      <c r="R110" s="102"/>
      <c r="S110" s="102"/>
      <c r="T110" s="102"/>
      <c r="U110" s="102"/>
      <c r="V110" s="102"/>
      <c r="W110" s="102"/>
      <c r="X110" s="102"/>
      <c r="Y110" s="102"/>
      <c r="Z110" s="102"/>
    </row>
    <row r="111" spans="1:26" x14ac:dyDescent="0.3">
      <c r="A111" s="106">
        <v>4</v>
      </c>
      <c r="B111" s="125">
        <v>30.16</v>
      </c>
      <c r="C111" s="96" t="s">
        <v>3007</v>
      </c>
      <c r="D111" s="95" t="s">
        <v>3008</v>
      </c>
      <c r="E111" s="111">
        <v>139.5</v>
      </c>
      <c r="F111" s="112"/>
      <c r="G111" s="112"/>
      <c r="H111" s="113">
        <f>E111*F111</f>
        <v>0</v>
      </c>
      <c r="I111" s="113">
        <f>E111*G111</f>
        <v>0</v>
      </c>
      <c r="J111" s="102"/>
      <c r="K111" s="102"/>
      <c r="L111" s="102"/>
      <c r="M111" s="102"/>
      <c r="N111" s="102"/>
      <c r="O111" s="102"/>
      <c r="P111" s="102"/>
      <c r="Q111" s="102"/>
      <c r="R111" s="102"/>
      <c r="S111" s="102"/>
      <c r="T111" s="102"/>
      <c r="U111" s="102"/>
      <c r="V111" s="102"/>
      <c r="W111" s="102"/>
      <c r="X111" s="102"/>
      <c r="Y111" s="102"/>
      <c r="Z111" s="102"/>
    </row>
    <row r="112" spans="1:26" x14ac:dyDescent="0.3">
      <c r="A112" s="11"/>
      <c r="B112" s="11"/>
      <c r="C112" s="11"/>
      <c r="D112" s="11"/>
      <c r="E112" s="11"/>
      <c r="F112" s="11"/>
      <c r="G112" s="11"/>
      <c r="H112" s="11"/>
      <c r="I112" s="91"/>
      <c r="J112" s="102"/>
      <c r="K112" s="102"/>
      <c r="L112" s="102"/>
      <c r="M112" s="102"/>
      <c r="N112" s="102"/>
      <c r="O112" s="102"/>
      <c r="P112" s="102"/>
      <c r="Q112" s="102"/>
      <c r="R112" s="102"/>
      <c r="S112" s="102"/>
      <c r="T112" s="102"/>
      <c r="U112" s="102"/>
      <c r="V112" s="102"/>
      <c r="W112" s="102"/>
      <c r="X112" s="102"/>
      <c r="Y112" s="102"/>
      <c r="Z112" s="102"/>
    </row>
    <row r="113" spans="1:26" x14ac:dyDescent="0.3">
      <c r="A113" s="111">
        <v>5</v>
      </c>
      <c r="B113" s="118">
        <v>30.19</v>
      </c>
      <c r="C113" s="96" t="s">
        <v>3009</v>
      </c>
      <c r="D113" s="9"/>
      <c r="E113" s="9"/>
      <c r="F113" s="9"/>
      <c r="G113" s="9"/>
      <c r="H113" s="9"/>
      <c r="I113" s="108"/>
      <c r="J113" s="102"/>
      <c r="K113" s="102"/>
      <c r="L113" s="102"/>
      <c r="M113" s="102"/>
      <c r="N113" s="102"/>
      <c r="O113" s="102"/>
      <c r="P113" s="102"/>
      <c r="Q113" s="102"/>
      <c r="R113" s="102"/>
      <c r="S113" s="102"/>
      <c r="T113" s="102"/>
      <c r="U113" s="102"/>
      <c r="V113" s="102"/>
      <c r="W113" s="102"/>
      <c r="X113" s="102"/>
      <c r="Y113" s="102"/>
      <c r="Z113" s="102"/>
    </row>
    <row r="114" spans="1:26" x14ac:dyDescent="0.3">
      <c r="A114" s="109">
        <v>5.0999999999999996</v>
      </c>
      <c r="B114" s="95" t="s">
        <v>3010</v>
      </c>
      <c r="C114" s="96" t="s">
        <v>3011</v>
      </c>
      <c r="D114" s="95" t="s">
        <v>3012</v>
      </c>
      <c r="E114" s="111">
        <v>705</v>
      </c>
      <c r="F114" s="112"/>
      <c r="G114" s="112"/>
      <c r="H114" s="113">
        <f t="shared" ref="H114:H115" si="22">E114*F114</f>
        <v>0</v>
      </c>
      <c r="I114" s="113">
        <f t="shared" ref="I114:I115" si="23">E114*G114</f>
        <v>0</v>
      </c>
      <c r="J114" s="102"/>
      <c r="K114" s="102"/>
      <c r="L114" s="102"/>
      <c r="M114" s="102"/>
      <c r="N114" s="102"/>
      <c r="O114" s="102"/>
      <c r="P114" s="102"/>
      <c r="Q114" s="102"/>
      <c r="R114" s="102"/>
      <c r="S114" s="102"/>
      <c r="T114" s="102"/>
      <c r="U114" s="102"/>
      <c r="V114" s="102"/>
      <c r="W114" s="102"/>
      <c r="X114" s="102"/>
      <c r="Y114" s="102"/>
      <c r="Z114" s="102"/>
    </row>
    <row r="115" spans="1:26" x14ac:dyDescent="0.3">
      <c r="A115" s="109">
        <v>5.2</v>
      </c>
      <c r="B115" s="95" t="s">
        <v>3013</v>
      </c>
      <c r="C115" s="96" t="s">
        <v>3014</v>
      </c>
      <c r="D115" s="95" t="s">
        <v>3015</v>
      </c>
      <c r="E115" s="111">
        <v>410</v>
      </c>
      <c r="F115" s="112"/>
      <c r="G115" s="112"/>
      <c r="H115" s="113">
        <f t="shared" si="22"/>
        <v>0</v>
      </c>
      <c r="I115" s="113">
        <f t="shared" si="23"/>
        <v>0</v>
      </c>
      <c r="J115" s="102"/>
      <c r="K115" s="102"/>
      <c r="L115" s="102"/>
      <c r="M115" s="102"/>
      <c r="N115" s="102"/>
      <c r="O115" s="102"/>
      <c r="P115" s="102"/>
      <c r="Q115" s="102"/>
      <c r="R115" s="102"/>
      <c r="S115" s="102"/>
      <c r="T115" s="102"/>
      <c r="U115" s="102"/>
      <c r="V115" s="102"/>
      <c r="W115" s="102"/>
      <c r="X115" s="102"/>
      <c r="Y115" s="102"/>
      <c r="Z115" s="102"/>
    </row>
    <row r="116" spans="1:26" x14ac:dyDescent="0.3">
      <c r="A116" s="10"/>
      <c r="B116" s="10"/>
      <c r="C116" s="10"/>
      <c r="D116" s="10"/>
      <c r="E116" s="10"/>
      <c r="F116" s="10"/>
      <c r="G116" s="10"/>
      <c r="H116" s="10"/>
      <c r="I116" s="117"/>
      <c r="J116" s="102"/>
      <c r="K116" s="102"/>
      <c r="L116" s="102"/>
      <c r="M116" s="102"/>
      <c r="N116" s="102"/>
      <c r="O116" s="102"/>
      <c r="P116" s="102"/>
      <c r="Q116" s="102"/>
      <c r="R116" s="102"/>
      <c r="S116" s="102"/>
      <c r="T116" s="102"/>
      <c r="U116" s="102"/>
      <c r="V116" s="102"/>
      <c r="W116" s="102"/>
      <c r="X116" s="102"/>
      <c r="Y116" s="102"/>
      <c r="Z116" s="102"/>
    </row>
    <row r="117" spans="1:26" x14ac:dyDescent="0.3">
      <c r="A117" s="111">
        <v>6</v>
      </c>
      <c r="B117" s="118">
        <v>30.2</v>
      </c>
      <c r="C117" s="96" t="s">
        <v>3016</v>
      </c>
      <c r="D117" s="9"/>
      <c r="E117" s="9"/>
      <c r="F117" s="9"/>
      <c r="G117" s="9"/>
      <c r="H117" s="9"/>
      <c r="I117" s="108"/>
      <c r="J117" s="102"/>
      <c r="K117" s="102"/>
      <c r="L117" s="102"/>
      <c r="M117" s="102"/>
      <c r="N117" s="102"/>
      <c r="O117" s="102"/>
      <c r="P117" s="102"/>
      <c r="Q117" s="102"/>
      <c r="R117" s="102"/>
      <c r="S117" s="102"/>
      <c r="T117" s="102"/>
      <c r="U117" s="102"/>
      <c r="V117" s="102"/>
      <c r="W117" s="102"/>
      <c r="X117" s="102"/>
      <c r="Y117" s="102"/>
      <c r="Z117" s="102"/>
    </row>
    <row r="118" spans="1:26" x14ac:dyDescent="0.3">
      <c r="A118" s="109">
        <v>6.1</v>
      </c>
      <c r="B118" s="95" t="s">
        <v>3017</v>
      </c>
      <c r="C118" s="96" t="s">
        <v>3018</v>
      </c>
      <c r="D118" s="95" t="s">
        <v>3019</v>
      </c>
      <c r="E118" s="111">
        <v>116.5</v>
      </c>
      <c r="F118" s="112"/>
      <c r="G118" s="112"/>
      <c r="H118" s="113">
        <f t="shared" ref="H118:H119" si="24">E118*F118</f>
        <v>0</v>
      </c>
      <c r="I118" s="113">
        <f t="shared" ref="I118:I119" si="25">E118*G118</f>
        <v>0</v>
      </c>
      <c r="J118" s="102"/>
      <c r="K118" s="102"/>
      <c r="L118" s="102"/>
      <c r="M118" s="102"/>
      <c r="N118" s="102"/>
      <c r="O118" s="102"/>
      <c r="P118" s="102"/>
      <c r="Q118" s="102"/>
      <c r="R118" s="102"/>
      <c r="S118" s="102"/>
      <c r="T118" s="102"/>
      <c r="U118" s="102"/>
      <c r="V118" s="102"/>
      <c r="W118" s="102"/>
      <c r="X118" s="102"/>
      <c r="Y118" s="102"/>
      <c r="Z118" s="102"/>
    </row>
    <row r="119" spans="1:26" x14ac:dyDescent="0.3">
      <c r="A119" s="109">
        <v>6.2</v>
      </c>
      <c r="B119" s="95" t="s">
        <v>3020</v>
      </c>
      <c r="C119" s="96" t="s">
        <v>3021</v>
      </c>
      <c r="D119" s="95" t="s">
        <v>3022</v>
      </c>
      <c r="E119" s="111">
        <v>193</v>
      </c>
      <c r="F119" s="112"/>
      <c r="G119" s="112"/>
      <c r="H119" s="113">
        <f t="shared" si="24"/>
        <v>0</v>
      </c>
      <c r="I119" s="113">
        <f t="shared" si="25"/>
        <v>0</v>
      </c>
      <c r="J119" s="102"/>
      <c r="K119" s="102"/>
      <c r="L119" s="102"/>
      <c r="M119" s="102"/>
      <c r="N119" s="102"/>
      <c r="O119" s="102"/>
      <c r="P119" s="102"/>
      <c r="Q119" s="102"/>
      <c r="R119" s="102"/>
      <c r="S119" s="102"/>
      <c r="T119" s="102"/>
      <c r="U119" s="102"/>
      <c r="V119" s="102"/>
      <c r="W119" s="102"/>
      <c r="X119" s="102"/>
      <c r="Y119" s="102"/>
      <c r="Z119" s="102"/>
    </row>
    <row r="120" spans="1:26" x14ac:dyDescent="0.3">
      <c r="A120" s="11"/>
      <c r="B120" s="11"/>
      <c r="C120" s="11"/>
      <c r="D120" s="11"/>
      <c r="E120" s="11"/>
      <c r="F120" s="11"/>
      <c r="G120" s="11"/>
      <c r="H120" s="11"/>
      <c r="I120" s="91"/>
      <c r="J120" s="102"/>
      <c r="K120" s="102"/>
      <c r="L120" s="102"/>
      <c r="M120" s="102"/>
      <c r="N120" s="102"/>
      <c r="O120" s="102"/>
      <c r="P120" s="102"/>
      <c r="Q120" s="102"/>
      <c r="R120" s="102"/>
      <c r="S120" s="102"/>
      <c r="T120" s="102"/>
      <c r="U120" s="102"/>
      <c r="V120" s="102"/>
      <c r="W120" s="102"/>
      <c r="X120" s="102"/>
      <c r="Y120" s="102"/>
      <c r="Z120" s="102"/>
    </row>
    <row r="121" spans="1:26" x14ac:dyDescent="0.3">
      <c r="A121" s="111">
        <v>7</v>
      </c>
      <c r="B121" s="118">
        <v>30.21</v>
      </c>
      <c r="C121" s="96" t="s">
        <v>3023</v>
      </c>
      <c r="D121" s="9"/>
      <c r="E121" s="9"/>
      <c r="F121" s="9"/>
      <c r="G121" s="9"/>
      <c r="H121" s="9"/>
      <c r="I121" s="108"/>
      <c r="J121" s="102"/>
      <c r="K121" s="102"/>
      <c r="L121" s="102"/>
      <c r="M121" s="102"/>
      <c r="N121" s="102"/>
      <c r="O121" s="102"/>
      <c r="P121" s="102"/>
      <c r="Q121" s="102"/>
      <c r="R121" s="102"/>
      <c r="S121" s="102"/>
      <c r="T121" s="102"/>
      <c r="U121" s="102"/>
      <c r="V121" s="102"/>
      <c r="W121" s="102"/>
      <c r="X121" s="102"/>
      <c r="Y121" s="102"/>
      <c r="Z121" s="102"/>
    </row>
    <row r="122" spans="1:26" x14ac:dyDescent="0.3">
      <c r="A122" s="109">
        <v>7.1</v>
      </c>
      <c r="B122" s="125">
        <v>30.21</v>
      </c>
      <c r="C122" s="96" t="s">
        <v>3024</v>
      </c>
      <c r="D122" s="95" t="s">
        <v>3025</v>
      </c>
      <c r="E122" s="111">
        <v>1673.5</v>
      </c>
      <c r="F122" s="112"/>
      <c r="G122" s="112"/>
      <c r="H122" s="113">
        <f t="shared" ref="H122:H123" si="26">E122*F122</f>
        <v>0</v>
      </c>
      <c r="I122" s="113">
        <f t="shared" ref="I122:I123" si="27">E122*G122</f>
        <v>0</v>
      </c>
      <c r="J122" s="102"/>
      <c r="K122" s="102"/>
      <c r="L122" s="102"/>
      <c r="M122" s="102"/>
      <c r="N122" s="102"/>
      <c r="O122" s="102"/>
      <c r="P122" s="102"/>
      <c r="Q122" s="102"/>
      <c r="R122" s="102"/>
      <c r="S122" s="102"/>
      <c r="T122" s="102"/>
      <c r="U122" s="102"/>
      <c r="V122" s="102"/>
      <c r="W122" s="102"/>
      <c r="X122" s="102"/>
      <c r="Y122" s="102"/>
      <c r="Z122" s="102"/>
    </row>
    <row r="123" spans="1:26" x14ac:dyDescent="0.3">
      <c r="A123" s="109">
        <v>7.2</v>
      </c>
      <c r="B123" s="95" t="s">
        <v>3026</v>
      </c>
      <c r="C123" s="96" t="s">
        <v>3027</v>
      </c>
      <c r="D123" s="95" t="s">
        <v>3028</v>
      </c>
      <c r="E123" s="111">
        <v>102.96</v>
      </c>
      <c r="F123" s="112"/>
      <c r="G123" s="112"/>
      <c r="H123" s="113">
        <f t="shared" si="26"/>
        <v>0</v>
      </c>
      <c r="I123" s="113">
        <f t="shared" si="27"/>
        <v>0</v>
      </c>
      <c r="J123" s="102"/>
      <c r="K123" s="102"/>
      <c r="L123" s="102"/>
      <c r="M123" s="102"/>
      <c r="N123" s="102"/>
      <c r="O123" s="102"/>
      <c r="P123" s="102"/>
      <c r="Q123" s="102"/>
      <c r="R123" s="102"/>
      <c r="S123" s="102"/>
      <c r="T123" s="102"/>
      <c r="U123" s="102"/>
      <c r="V123" s="102"/>
      <c r="W123" s="102"/>
      <c r="X123" s="102"/>
      <c r="Y123" s="102"/>
      <c r="Z123" s="102"/>
    </row>
    <row r="124" spans="1:26" x14ac:dyDescent="0.3">
      <c r="A124" s="11"/>
      <c r="B124" s="11"/>
      <c r="C124" s="11"/>
      <c r="D124" s="11"/>
      <c r="E124" s="11"/>
      <c r="F124" s="11"/>
      <c r="G124" s="11"/>
      <c r="H124" s="11"/>
      <c r="I124" s="91"/>
      <c r="J124" s="102"/>
      <c r="K124" s="102"/>
      <c r="L124" s="102"/>
      <c r="M124" s="102"/>
      <c r="N124" s="102"/>
      <c r="O124" s="102"/>
      <c r="P124" s="102"/>
      <c r="Q124" s="102"/>
      <c r="R124" s="102"/>
      <c r="S124" s="102"/>
      <c r="T124" s="102"/>
      <c r="U124" s="102"/>
      <c r="V124" s="102"/>
      <c r="W124" s="102"/>
      <c r="X124" s="102"/>
      <c r="Y124" s="102"/>
      <c r="Z124" s="102"/>
    </row>
    <row r="125" spans="1:26" x14ac:dyDescent="0.3">
      <c r="A125" s="111">
        <v>8</v>
      </c>
      <c r="B125" s="118">
        <v>30.23</v>
      </c>
      <c r="C125" s="96" t="s">
        <v>3029</v>
      </c>
      <c r="D125" s="9"/>
      <c r="E125" s="9"/>
      <c r="F125" s="9"/>
      <c r="G125" s="9"/>
      <c r="H125" s="9"/>
      <c r="I125" s="108"/>
      <c r="J125" s="102"/>
      <c r="K125" s="102"/>
      <c r="L125" s="102"/>
      <c r="M125" s="102"/>
      <c r="N125" s="102"/>
      <c r="O125" s="102"/>
      <c r="P125" s="102"/>
      <c r="Q125" s="102"/>
      <c r="R125" s="102"/>
      <c r="S125" s="102"/>
      <c r="T125" s="102"/>
      <c r="U125" s="102"/>
      <c r="V125" s="102"/>
      <c r="W125" s="102"/>
      <c r="X125" s="102"/>
      <c r="Y125" s="102"/>
      <c r="Z125" s="102"/>
    </row>
    <row r="126" spans="1:26" x14ac:dyDescent="0.3">
      <c r="A126" s="109">
        <v>8.1</v>
      </c>
      <c r="B126" s="95" t="s">
        <v>3030</v>
      </c>
      <c r="C126" s="96" t="s">
        <v>3031</v>
      </c>
      <c r="D126" s="95" t="s">
        <v>3032</v>
      </c>
      <c r="E126" s="111">
        <v>55</v>
      </c>
      <c r="F126" s="112"/>
      <c r="G126" s="112"/>
      <c r="H126" s="113">
        <f t="shared" ref="H126:H127" si="28">E126*F126</f>
        <v>0</v>
      </c>
      <c r="I126" s="113">
        <f t="shared" ref="I126:I127" si="29">E126*G126</f>
        <v>0</v>
      </c>
      <c r="J126" s="102"/>
      <c r="K126" s="102"/>
      <c r="L126" s="102"/>
      <c r="M126" s="102"/>
      <c r="N126" s="102"/>
      <c r="O126" s="102"/>
      <c r="P126" s="102"/>
      <c r="Q126" s="102"/>
      <c r="R126" s="102"/>
      <c r="S126" s="102"/>
      <c r="T126" s="102"/>
      <c r="U126" s="102"/>
      <c r="V126" s="102"/>
      <c r="W126" s="102"/>
      <c r="X126" s="102"/>
      <c r="Y126" s="102"/>
      <c r="Z126" s="102"/>
    </row>
    <row r="127" spans="1:26" x14ac:dyDescent="0.3">
      <c r="A127" s="109">
        <v>8.1999999999999993</v>
      </c>
      <c r="B127" s="95" t="s">
        <v>3033</v>
      </c>
      <c r="C127" s="96" t="s">
        <v>3034</v>
      </c>
      <c r="D127" s="95" t="s">
        <v>3035</v>
      </c>
      <c r="E127" s="111">
        <v>11607.475</v>
      </c>
      <c r="F127" s="112"/>
      <c r="G127" s="112"/>
      <c r="H127" s="113">
        <f t="shared" si="28"/>
        <v>0</v>
      </c>
      <c r="I127" s="113">
        <f t="shared" si="29"/>
        <v>0</v>
      </c>
      <c r="J127" s="102"/>
      <c r="K127" s="102"/>
      <c r="L127" s="102"/>
      <c r="M127" s="102"/>
      <c r="N127" s="102"/>
      <c r="O127" s="102"/>
      <c r="P127" s="102"/>
      <c r="Q127" s="102"/>
      <c r="R127" s="102"/>
      <c r="S127" s="102"/>
      <c r="T127" s="102"/>
      <c r="U127" s="102"/>
      <c r="V127" s="102"/>
      <c r="W127" s="102"/>
      <c r="X127" s="102"/>
      <c r="Y127" s="102"/>
      <c r="Z127" s="102"/>
    </row>
    <row r="128" spans="1:26" x14ac:dyDescent="0.3">
      <c r="A128" s="11"/>
      <c r="B128" s="11"/>
      <c r="C128" s="11"/>
      <c r="D128" s="11"/>
      <c r="E128" s="11"/>
      <c r="F128" s="11"/>
      <c r="G128" s="11"/>
      <c r="H128" s="11"/>
      <c r="I128" s="91"/>
      <c r="J128" s="102"/>
      <c r="K128" s="102"/>
      <c r="L128" s="102"/>
      <c r="M128" s="102"/>
      <c r="N128" s="102"/>
      <c r="O128" s="102"/>
      <c r="P128" s="102"/>
      <c r="Q128" s="102"/>
      <c r="R128" s="102"/>
      <c r="S128" s="102"/>
      <c r="T128" s="102"/>
      <c r="U128" s="102"/>
      <c r="V128" s="102"/>
      <c r="W128" s="102"/>
      <c r="X128" s="102"/>
      <c r="Y128" s="102"/>
      <c r="Z128" s="102"/>
    </row>
    <row r="129" spans="1:26" x14ac:dyDescent="0.3">
      <c r="A129" s="111">
        <v>9</v>
      </c>
      <c r="B129" s="115" t="s">
        <v>3036</v>
      </c>
      <c r="C129" s="9" t="s">
        <v>3037</v>
      </c>
      <c r="D129" s="10"/>
      <c r="E129" s="10"/>
      <c r="F129" s="10"/>
      <c r="G129" s="10"/>
      <c r="H129" s="10"/>
      <c r="I129" s="117"/>
      <c r="J129" s="102"/>
      <c r="K129" s="102"/>
      <c r="L129" s="102"/>
      <c r="M129" s="102"/>
      <c r="N129" s="102"/>
      <c r="O129" s="102"/>
      <c r="P129" s="102"/>
      <c r="Q129" s="102"/>
      <c r="R129" s="102"/>
      <c r="S129" s="102"/>
      <c r="T129" s="102"/>
      <c r="U129" s="102"/>
      <c r="V129" s="102"/>
      <c r="W129" s="102"/>
      <c r="X129" s="102"/>
      <c r="Y129" s="102"/>
      <c r="Z129" s="102"/>
    </row>
    <row r="130" spans="1:26" x14ac:dyDescent="0.3">
      <c r="A130" s="107">
        <v>9.1</v>
      </c>
      <c r="B130" s="9"/>
      <c r="C130" s="96" t="s">
        <v>3038</v>
      </c>
      <c r="D130" s="115" t="s">
        <v>3039</v>
      </c>
      <c r="E130" s="111">
        <v>680</v>
      </c>
      <c r="F130" s="112"/>
      <c r="G130" s="112"/>
      <c r="H130" s="113">
        <f>E130*F130</f>
        <v>0</v>
      </c>
      <c r="I130" s="113">
        <f>E130*G130</f>
        <v>0</v>
      </c>
      <c r="J130" s="102"/>
      <c r="K130" s="102"/>
      <c r="L130" s="102"/>
      <c r="M130" s="102"/>
      <c r="N130" s="102"/>
      <c r="O130" s="102"/>
      <c r="P130" s="102"/>
      <c r="Q130" s="102"/>
      <c r="R130" s="102"/>
      <c r="S130" s="102"/>
      <c r="T130" s="102"/>
      <c r="U130" s="102"/>
      <c r="V130" s="102"/>
      <c r="W130" s="102"/>
      <c r="X130" s="102"/>
      <c r="Y130" s="102"/>
      <c r="Z130" s="102"/>
    </row>
    <row r="131" spans="1:26" x14ac:dyDescent="0.3">
      <c r="A131" s="11"/>
      <c r="B131" s="11"/>
      <c r="C131" s="11"/>
      <c r="D131" s="11"/>
      <c r="E131" s="11"/>
      <c r="F131" s="11"/>
      <c r="G131" s="11"/>
      <c r="H131" s="11"/>
      <c r="I131" s="91"/>
      <c r="J131" s="102"/>
      <c r="K131" s="102"/>
      <c r="L131" s="102"/>
      <c r="M131" s="102"/>
      <c r="N131" s="102"/>
      <c r="O131" s="102"/>
      <c r="P131" s="102"/>
      <c r="Q131" s="102"/>
      <c r="R131" s="102"/>
      <c r="S131" s="102"/>
      <c r="T131" s="102"/>
      <c r="U131" s="102"/>
      <c r="V131" s="102"/>
      <c r="W131" s="102"/>
      <c r="X131" s="102"/>
      <c r="Y131" s="102"/>
      <c r="Z131" s="102"/>
    </row>
    <row r="132" spans="1:26" x14ac:dyDescent="0.3">
      <c r="A132" s="106">
        <v>10</v>
      </c>
      <c r="B132" s="95" t="s">
        <v>3040</v>
      </c>
      <c r="C132" s="105" t="s">
        <v>3041</v>
      </c>
      <c r="D132" s="11"/>
      <c r="E132" s="11"/>
      <c r="F132" s="11"/>
      <c r="G132" s="11"/>
      <c r="H132" s="11"/>
      <c r="I132" s="91"/>
      <c r="J132" s="102"/>
      <c r="K132" s="102"/>
      <c r="L132" s="102"/>
      <c r="M132" s="102"/>
      <c r="N132" s="102"/>
      <c r="O132" s="102"/>
      <c r="P132" s="102"/>
      <c r="Q132" s="102"/>
      <c r="R132" s="102"/>
      <c r="S132" s="102"/>
      <c r="T132" s="102"/>
      <c r="U132" s="102"/>
      <c r="V132" s="102"/>
      <c r="W132" s="102"/>
      <c r="X132" s="102"/>
      <c r="Y132" s="102"/>
      <c r="Z132" s="102"/>
    </row>
    <row r="133" spans="1:26" x14ac:dyDescent="0.3">
      <c r="A133" s="9"/>
      <c r="B133" s="9"/>
      <c r="C133" s="96" t="s">
        <v>3042</v>
      </c>
      <c r="D133" s="9"/>
      <c r="E133" s="9"/>
      <c r="F133" s="9"/>
      <c r="G133" s="9"/>
      <c r="H133" s="9"/>
      <c r="I133" s="108"/>
      <c r="J133" s="102"/>
      <c r="K133" s="102"/>
      <c r="L133" s="102"/>
      <c r="M133" s="102"/>
      <c r="N133" s="102"/>
      <c r="O133" s="102"/>
      <c r="P133" s="102"/>
      <c r="Q133" s="102"/>
      <c r="R133" s="102"/>
      <c r="S133" s="102"/>
      <c r="T133" s="102"/>
      <c r="U133" s="102"/>
      <c r="V133" s="102"/>
      <c r="W133" s="102"/>
      <c r="X133" s="102"/>
      <c r="Y133" s="102"/>
      <c r="Z133" s="102"/>
    </row>
    <row r="134" spans="1:26" x14ac:dyDescent="0.3">
      <c r="A134" s="109">
        <v>10.1</v>
      </c>
      <c r="B134" s="10"/>
      <c r="C134" s="9" t="s">
        <v>3043</v>
      </c>
      <c r="D134" s="95" t="s">
        <v>3044</v>
      </c>
      <c r="E134" s="111">
        <v>1541</v>
      </c>
      <c r="F134" s="112"/>
      <c r="G134" s="112"/>
      <c r="H134" s="113">
        <f>E134*F134</f>
        <v>0</v>
      </c>
      <c r="I134" s="113">
        <f>E134*G134</f>
        <v>0</v>
      </c>
      <c r="J134" s="102"/>
      <c r="K134" s="102"/>
      <c r="L134" s="102"/>
      <c r="M134" s="102"/>
      <c r="N134" s="102"/>
      <c r="O134" s="102"/>
      <c r="P134" s="102"/>
      <c r="Q134" s="102"/>
      <c r="R134" s="102"/>
      <c r="S134" s="102"/>
      <c r="T134" s="102"/>
      <c r="U134" s="102"/>
      <c r="V134" s="102"/>
      <c r="W134" s="102"/>
      <c r="X134" s="102"/>
      <c r="Y134" s="102"/>
      <c r="Z134" s="102"/>
    </row>
    <row r="135" spans="1:26" x14ac:dyDescent="0.3">
      <c r="A135" s="11"/>
      <c r="B135" s="11"/>
      <c r="C135" s="11"/>
      <c r="D135" s="11"/>
      <c r="E135" s="11"/>
      <c r="F135" s="11"/>
      <c r="G135" s="11"/>
      <c r="H135" s="11"/>
      <c r="I135" s="91"/>
      <c r="J135" s="102"/>
      <c r="K135" s="102"/>
      <c r="L135" s="102"/>
      <c r="M135" s="102"/>
      <c r="N135" s="102"/>
      <c r="O135" s="102"/>
      <c r="P135" s="102"/>
      <c r="Q135" s="102"/>
      <c r="R135" s="102"/>
      <c r="S135" s="102"/>
      <c r="T135" s="102"/>
      <c r="U135" s="102"/>
      <c r="V135" s="102"/>
      <c r="W135" s="102"/>
      <c r="X135" s="102"/>
      <c r="Y135" s="102"/>
      <c r="Z135" s="102"/>
    </row>
    <row r="136" spans="1:26" x14ac:dyDescent="0.3">
      <c r="A136" s="111">
        <v>11</v>
      </c>
      <c r="B136" s="118">
        <v>30.17</v>
      </c>
      <c r="C136" s="9" t="s">
        <v>3045</v>
      </c>
      <c r="D136" s="10"/>
      <c r="E136" s="10"/>
      <c r="F136" s="10"/>
      <c r="G136" s="10"/>
      <c r="H136" s="10"/>
      <c r="I136" s="117"/>
      <c r="J136" s="102"/>
      <c r="K136" s="102"/>
      <c r="L136" s="102"/>
      <c r="M136" s="102"/>
      <c r="N136" s="102"/>
      <c r="O136" s="102"/>
      <c r="P136" s="102"/>
      <c r="Q136" s="102"/>
      <c r="R136" s="102"/>
      <c r="S136" s="102"/>
      <c r="T136" s="102"/>
      <c r="U136" s="102"/>
      <c r="V136" s="102"/>
      <c r="W136" s="102"/>
      <c r="X136" s="102"/>
      <c r="Y136" s="102"/>
      <c r="Z136" s="102"/>
    </row>
    <row r="137" spans="1:26" x14ac:dyDescent="0.3">
      <c r="A137" s="9"/>
      <c r="B137" s="9"/>
      <c r="C137" s="9" t="s">
        <v>3046</v>
      </c>
      <c r="D137" s="9"/>
      <c r="E137" s="9"/>
      <c r="F137" s="9"/>
      <c r="G137" s="9"/>
      <c r="H137" s="9"/>
      <c r="I137" s="108"/>
      <c r="J137" s="102"/>
      <c r="K137" s="102"/>
      <c r="L137" s="102"/>
      <c r="M137" s="102"/>
      <c r="N137" s="102"/>
      <c r="O137" s="102"/>
      <c r="P137" s="102"/>
      <c r="Q137" s="102"/>
      <c r="R137" s="102"/>
      <c r="S137" s="102"/>
      <c r="T137" s="102"/>
      <c r="U137" s="102"/>
      <c r="V137" s="102"/>
      <c r="W137" s="102"/>
      <c r="X137" s="102"/>
      <c r="Y137" s="102"/>
      <c r="Z137" s="102"/>
    </row>
    <row r="138" spans="1:26" x14ac:dyDescent="0.3">
      <c r="A138" s="10"/>
      <c r="B138" s="10"/>
      <c r="C138" s="96" t="s">
        <v>3047</v>
      </c>
      <c r="D138" s="10"/>
      <c r="E138" s="10"/>
      <c r="F138" s="10"/>
      <c r="G138" s="10"/>
      <c r="H138" s="10"/>
      <c r="I138" s="117"/>
      <c r="J138" s="102"/>
      <c r="K138" s="102"/>
      <c r="L138" s="102"/>
      <c r="M138" s="102"/>
      <c r="N138" s="102"/>
      <c r="O138" s="102"/>
      <c r="P138" s="102"/>
      <c r="Q138" s="102"/>
      <c r="R138" s="102"/>
      <c r="S138" s="102"/>
      <c r="T138" s="102"/>
      <c r="U138" s="102"/>
      <c r="V138" s="102"/>
      <c r="W138" s="102"/>
      <c r="X138" s="102"/>
      <c r="Y138" s="102"/>
      <c r="Z138" s="102"/>
    </row>
    <row r="139" spans="1:26" x14ac:dyDescent="0.3">
      <c r="A139" s="11"/>
      <c r="B139" s="11"/>
      <c r="C139" s="96" t="s">
        <v>3048</v>
      </c>
      <c r="D139" s="11"/>
      <c r="E139" s="11"/>
      <c r="F139" s="11"/>
      <c r="G139" s="11"/>
      <c r="H139" s="11"/>
      <c r="I139" s="91"/>
      <c r="J139" s="102"/>
      <c r="K139" s="102"/>
      <c r="L139" s="102"/>
      <c r="M139" s="102"/>
      <c r="N139" s="102"/>
      <c r="O139" s="102"/>
      <c r="P139" s="102"/>
      <c r="Q139" s="102"/>
      <c r="R139" s="102"/>
      <c r="S139" s="102"/>
      <c r="T139" s="102"/>
      <c r="U139" s="102"/>
      <c r="V139" s="102"/>
      <c r="W139" s="102"/>
      <c r="X139" s="102"/>
      <c r="Y139" s="102"/>
      <c r="Z139" s="102"/>
    </row>
    <row r="140" spans="1:26" x14ac:dyDescent="0.3">
      <c r="A140" s="109">
        <v>11.1</v>
      </c>
      <c r="B140" s="125">
        <v>30.17</v>
      </c>
      <c r="C140" s="96" t="s">
        <v>3049</v>
      </c>
      <c r="D140" s="95" t="s">
        <v>3050</v>
      </c>
      <c r="E140" s="111">
        <v>17.64</v>
      </c>
      <c r="F140" s="112"/>
      <c r="G140" s="112"/>
      <c r="H140" s="113">
        <f t="shared" ref="H140:H142" si="30">E140*F140</f>
        <v>0</v>
      </c>
      <c r="I140" s="113">
        <f t="shared" ref="I140:I142" si="31">E140*G140</f>
        <v>0</v>
      </c>
      <c r="J140" s="102"/>
      <c r="K140" s="102"/>
      <c r="L140" s="102"/>
      <c r="M140" s="102"/>
      <c r="N140" s="102"/>
      <c r="O140" s="102"/>
      <c r="P140" s="102"/>
      <c r="Q140" s="102"/>
      <c r="R140" s="102"/>
      <c r="S140" s="102"/>
      <c r="T140" s="102"/>
      <c r="U140" s="102"/>
      <c r="V140" s="102"/>
      <c r="W140" s="102"/>
      <c r="X140" s="102"/>
      <c r="Y140" s="102"/>
      <c r="Z140" s="102"/>
    </row>
    <row r="141" spans="1:26" x14ac:dyDescent="0.3">
      <c r="A141" s="109">
        <v>11.2</v>
      </c>
      <c r="B141" s="125">
        <v>30.17</v>
      </c>
      <c r="C141" s="96" t="s">
        <v>3051</v>
      </c>
      <c r="D141" s="95" t="s">
        <v>3052</v>
      </c>
      <c r="E141" s="111">
        <v>7.2</v>
      </c>
      <c r="F141" s="112"/>
      <c r="G141" s="112"/>
      <c r="H141" s="113">
        <f t="shared" si="30"/>
        <v>0</v>
      </c>
      <c r="I141" s="113">
        <f t="shared" si="31"/>
        <v>0</v>
      </c>
      <c r="J141" s="102"/>
      <c r="K141" s="102"/>
      <c r="L141" s="102"/>
      <c r="M141" s="102"/>
      <c r="N141" s="102"/>
      <c r="O141" s="102"/>
      <c r="P141" s="102"/>
      <c r="Q141" s="102"/>
      <c r="R141" s="102"/>
      <c r="S141" s="102"/>
      <c r="T141" s="102"/>
      <c r="U141" s="102"/>
      <c r="V141" s="102"/>
      <c r="W141" s="102"/>
      <c r="X141" s="102"/>
      <c r="Y141" s="102"/>
      <c r="Z141" s="102"/>
    </row>
    <row r="142" spans="1:26" x14ac:dyDescent="0.3">
      <c r="A142" s="109">
        <v>11.3</v>
      </c>
      <c r="B142" s="125">
        <v>30.17</v>
      </c>
      <c r="C142" s="96" t="s">
        <v>3053</v>
      </c>
      <c r="D142" s="95" t="s">
        <v>3054</v>
      </c>
      <c r="E142" s="111">
        <v>5.4</v>
      </c>
      <c r="F142" s="112"/>
      <c r="G142" s="112"/>
      <c r="H142" s="113">
        <f t="shared" si="30"/>
        <v>0</v>
      </c>
      <c r="I142" s="113">
        <f t="shared" si="31"/>
        <v>0</v>
      </c>
      <c r="J142" s="102"/>
      <c r="K142" s="102"/>
      <c r="L142" s="102"/>
      <c r="M142" s="102"/>
      <c r="N142" s="102"/>
      <c r="O142" s="102"/>
      <c r="P142" s="102"/>
      <c r="Q142" s="102"/>
      <c r="R142" s="102"/>
      <c r="S142" s="102"/>
      <c r="T142" s="102"/>
      <c r="U142" s="102"/>
      <c r="V142" s="102"/>
      <c r="W142" s="102"/>
      <c r="X142" s="102"/>
      <c r="Y142" s="102"/>
      <c r="Z142" s="102"/>
    </row>
    <row r="143" spans="1:26" x14ac:dyDescent="0.3">
      <c r="A143" s="128">
        <v>5.13</v>
      </c>
      <c r="B143" s="11"/>
      <c r="C143" s="243" t="s">
        <v>3055</v>
      </c>
      <c r="D143" s="221"/>
      <c r="E143" s="11"/>
      <c r="F143" s="11"/>
      <c r="G143" s="11"/>
      <c r="H143" s="11"/>
      <c r="I143" s="11"/>
      <c r="J143" s="102"/>
      <c r="K143" s="102"/>
      <c r="L143" s="102"/>
      <c r="M143" s="102"/>
      <c r="N143" s="102"/>
      <c r="O143" s="102"/>
      <c r="P143" s="102"/>
      <c r="Q143" s="102"/>
      <c r="R143" s="102"/>
      <c r="S143" s="102"/>
      <c r="T143" s="102"/>
      <c r="U143" s="102"/>
      <c r="V143" s="102"/>
      <c r="W143" s="102"/>
      <c r="X143" s="102"/>
      <c r="Y143" s="102"/>
      <c r="Z143" s="102"/>
    </row>
    <row r="144" spans="1:26" x14ac:dyDescent="0.3">
      <c r="A144" s="9"/>
      <c r="B144" s="9"/>
      <c r="C144" s="9" t="s">
        <v>3056</v>
      </c>
      <c r="D144" s="9"/>
      <c r="E144" s="9"/>
      <c r="F144" s="9"/>
      <c r="G144" s="9"/>
      <c r="H144" s="9"/>
      <c r="I144" s="9"/>
      <c r="J144" s="102"/>
      <c r="K144" s="102"/>
      <c r="L144" s="102"/>
      <c r="M144" s="102"/>
      <c r="N144" s="102"/>
      <c r="O144" s="102"/>
      <c r="P144" s="102"/>
      <c r="Q144" s="102"/>
      <c r="R144" s="102"/>
      <c r="S144" s="102"/>
      <c r="T144" s="102"/>
      <c r="U144" s="102"/>
      <c r="V144" s="102"/>
      <c r="W144" s="102"/>
      <c r="X144" s="102"/>
      <c r="Y144" s="102"/>
      <c r="Z144" s="102"/>
    </row>
    <row r="145" spans="1:26" x14ac:dyDescent="0.3">
      <c r="A145" s="129">
        <v>11.1</v>
      </c>
      <c r="B145" s="125">
        <v>30.17</v>
      </c>
      <c r="C145" s="105" t="s">
        <v>3057</v>
      </c>
      <c r="D145" s="11"/>
      <c r="E145" s="11"/>
      <c r="F145" s="11"/>
      <c r="G145" s="11"/>
      <c r="H145" s="11"/>
      <c r="I145" s="11"/>
      <c r="J145" s="102"/>
      <c r="K145" s="102"/>
      <c r="L145" s="102"/>
      <c r="M145" s="102"/>
      <c r="N145" s="102"/>
      <c r="O145" s="102"/>
      <c r="P145" s="102"/>
      <c r="Q145" s="102"/>
      <c r="R145" s="102"/>
      <c r="S145" s="102"/>
      <c r="T145" s="102"/>
      <c r="U145" s="102"/>
      <c r="V145" s="102"/>
      <c r="W145" s="102"/>
      <c r="X145" s="102"/>
      <c r="Y145" s="102"/>
      <c r="Z145" s="102"/>
    </row>
    <row r="146" spans="1:26" x14ac:dyDescent="0.3">
      <c r="A146" s="11"/>
      <c r="B146" s="11"/>
      <c r="C146" s="96" t="s">
        <v>3058</v>
      </c>
      <c r="D146" s="11"/>
      <c r="E146" s="11"/>
      <c r="F146" s="11"/>
      <c r="G146" s="11"/>
      <c r="H146" s="11"/>
      <c r="I146" s="11"/>
      <c r="J146" s="102"/>
      <c r="K146" s="102"/>
      <c r="L146" s="102"/>
      <c r="M146" s="102"/>
      <c r="N146" s="102"/>
      <c r="O146" s="102"/>
      <c r="P146" s="102"/>
      <c r="Q146" s="102"/>
      <c r="R146" s="102"/>
      <c r="S146" s="102"/>
      <c r="T146" s="102"/>
      <c r="U146" s="102"/>
      <c r="V146" s="102"/>
      <c r="W146" s="102"/>
      <c r="X146" s="102"/>
      <c r="Y146" s="102"/>
      <c r="Z146" s="102"/>
    </row>
    <row r="147" spans="1:26" x14ac:dyDescent="0.3">
      <c r="A147" s="95" t="s">
        <v>3059</v>
      </c>
      <c r="B147" s="125">
        <v>30.17</v>
      </c>
      <c r="C147" s="96" t="s">
        <v>3060</v>
      </c>
      <c r="D147" s="95" t="s">
        <v>3061</v>
      </c>
      <c r="E147" s="111">
        <v>13.5</v>
      </c>
      <c r="F147" s="112"/>
      <c r="G147" s="112"/>
      <c r="H147" s="113">
        <f>E147*F147</f>
        <v>0</v>
      </c>
      <c r="I147" s="113">
        <f>E147*G147</f>
        <v>0</v>
      </c>
      <c r="J147" s="102"/>
      <c r="K147" s="102"/>
      <c r="L147" s="102"/>
      <c r="M147" s="102"/>
      <c r="N147" s="102"/>
      <c r="O147" s="102"/>
      <c r="P147" s="102"/>
      <c r="Q147" s="102"/>
      <c r="R147" s="102"/>
      <c r="S147" s="102"/>
      <c r="T147" s="102"/>
      <c r="U147" s="102"/>
      <c r="V147" s="102"/>
      <c r="W147" s="102"/>
      <c r="X147" s="102"/>
      <c r="Y147" s="102"/>
      <c r="Z147" s="102"/>
    </row>
    <row r="148" spans="1:26" x14ac:dyDescent="0.3">
      <c r="A148" s="11"/>
      <c r="B148" s="11"/>
      <c r="C148" s="11"/>
      <c r="D148" s="11"/>
      <c r="E148" s="11"/>
      <c r="F148" s="11"/>
      <c r="G148" s="11"/>
      <c r="H148" s="11"/>
      <c r="I148" s="91"/>
      <c r="J148" s="102"/>
      <c r="K148" s="102"/>
      <c r="L148" s="102"/>
      <c r="M148" s="102"/>
      <c r="N148" s="102"/>
      <c r="O148" s="102"/>
      <c r="P148" s="102"/>
      <c r="Q148" s="102"/>
      <c r="R148" s="102"/>
      <c r="S148" s="102"/>
      <c r="T148" s="102"/>
      <c r="U148" s="102"/>
      <c r="V148" s="102"/>
      <c r="W148" s="102"/>
      <c r="X148" s="102"/>
      <c r="Y148" s="102"/>
      <c r="Z148" s="102"/>
    </row>
    <row r="149" spans="1:26" x14ac:dyDescent="0.3">
      <c r="A149" s="130">
        <v>12</v>
      </c>
      <c r="B149" s="95" t="s">
        <v>3062</v>
      </c>
      <c r="C149" s="105" t="s">
        <v>3063</v>
      </c>
      <c r="D149" s="11"/>
      <c r="E149" s="11"/>
      <c r="F149" s="11"/>
      <c r="G149" s="11"/>
      <c r="H149" s="11"/>
      <c r="I149" s="11"/>
      <c r="J149" s="102"/>
      <c r="K149" s="102"/>
      <c r="L149" s="102"/>
      <c r="M149" s="102"/>
      <c r="N149" s="102"/>
      <c r="O149" s="102"/>
      <c r="P149" s="102"/>
      <c r="Q149" s="102"/>
      <c r="R149" s="102"/>
      <c r="S149" s="102"/>
      <c r="T149" s="102"/>
      <c r="U149" s="102"/>
      <c r="V149" s="102"/>
      <c r="W149" s="102"/>
      <c r="X149" s="102"/>
      <c r="Y149" s="102"/>
      <c r="Z149" s="102"/>
    </row>
    <row r="150" spans="1:26" x14ac:dyDescent="0.3">
      <c r="A150" s="9"/>
      <c r="B150" s="9"/>
      <c r="C150" s="9" t="s">
        <v>3064</v>
      </c>
      <c r="D150" s="9"/>
      <c r="E150" s="9"/>
      <c r="F150" s="9"/>
      <c r="G150" s="9"/>
      <c r="H150" s="9"/>
      <c r="I150" s="9"/>
      <c r="J150" s="102"/>
      <c r="K150" s="102"/>
      <c r="L150" s="102"/>
      <c r="M150" s="102"/>
      <c r="N150" s="102"/>
      <c r="O150" s="102"/>
      <c r="P150" s="102"/>
      <c r="Q150" s="102"/>
      <c r="R150" s="102"/>
      <c r="S150" s="102"/>
      <c r="T150" s="102"/>
      <c r="U150" s="102"/>
      <c r="V150" s="102"/>
      <c r="W150" s="102"/>
      <c r="X150" s="102"/>
      <c r="Y150" s="102"/>
      <c r="Z150" s="102"/>
    </row>
    <row r="151" spans="1:26" x14ac:dyDescent="0.3">
      <c r="A151" s="10"/>
      <c r="B151" s="10"/>
      <c r="C151" s="96" t="s">
        <v>3065</v>
      </c>
      <c r="D151" s="10"/>
      <c r="E151" s="10"/>
      <c r="F151" s="10"/>
      <c r="G151" s="10"/>
      <c r="H151" s="10"/>
      <c r="I151" s="10"/>
      <c r="J151" s="102"/>
      <c r="K151" s="102"/>
      <c r="L151" s="102"/>
      <c r="M151" s="102"/>
      <c r="N151" s="102"/>
      <c r="O151" s="102"/>
      <c r="P151" s="102"/>
      <c r="Q151" s="102"/>
      <c r="R151" s="102"/>
      <c r="S151" s="102"/>
      <c r="T151" s="102"/>
      <c r="U151" s="102"/>
      <c r="V151" s="102"/>
      <c r="W151" s="102"/>
      <c r="X151" s="102"/>
      <c r="Y151" s="102"/>
      <c r="Z151" s="102"/>
    </row>
    <row r="152" spans="1:26" x14ac:dyDescent="0.3">
      <c r="A152" s="10"/>
      <c r="B152" s="10"/>
      <c r="C152" s="9" t="s">
        <v>3066</v>
      </c>
      <c r="D152" s="10"/>
      <c r="E152" s="10"/>
      <c r="F152" s="10"/>
      <c r="G152" s="10"/>
      <c r="H152" s="10"/>
      <c r="I152" s="10"/>
      <c r="J152" s="102"/>
      <c r="K152" s="102"/>
      <c r="L152" s="102"/>
      <c r="M152" s="102"/>
      <c r="N152" s="102"/>
      <c r="O152" s="102"/>
      <c r="P152" s="102"/>
      <c r="Q152" s="102"/>
      <c r="R152" s="102"/>
      <c r="S152" s="102"/>
      <c r="T152" s="102"/>
      <c r="U152" s="102"/>
      <c r="V152" s="102"/>
      <c r="W152" s="102"/>
      <c r="X152" s="102"/>
      <c r="Y152" s="102"/>
      <c r="Z152" s="102"/>
    </row>
    <row r="153" spans="1:26" x14ac:dyDescent="0.3">
      <c r="A153" s="9"/>
      <c r="B153" s="9"/>
      <c r="C153" s="96" t="s">
        <v>3067</v>
      </c>
      <c r="D153" s="9"/>
      <c r="E153" s="9"/>
      <c r="F153" s="9"/>
      <c r="G153" s="9"/>
      <c r="H153" s="9"/>
      <c r="I153" s="9"/>
      <c r="J153" s="102"/>
      <c r="K153" s="102"/>
      <c r="L153" s="102"/>
      <c r="M153" s="102"/>
      <c r="N153" s="102"/>
      <c r="O153" s="102"/>
      <c r="P153" s="102"/>
      <c r="Q153" s="102"/>
      <c r="R153" s="102"/>
      <c r="S153" s="102"/>
      <c r="T153" s="102"/>
      <c r="U153" s="102"/>
      <c r="V153" s="102"/>
      <c r="W153" s="102"/>
      <c r="X153" s="102"/>
      <c r="Y153" s="102"/>
      <c r="Z153" s="102"/>
    </row>
    <row r="154" spans="1:26" x14ac:dyDescent="0.3">
      <c r="A154" s="9"/>
      <c r="B154" s="9"/>
      <c r="C154" s="96" t="s">
        <v>3068</v>
      </c>
      <c r="D154" s="9"/>
      <c r="E154" s="9"/>
      <c r="F154" s="9"/>
      <c r="G154" s="9"/>
      <c r="H154" s="9"/>
      <c r="I154" s="9"/>
      <c r="J154" s="102"/>
      <c r="K154" s="102"/>
      <c r="L154" s="102"/>
      <c r="M154" s="102"/>
      <c r="N154" s="102"/>
      <c r="O154" s="102"/>
      <c r="P154" s="102"/>
      <c r="Q154" s="102"/>
      <c r="R154" s="102"/>
      <c r="S154" s="102"/>
      <c r="T154" s="102"/>
      <c r="U154" s="102"/>
      <c r="V154" s="102"/>
      <c r="W154" s="102"/>
      <c r="X154" s="102"/>
      <c r="Y154" s="102"/>
      <c r="Z154" s="102"/>
    </row>
    <row r="155" spans="1:26" x14ac:dyDescent="0.3">
      <c r="A155" s="9"/>
      <c r="B155" s="9"/>
      <c r="C155" s="96" t="s">
        <v>3069</v>
      </c>
      <c r="D155" s="9"/>
      <c r="E155" s="9"/>
      <c r="F155" s="9"/>
      <c r="G155" s="9"/>
      <c r="H155" s="9"/>
      <c r="I155" s="9"/>
      <c r="J155" s="102"/>
      <c r="K155" s="102"/>
      <c r="L155" s="102"/>
      <c r="M155" s="102"/>
      <c r="N155" s="102"/>
      <c r="O155" s="102"/>
      <c r="P155" s="102"/>
      <c r="Q155" s="102"/>
      <c r="R155" s="102"/>
      <c r="S155" s="102"/>
      <c r="T155" s="102"/>
      <c r="U155" s="102"/>
      <c r="V155" s="102"/>
      <c r="W155" s="102"/>
      <c r="X155" s="102"/>
      <c r="Y155" s="102"/>
      <c r="Z155" s="102"/>
    </row>
    <row r="156" spans="1:26" x14ac:dyDescent="0.3">
      <c r="A156" s="9"/>
      <c r="B156" s="9"/>
      <c r="C156" s="9" t="s">
        <v>3070</v>
      </c>
      <c r="D156" s="9"/>
      <c r="E156" s="9"/>
      <c r="F156" s="9"/>
      <c r="G156" s="9"/>
      <c r="H156" s="9"/>
      <c r="I156" s="9"/>
      <c r="J156" s="102"/>
      <c r="K156" s="102"/>
      <c r="L156" s="102"/>
      <c r="M156" s="102"/>
      <c r="N156" s="102"/>
      <c r="O156" s="102"/>
      <c r="P156" s="102"/>
      <c r="Q156" s="102"/>
      <c r="R156" s="102"/>
      <c r="S156" s="102"/>
      <c r="T156" s="102"/>
      <c r="U156" s="102"/>
      <c r="V156" s="102"/>
      <c r="W156" s="102"/>
      <c r="X156" s="102"/>
      <c r="Y156" s="102"/>
      <c r="Z156" s="102"/>
    </row>
    <row r="157" spans="1:26" x14ac:dyDescent="0.3">
      <c r="A157" s="9"/>
      <c r="B157" s="9"/>
      <c r="C157" s="9" t="s">
        <v>3071</v>
      </c>
      <c r="D157" s="9"/>
      <c r="E157" s="9"/>
      <c r="F157" s="9"/>
      <c r="G157" s="9"/>
      <c r="H157" s="9"/>
      <c r="I157" s="9"/>
      <c r="J157" s="102"/>
      <c r="K157" s="102"/>
      <c r="L157" s="102"/>
      <c r="M157" s="102"/>
      <c r="N157" s="102"/>
      <c r="O157" s="102"/>
      <c r="P157" s="102"/>
      <c r="Q157" s="102"/>
      <c r="R157" s="102"/>
      <c r="S157" s="102"/>
      <c r="T157" s="102"/>
      <c r="U157" s="102"/>
      <c r="V157" s="102"/>
      <c r="W157" s="102"/>
      <c r="X157" s="102"/>
      <c r="Y157" s="102"/>
      <c r="Z157" s="102"/>
    </row>
    <row r="158" spans="1:26" x14ac:dyDescent="0.3">
      <c r="A158" s="9"/>
      <c r="B158" s="9"/>
      <c r="C158" s="9" t="s">
        <v>3072</v>
      </c>
      <c r="D158" s="9"/>
      <c r="E158" s="9"/>
      <c r="F158" s="9"/>
      <c r="G158" s="9"/>
      <c r="H158" s="9"/>
      <c r="I158" s="9"/>
      <c r="J158" s="102"/>
      <c r="K158" s="102"/>
      <c r="L158" s="102"/>
      <c r="M158" s="102"/>
      <c r="N158" s="102"/>
      <c r="O158" s="102"/>
      <c r="P158" s="102"/>
      <c r="Q158" s="102"/>
      <c r="R158" s="102"/>
      <c r="S158" s="102"/>
      <c r="T158" s="102"/>
      <c r="U158" s="102"/>
      <c r="V158" s="102"/>
      <c r="W158" s="102"/>
      <c r="X158" s="102"/>
      <c r="Y158" s="102"/>
      <c r="Z158" s="102"/>
    </row>
    <row r="159" spans="1:26" x14ac:dyDescent="0.3">
      <c r="A159" s="11"/>
      <c r="B159" s="11"/>
      <c r="C159" s="96" t="s">
        <v>3073</v>
      </c>
      <c r="D159" s="11"/>
      <c r="E159" s="11"/>
      <c r="F159" s="11"/>
      <c r="G159" s="11"/>
      <c r="H159" s="11"/>
      <c r="I159" s="11"/>
      <c r="J159" s="102"/>
      <c r="K159" s="102"/>
      <c r="L159" s="102"/>
      <c r="M159" s="102"/>
      <c r="N159" s="102"/>
      <c r="O159" s="102"/>
      <c r="P159" s="102"/>
      <c r="Q159" s="102"/>
      <c r="R159" s="102"/>
      <c r="S159" s="102"/>
      <c r="T159" s="102"/>
      <c r="U159" s="102"/>
      <c r="V159" s="102"/>
      <c r="W159" s="102"/>
      <c r="X159" s="102"/>
      <c r="Y159" s="102"/>
      <c r="Z159" s="102"/>
    </row>
    <row r="160" spans="1:26" x14ac:dyDescent="0.3">
      <c r="A160" s="9"/>
      <c r="B160" s="9"/>
      <c r="C160" s="96" t="s">
        <v>3074</v>
      </c>
      <c r="D160" s="9"/>
      <c r="E160" s="9"/>
      <c r="F160" s="9"/>
      <c r="G160" s="9"/>
      <c r="H160" s="9"/>
      <c r="I160" s="9"/>
      <c r="J160" s="102"/>
      <c r="K160" s="102"/>
      <c r="L160" s="102"/>
      <c r="M160" s="102"/>
      <c r="N160" s="102"/>
      <c r="O160" s="102"/>
      <c r="P160" s="102"/>
      <c r="Q160" s="102"/>
      <c r="R160" s="102"/>
      <c r="S160" s="102"/>
      <c r="T160" s="102"/>
      <c r="U160" s="102"/>
      <c r="V160" s="102"/>
      <c r="W160" s="102"/>
      <c r="X160" s="102"/>
      <c r="Y160" s="102"/>
      <c r="Z160" s="102"/>
    </row>
    <row r="161" spans="1:26" x14ac:dyDescent="0.3">
      <c r="A161" s="9"/>
      <c r="B161" s="9"/>
      <c r="C161" s="9" t="s">
        <v>3075</v>
      </c>
      <c r="D161" s="9"/>
      <c r="E161" s="9"/>
      <c r="F161" s="9"/>
      <c r="G161" s="9"/>
      <c r="H161" s="9"/>
      <c r="I161" s="9"/>
      <c r="J161" s="102"/>
      <c r="K161" s="102"/>
      <c r="L161" s="102"/>
      <c r="M161" s="102"/>
      <c r="N161" s="102"/>
      <c r="O161" s="102"/>
      <c r="P161" s="102"/>
      <c r="Q161" s="102"/>
      <c r="R161" s="102"/>
      <c r="S161" s="102"/>
      <c r="T161" s="102"/>
      <c r="U161" s="102"/>
      <c r="V161" s="102"/>
      <c r="W161" s="102"/>
      <c r="X161" s="102"/>
      <c r="Y161" s="102"/>
      <c r="Z161" s="102"/>
    </row>
    <row r="162" spans="1:26" x14ac:dyDescent="0.3">
      <c r="A162" s="9"/>
      <c r="B162" s="9"/>
      <c r="C162" s="96" t="s">
        <v>3076</v>
      </c>
      <c r="D162" s="9"/>
      <c r="E162" s="9"/>
      <c r="F162" s="9"/>
      <c r="G162" s="9"/>
      <c r="H162" s="9"/>
      <c r="I162" s="9"/>
      <c r="J162" s="102"/>
      <c r="K162" s="102"/>
      <c r="L162" s="102"/>
      <c r="M162" s="102"/>
      <c r="N162" s="102"/>
      <c r="O162" s="102"/>
      <c r="P162" s="102"/>
      <c r="Q162" s="102"/>
      <c r="R162" s="102"/>
      <c r="S162" s="102"/>
      <c r="T162" s="102"/>
      <c r="U162" s="102"/>
      <c r="V162" s="102"/>
      <c r="W162" s="102"/>
      <c r="X162" s="102"/>
      <c r="Y162" s="102"/>
      <c r="Z162" s="102"/>
    </row>
    <row r="163" spans="1:26" x14ac:dyDescent="0.3">
      <c r="A163" s="11"/>
      <c r="B163" s="11"/>
      <c r="C163" s="96" t="s">
        <v>3077</v>
      </c>
      <c r="D163" s="11"/>
      <c r="E163" s="11"/>
      <c r="F163" s="11"/>
      <c r="G163" s="11"/>
      <c r="H163" s="11"/>
      <c r="I163" s="11"/>
      <c r="J163" s="102"/>
      <c r="K163" s="102"/>
      <c r="L163" s="102"/>
      <c r="M163" s="102"/>
      <c r="N163" s="102"/>
      <c r="O163" s="102"/>
      <c r="P163" s="102"/>
      <c r="Q163" s="102"/>
      <c r="R163" s="102"/>
      <c r="S163" s="102"/>
      <c r="T163" s="102"/>
      <c r="U163" s="102"/>
      <c r="V163" s="102"/>
      <c r="W163" s="102"/>
      <c r="X163" s="102"/>
      <c r="Y163" s="102"/>
      <c r="Z163" s="102"/>
    </row>
    <row r="164" spans="1:26" x14ac:dyDescent="0.3">
      <c r="A164" s="96" t="s">
        <v>3078</v>
      </c>
      <c r="B164" s="10"/>
      <c r="C164" s="96" t="s">
        <v>3079</v>
      </c>
      <c r="D164" s="10"/>
      <c r="E164" s="10"/>
      <c r="F164" s="10"/>
      <c r="G164" s="10"/>
      <c r="H164" s="10"/>
      <c r="I164" s="10"/>
      <c r="J164" s="102"/>
      <c r="K164" s="102"/>
      <c r="L164" s="102"/>
      <c r="M164" s="102"/>
      <c r="N164" s="102"/>
      <c r="O164" s="102"/>
      <c r="P164" s="102"/>
      <c r="Q164" s="102"/>
      <c r="R164" s="102"/>
      <c r="S164" s="102"/>
      <c r="T164" s="102"/>
      <c r="U164" s="102"/>
      <c r="V164" s="102"/>
      <c r="W164" s="102"/>
      <c r="X164" s="102"/>
      <c r="Y164" s="102"/>
      <c r="Z164" s="102"/>
    </row>
    <row r="165" spans="1:26" x14ac:dyDescent="0.3">
      <c r="A165" s="10"/>
      <c r="B165" s="10"/>
      <c r="C165" s="9" t="s">
        <v>3080</v>
      </c>
      <c r="D165" s="10"/>
      <c r="E165" s="10"/>
      <c r="F165" s="10"/>
      <c r="G165" s="10"/>
      <c r="H165" s="10"/>
      <c r="I165" s="10"/>
      <c r="J165" s="102"/>
      <c r="K165" s="102"/>
      <c r="L165" s="102"/>
      <c r="M165" s="102"/>
      <c r="N165" s="102"/>
      <c r="O165" s="102"/>
      <c r="P165" s="102"/>
      <c r="Q165" s="102"/>
      <c r="R165" s="102"/>
      <c r="S165" s="102"/>
      <c r="T165" s="102"/>
      <c r="U165" s="102"/>
      <c r="V165" s="102"/>
      <c r="W165" s="102"/>
      <c r="X165" s="102"/>
      <c r="Y165" s="102"/>
      <c r="Z165" s="102"/>
    </row>
    <row r="166" spans="1:26" x14ac:dyDescent="0.3">
      <c r="A166" s="131" t="s">
        <v>3081</v>
      </c>
      <c r="B166" s="11"/>
      <c r="C166" s="105" t="s">
        <v>3082</v>
      </c>
      <c r="D166" s="11"/>
      <c r="E166" s="11"/>
      <c r="F166" s="11"/>
      <c r="G166" s="11"/>
      <c r="H166" s="11"/>
      <c r="I166" s="11"/>
      <c r="J166" s="102"/>
      <c r="K166" s="102"/>
      <c r="L166" s="102"/>
      <c r="M166" s="102"/>
      <c r="N166" s="102"/>
      <c r="O166" s="102"/>
      <c r="P166" s="102"/>
      <c r="Q166" s="102"/>
      <c r="R166" s="102"/>
      <c r="S166" s="102"/>
      <c r="T166" s="102"/>
      <c r="U166" s="102"/>
      <c r="V166" s="102"/>
      <c r="W166" s="102"/>
      <c r="X166" s="102"/>
      <c r="Y166" s="102"/>
      <c r="Z166" s="102"/>
    </row>
    <row r="167" spans="1:26" x14ac:dyDescent="0.3">
      <c r="A167" s="95" t="s">
        <v>3083</v>
      </c>
      <c r="B167" s="95" t="s">
        <v>3084</v>
      </c>
      <c r="C167" s="96" t="s">
        <v>3085</v>
      </c>
      <c r="D167" s="95" t="s">
        <v>3086</v>
      </c>
      <c r="E167" s="111">
        <v>98</v>
      </c>
      <c r="F167" s="112"/>
      <c r="G167" s="112"/>
      <c r="H167" s="113">
        <f t="shared" ref="H167:H173" si="32">E167*F167</f>
        <v>0</v>
      </c>
      <c r="I167" s="113">
        <f t="shared" ref="I167:I173" si="33">E167*G167</f>
        <v>0</v>
      </c>
      <c r="J167" s="102"/>
      <c r="K167" s="102"/>
      <c r="L167" s="102"/>
      <c r="M167" s="102"/>
      <c r="N167" s="102"/>
      <c r="O167" s="102"/>
      <c r="P167" s="102"/>
      <c r="Q167" s="102"/>
      <c r="R167" s="102"/>
      <c r="S167" s="102"/>
      <c r="T167" s="102"/>
      <c r="U167" s="102"/>
      <c r="V167" s="102"/>
      <c r="W167" s="102"/>
      <c r="X167" s="102"/>
      <c r="Y167" s="102"/>
      <c r="Z167" s="102"/>
    </row>
    <row r="168" spans="1:26" x14ac:dyDescent="0.3">
      <c r="A168" s="95" t="s">
        <v>3087</v>
      </c>
      <c r="B168" s="95" t="s">
        <v>3088</v>
      </c>
      <c r="C168" s="96" t="s">
        <v>3089</v>
      </c>
      <c r="D168" s="95" t="s">
        <v>3090</v>
      </c>
      <c r="E168" s="111">
        <v>26</v>
      </c>
      <c r="F168" s="112"/>
      <c r="G168" s="112"/>
      <c r="H168" s="113">
        <f t="shared" si="32"/>
        <v>0</v>
      </c>
      <c r="I168" s="113">
        <f t="shared" si="33"/>
        <v>0</v>
      </c>
      <c r="J168" s="102"/>
      <c r="K168" s="102"/>
      <c r="L168" s="102"/>
      <c r="M168" s="102"/>
      <c r="N168" s="102"/>
      <c r="O168" s="102"/>
      <c r="P168" s="102"/>
      <c r="Q168" s="102"/>
      <c r="R168" s="102"/>
      <c r="S168" s="102"/>
      <c r="T168" s="102"/>
      <c r="U168" s="102"/>
      <c r="V168" s="102"/>
      <c r="W168" s="102"/>
      <c r="X168" s="102"/>
      <c r="Y168" s="102"/>
      <c r="Z168" s="102"/>
    </row>
    <row r="169" spans="1:26" x14ac:dyDescent="0.3">
      <c r="A169" s="95" t="s">
        <v>3091</v>
      </c>
      <c r="B169" s="95" t="s">
        <v>3092</v>
      </c>
      <c r="C169" s="96" t="s">
        <v>3093</v>
      </c>
      <c r="D169" s="95" t="s">
        <v>3094</v>
      </c>
      <c r="E169" s="111">
        <v>91</v>
      </c>
      <c r="F169" s="112"/>
      <c r="G169" s="112"/>
      <c r="H169" s="113">
        <f t="shared" si="32"/>
        <v>0</v>
      </c>
      <c r="I169" s="113">
        <f t="shared" si="33"/>
        <v>0</v>
      </c>
      <c r="J169" s="102"/>
      <c r="K169" s="102"/>
      <c r="L169" s="102"/>
      <c r="M169" s="102"/>
      <c r="N169" s="102"/>
      <c r="O169" s="102"/>
      <c r="P169" s="102"/>
      <c r="Q169" s="102"/>
      <c r="R169" s="102"/>
      <c r="S169" s="102"/>
      <c r="T169" s="102"/>
      <c r="U169" s="102"/>
      <c r="V169" s="102"/>
      <c r="W169" s="102"/>
      <c r="X169" s="102"/>
      <c r="Y169" s="102"/>
      <c r="Z169" s="102"/>
    </row>
    <row r="170" spans="1:26" x14ac:dyDescent="0.3">
      <c r="A170" s="95" t="s">
        <v>3095</v>
      </c>
      <c r="B170" s="95" t="s">
        <v>3096</v>
      </c>
      <c r="C170" s="96" t="s">
        <v>3097</v>
      </c>
      <c r="D170" s="95" t="s">
        <v>3098</v>
      </c>
      <c r="E170" s="111">
        <v>61</v>
      </c>
      <c r="F170" s="112"/>
      <c r="G170" s="112"/>
      <c r="H170" s="113">
        <f t="shared" si="32"/>
        <v>0</v>
      </c>
      <c r="I170" s="113">
        <f t="shared" si="33"/>
        <v>0</v>
      </c>
      <c r="J170" s="102"/>
      <c r="K170" s="102"/>
      <c r="L170" s="102"/>
      <c r="M170" s="102"/>
      <c r="N170" s="102"/>
      <c r="O170" s="102"/>
      <c r="P170" s="102"/>
      <c r="Q170" s="102"/>
      <c r="R170" s="102"/>
      <c r="S170" s="102"/>
      <c r="T170" s="102"/>
      <c r="U170" s="102"/>
      <c r="V170" s="102"/>
      <c r="W170" s="102"/>
      <c r="X170" s="102"/>
      <c r="Y170" s="102"/>
      <c r="Z170" s="102"/>
    </row>
    <row r="171" spans="1:26" x14ac:dyDescent="0.3">
      <c r="A171" s="95" t="s">
        <v>3099</v>
      </c>
      <c r="B171" s="95" t="s">
        <v>3100</v>
      </c>
      <c r="C171" s="96" t="s">
        <v>3101</v>
      </c>
      <c r="D171" s="95" t="s">
        <v>3102</v>
      </c>
      <c r="E171" s="111">
        <v>19</v>
      </c>
      <c r="F171" s="112"/>
      <c r="G171" s="112"/>
      <c r="H171" s="113">
        <f t="shared" si="32"/>
        <v>0</v>
      </c>
      <c r="I171" s="113">
        <f t="shared" si="33"/>
        <v>0</v>
      </c>
      <c r="J171" s="102"/>
      <c r="K171" s="102"/>
      <c r="L171" s="102"/>
      <c r="M171" s="102"/>
      <c r="N171" s="102"/>
      <c r="O171" s="102"/>
      <c r="P171" s="102"/>
      <c r="Q171" s="102"/>
      <c r="R171" s="102"/>
      <c r="S171" s="102"/>
      <c r="T171" s="102"/>
      <c r="U171" s="102"/>
      <c r="V171" s="102"/>
      <c r="W171" s="102"/>
      <c r="X171" s="102"/>
      <c r="Y171" s="102"/>
      <c r="Z171" s="102"/>
    </row>
    <row r="172" spans="1:26" x14ac:dyDescent="0.3">
      <c r="A172" s="95" t="s">
        <v>3103</v>
      </c>
      <c r="B172" s="95" t="s">
        <v>3104</v>
      </c>
      <c r="C172" s="96" t="s">
        <v>3105</v>
      </c>
      <c r="D172" s="95" t="s">
        <v>3106</v>
      </c>
      <c r="E172" s="111">
        <v>59</v>
      </c>
      <c r="F172" s="112"/>
      <c r="G172" s="112"/>
      <c r="H172" s="113">
        <f t="shared" si="32"/>
        <v>0</v>
      </c>
      <c r="I172" s="113">
        <f t="shared" si="33"/>
        <v>0</v>
      </c>
      <c r="J172" s="102"/>
      <c r="K172" s="102"/>
      <c r="L172" s="102"/>
      <c r="M172" s="102"/>
      <c r="N172" s="102"/>
      <c r="O172" s="102"/>
      <c r="P172" s="102"/>
      <c r="Q172" s="102"/>
      <c r="R172" s="102"/>
      <c r="S172" s="102"/>
      <c r="T172" s="102"/>
      <c r="U172" s="102"/>
      <c r="V172" s="102"/>
      <c r="W172" s="102"/>
      <c r="X172" s="102"/>
      <c r="Y172" s="102"/>
      <c r="Z172" s="102"/>
    </row>
    <row r="173" spans="1:26" x14ac:dyDescent="0.3">
      <c r="A173" s="95" t="s">
        <v>3107</v>
      </c>
      <c r="B173" s="95" t="s">
        <v>3108</v>
      </c>
      <c r="C173" s="96" t="s">
        <v>3109</v>
      </c>
      <c r="D173" s="95" t="s">
        <v>3110</v>
      </c>
      <c r="E173" s="111">
        <v>8</v>
      </c>
      <c r="F173" s="112"/>
      <c r="G173" s="112"/>
      <c r="H173" s="113">
        <f t="shared" si="32"/>
        <v>0</v>
      </c>
      <c r="I173" s="113">
        <f t="shared" si="33"/>
        <v>0</v>
      </c>
      <c r="J173" s="102"/>
      <c r="K173" s="102"/>
      <c r="L173" s="102"/>
      <c r="M173" s="102"/>
      <c r="N173" s="102"/>
      <c r="O173" s="102"/>
      <c r="P173" s="102"/>
      <c r="Q173" s="102"/>
      <c r="R173" s="102"/>
      <c r="S173" s="102"/>
      <c r="T173" s="102"/>
      <c r="U173" s="102"/>
      <c r="V173" s="102"/>
      <c r="W173" s="102"/>
      <c r="X173" s="102"/>
      <c r="Y173" s="102"/>
      <c r="Z173" s="102"/>
    </row>
    <row r="174" spans="1:26" x14ac:dyDescent="0.3">
      <c r="A174" s="131" t="s">
        <v>3111</v>
      </c>
      <c r="B174" s="11"/>
      <c r="C174" s="105" t="s">
        <v>3112</v>
      </c>
      <c r="D174" s="11"/>
      <c r="E174" s="11"/>
      <c r="F174" s="11"/>
      <c r="G174" s="11"/>
      <c r="H174" s="11"/>
      <c r="I174" s="11"/>
      <c r="J174" s="102"/>
      <c r="K174" s="102"/>
      <c r="L174" s="102"/>
      <c r="M174" s="102"/>
      <c r="N174" s="102"/>
      <c r="O174" s="102"/>
      <c r="P174" s="102"/>
      <c r="Q174" s="102"/>
      <c r="R174" s="102"/>
      <c r="S174" s="102"/>
      <c r="T174" s="102"/>
      <c r="U174" s="102"/>
      <c r="V174" s="102"/>
      <c r="W174" s="102"/>
      <c r="X174" s="102"/>
      <c r="Y174" s="102"/>
      <c r="Z174" s="102"/>
    </row>
    <row r="175" spans="1:26" x14ac:dyDescent="0.3">
      <c r="A175" s="95" t="s">
        <v>3113</v>
      </c>
      <c r="B175" s="95" t="s">
        <v>3114</v>
      </c>
      <c r="C175" s="96" t="s">
        <v>3115</v>
      </c>
      <c r="D175" s="95" t="s">
        <v>3116</v>
      </c>
      <c r="E175" s="111">
        <v>29</v>
      </c>
      <c r="F175" s="112"/>
      <c r="G175" s="112"/>
      <c r="H175" s="113">
        <f t="shared" ref="H175:H179" si="34">E175*F175</f>
        <v>0</v>
      </c>
      <c r="I175" s="113">
        <f t="shared" ref="I175:I179" si="35">E175*G175</f>
        <v>0</v>
      </c>
      <c r="J175" s="102"/>
      <c r="K175" s="102"/>
      <c r="L175" s="102"/>
      <c r="M175" s="102"/>
      <c r="N175" s="102"/>
      <c r="O175" s="102"/>
      <c r="P175" s="102"/>
      <c r="Q175" s="102"/>
      <c r="R175" s="102"/>
      <c r="S175" s="102"/>
      <c r="T175" s="102"/>
      <c r="U175" s="102"/>
      <c r="V175" s="102"/>
      <c r="W175" s="102"/>
      <c r="X175" s="102"/>
      <c r="Y175" s="102"/>
      <c r="Z175" s="102"/>
    </row>
    <row r="176" spans="1:26" x14ac:dyDescent="0.3">
      <c r="A176" s="95" t="s">
        <v>3117</v>
      </c>
      <c r="B176" s="95" t="s">
        <v>3118</v>
      </c>
      <c r="C176" s="96" t="s">
        <v>3119</v>
      </c>
      <c r="D176" s="95" t="s">
        <v>3120</v>
      </c>
      <c r="E176" s="111">
        <v>58</v>
      </c>
      <c r="F176" s="112"/>
      <c r="G176" s="112"/>
      <c r="H176" s="113">
        <f t="shared" si="34"/>
        <v>0</v>
      </c>
      <c r="I176" s="113">
        <f t="shared" si="35"/>
        <v>0</v>
      </c>
      <c r="J176" s="102"/>
      <c r="K176" s="102"/>
      <c r="L176" s="102"/>
      <c r="M176" s="102"/>
      <c r="N176" s="102"/>
      <c r="O176" s="102"/>
      <c r="P176" s="102"/>
      <c r="Q176" s="102"/>
      <c r="R176" s="102"/>
      <c r="S176" s="102"/>
      <c r="T176" s="102"/>
      <c r="U176" s="102"/>
      <c r="V176" s="102"/>
      <c r="W176" s="102"/>
      <c r="X176" s="102"/>
      <c r="Y176" s="102"/>
      <c r="Z176" s="102"/>
    </row>
    <row r="177" spans="1:26" x14ac:dyDescent="0.3">
      <c r="A177" s="95" t="s">
        <v>3121</v>
      </c>
      <c r="B177" s="95" t="s">
        <v>3122</v>
      </c>
      <c r="C177" s="96" t="s">
        <v>3123</v>
      </c>
      <c r="D177" s="95" t="s">
        <v>3124</v>
      </c>
      <c r="E177" s="111">
        <v>9</v>
      </c>
      <c r="F177" s="112"/>
      <c r="G177" s="112"/>
      <c r="H177" s="113">
        <f t="shared" si="34"/>
        <v>0</v>
      </c>
      <c r="I177" s="113">
        <f t="shared" si="35"/>
        <v>0</v>
      </c>
      <c r="J177" s="102"/>
      <c r="K177" s="102"/>
      <c r="L177" s="102"/>
      <c r="M177" s="102"/>
      <c r="N177" s="102"/>
      <c r="O177" s="102"/>
      <c r="P177" s="102"/>
      <c r="Q177" s="102"/>
      <c r="R177" s="102"/>
      <c r="S177" s="102"/>
      <c r="T177" s="102"/>
      <c r="U177" s="102"/>
      <c r="V177" s="102"/>
      <c r="W177" s="102"/>
      <c r="X177" s="102"/>
      <c r="Y177" s="102"/>
      <c r="Z177" s="102"/>
    </row>
    <row r="178" spans="1:26" x14ac:dyDescent="0.3">
      <c r="A178" s="95" t="s">
        <v>3125</v>
      </c>
      <c r="B178" s="95" t="s">
        <v>3126</v>
      </c>
      <c r="C178" s="96" t="s">
        <v>3127</v>
      </c>
      <c r="D178" s="95" t="s">
        <v>3128</v>
      </c>
      <c r="E178" s="111">
        <v>18</v>
      </c>
      <c r="F178" s="112"/>
      <c r="G178" s="112"/>
      <c r="H178" s="113">
        <f t="shared" si="34"/>
        <v>0</v>
      </c>
      <c r="I178" s="113">
        <f t="shared" si="35"/>
        <v>0</v>
      </c>
      <c r="J178" s="102"/>
      <c r="K178" s="102"/>
      <c r="L178" s="102"/>
      <c r="M178" s="102"/>
      <c r="N178" s="102"/>
      <c r="O178" s="102"/>
      <c r="P178" s="102"/>
      <c r="Q178" s="102"/>
      <c r="R178" s="102"/>
      <c r="S178" s="102"/>
      <c r="T178" s="102"/>
      <c r="U178" s="102"/>
      <c r="V178" s="102"/>
      <c r="W178" s="102"/>
      <c r="X178" s="102"/>
      <c r="Y178" s="102"/>
      <c r="Z178" s="102"/>
    </row>
    <row r="179" spans="1:26" x14ac:dyDescent="0.3">
      <c r="A179" s="95" t="s">
        <v>3129</v>
      </c>
      <c r="B179" s="95" t="s">
        <v>3130</v>
      </c>
      <c r="C179" s="96" t="s">
        <v>3131</v>
      </c>
      <c r="D179" s="95" t="s">
        <v>3132</v>
      </c>
      <c r="E179" s="111">
        <v>14</v>
      </c>
      <c r="F179" s="112"/>
      <c r="G179" s="112"/>
      <c r="H179" s="113">
        <f t="shared" si="34"/>
        <v>0</v>
      </c>
      <c r="I179" s="113">
        <f t="shared" si="35"/>
        <v>0</v>
      </c>
      <c r="J179" s="102"/>
      <c r="K179" s="102"/>
      <c r="L179" s="102"/>
      <c r="M179" s="102"/>
      <c r="N179" s="102"/>
      <c r="O179" s="102"/>
      <c r="P179" s="102"/>
      <c r="Q179" s="102"/>
      <c r="R179" s="102"/>
      <c r="S179" s="102"/>
      <c r="T179" s="102"/>
      <c r="U179" s="102"/>
      <c r="V179" s="102"/>
      <c r="W179" s="102"/>
      <c r="X179" s="102"/>
      <c r="Y179" s="102"/>
      <c r="Z179" s="102"/>
    </row>
    <row r="180" spans="1:26" x14ac:dyDescent="0.3">
      <c r="A180" s="11"/>
      <c r="B180" s="11"/>
      <c r="C180" s="11"/>
      <c r="D180" s="11"/>
      <c r="E180" s="11"/>
      <c r="F180" s="11"/>
      <c r="G180" s="11"/>
      <c r="H180" s="11"/>
      <c r="I180" s="11"/>
      <c r="J180" s="102"/>
      <c r="K180" s="102"/>
      <c r="L180" s="102"/>
      <c r="M180" s="102"/>
      <c r="N180" s="102"/>
      <c r="O180" s="102"/>
      <c r="P180" s="102"/>
      <c r="Q180" s="102"/>
      <c r="R180" s="102"/>
      <c r="S180" s="102"/>
      <c r="T180" s="102"/>
      <c r="U180" s="102"/>
      <c r="V180" s="102"/>
      <c r="W180" s="102"/>
      <c r="X180" s="102"/>
      <c r="Y180" s="102"/>
      <c r="Z180" s="102"/>
    </row>
    <row r="181" spans="1:26" x14ac:dyDescent="0.3">
      <c r="A181" s="132">
        <v>13</v>
      </c>
      <c r="B181" s="115" t="s">
        <v>3133</v>
      </c>
      <c r="C181" s="9" t="s">
        <v>3134</v>
      </c>
      <c r="D181" s="115" t="s">
        <v>3135</v>
      </c>
      <c r="E181" s="111">
        <v>10</v>
      </c>
      <c r="F181" s="112"/>
      <c r="G181" s="112"/>
      <c r="H181" s="113">
        <f>E181*F181</f>
        <v>0</v>
      </c>
      <c r="I181" s="113">
        <f>E181*G181</f>
        <v>0</v>
      </c>
      <c r="J181" s="102"/>
      <c r="K181" s="102"/>
      <c r="L181" s="102"/>
      <c r="M181" s="102"/>
      <c r="N181" s="102"/>
      <c r="O181" s="102"/>
      <c r="P181" s="102"/>
      <c r="Q181" s="102"/>
      <c r="R181" s="102"/>
      <c r="S181" s="102"/>
      <c r="T181" s="102"/>
      <c r="U181" s="102"/>
      <c r="V181" s="102"/>
      <c r="W181" s="102"/>
      <c r="X181" s="102"/>
      <c r="Y181" s="102"/>
      <c r="Z181" s="102"/>
    </row>
    <row r="182" spans="1:26" x14ac:dyDescent="0.3">
      <c r="A182" s="11"/>
      <c r="B182" s="11"/>
      <c r="C182" s="11"/>
      <c r="D182" s="11"/>
      <c r="E182" s="11"/>
      <c r="F182" s="11"/>
      <c r="G182" s="11"/>
      <c r="H182" s="11"/>
      <c r="I182" s="11"/>
      <c r="J182" s="102"/>
      <c r="K182" s="102"/>
      <c r="L182" s="102"/>
      <c r="M182" s="102"/>
      <c r="N182" s="102"/>
      <c r="O182" s="102"/>
      <c r="P182" s="102"/>
      <c r="Q182" s="102"/>
      <c r="R182" s="102"/>
      <c r="S182" s="102"/>
      <c r="T182" s="102"/>
      <c r="U182" s="102"/>
      <c r="V182" s="102"/>
      <c r="W182" s="102"/>
      <c r="X182" s="102"/>
      <c r="Y182" s="102"/>
      <c r="Z182" s="102"/>
    </row>
    <row r="183" spans="1:26" x14ac:dyDescent="0.3">
      <c r="A183" s="130">
        <v>15</v>
      </c>
      <c r="B183" s="95" t="s">
        <v>3136</v>
      </c>
      <c r="C183" s="9" t="s">
        <v>3137</v>
      </c>
      <c r="D183" s="10"/>
      <c r="E183" s="10"/>
      <c r="F183" s="10"/>
      <c r="G183" s="10"/>
      <c r="H183" s="10"/>
      <c r="I183" s="10"/>
      <c r="J183" s="102"/>
      <c r="K183" s="102"/>
      <c r="L183" s="102"/>
      <c r="M183" s="102"/>
      <c r="N183" s="102"/>
      <c r="O183" s="102"/>
      <c r="P183" s="102"/>
      <c r="Q183" s="102"/>
      <c r="R183" s="102"/>
      <c r="S183" s="102"/>
      <c r="T183" s="102"/>
      <c r="U183" s="102"/>
      <c r="V183" s="102"/>
      <c r="W183" s="102"/>
      <c r="X183" s="102"/>
      <c r="Y183" s="102"/>
      <c r="Z183" s="102"/>
    </row>
    <row r="184" spans="1:26" x14ac:dyDescent="0.3">
      <c r="A184" s="10"/>
      <c r="B184" s="10"/>
      <c r="C184" s="96" t="s">
        <v>3138</v>
      </c>
      <c r="D184" s="115" t="s">
        <v>3139</v>
      </c>
      <c r="E184" s="111">
        <v>7350</v>
      </c>
      <c r="F184" s="112"/>
      <c r="G184" s="112"/>
      <c r="H184" s="113">
        <f>E184*F184</f>
        <v>0</v>
      </c>
      <c r="I184" s="113">
        <f>E184*G184</f>
        <v>0</v>
      </c>
      <c r="J184" s="102"/>
      <c r="K184" s="102"/>
      <c r="L184" s="102"/>
      <c r="M184" s="102"/>
      <c r="N184" s="102"/>
      <c r="O184" s="102"/>
      <c r="P184" s="102"/>
      <c r="Q184" s="102"/>
      <c r="R184" s="102"/>
      <c r="S184" s="102"/>
      <c r="T184" s="102"/>
      <c r="U184" s="102"/>
      <c r="V184" s="102"/>
      <c r="W184" s="102"/>
      <c r="X184" s="102"/>
      <c r="Y184" s="102"/>
      <c r="Z184" s="102"/>
    </row>
    <row r="185" spans="1:26" x14ac:dyDescent="0.3">
      <c r="A185" s="11"/>
      <c r="B185" s="11"/>
      <c r="C185" s="11"/>
      <c r="D185" s="11"/>
      <c r="E185" s="11"/>
      <c r="F185" s="11"/>
      <c r="G185" s="11"/>
      <c r="H185" s="11"/>
      <c r="I185" s="11"/>
      <c r="J185" s="102"/>
      <c r="K185" s="102"/>
      <c r="L185" s="102"/>
      <c r="M185" s="102"/>
      <c r="N185" s="102"/>
      <c r="O185" s="102"/>
      <c r="P185" s="102"/>
      <c r="Q185" s="102"/>
      <c r="R185" s="102"/>
      <c r="S185" s="102"/>
      <c r="T185" s="102"/>
      <c r="U185" s="102"/>
      <c r="V185" s="102"/>
      <c r="W185" s="102"/>
      <c r="X185" s="102"/>
      <c r="Y185" s="102"/>
      <c r="Z185" s="102"/>
    </row>
    <row r="186" spans="1:26" x14ac:dyDescent="0.3">
      <c r="A186" s="130">
        <v>16</v>
      </c>
      <c r="B186" s="125">
        <v>1.2</v>
      </c>
      <c r="C186" s="105" t="s">
        <v>3140</v>
      </c>
      <c r="D186" s="11"/>
      <c r="E186" s="11"/>
      <c r="F186" s="11"/>
      <c r="G186" s="11"/>
      <c r="H186" s="11"/>
      <c r="I186" s="11"/>
      <c r="J186" s="102"/>
      <c r="K186" s="102"/>
      <c r="L186" s="102"/>
      <c r="M186" s="102"/>
      <c r="N186" s="102"/>
      <c r="O186" s="102"/>
      <c r="P186" s="102"/>
      <c r="Q186" s="102"/>
      <c r="R186" s="102"/>
      <c r="S186" s="102"/>
      <c r="T186" s="102"/>
      <c r="U186" s="102"/>
      <c r="V186" s="102"/>
      <c r="W186" s="102"/>
      <c r="X186" s="102"/>
      <c r="Y186" s="102"/>
      <c r="Z186" s="102"/>
    </row>
    <row r="187" spans="1:26" x14ac:dyDescent="0.3">
      <c r="A187" s="9"/>
      <c r="B187" s="115" t="s">
        <v>3141</v>
      </c>
      <c r="C187" s="96" t="s">
        <v>3142</v>
      </c>
      <c r="D187" s="9"/>
      <c r="E187" s="9"/>
      <c r="F187" s="9"/>
      <c r="G187" s="9"/>
      <c r="H187" s="9"/>
      <c r="I187" s="9"/>
      <c r="J187" s="102"/>
      <c r="K187" s="102"/>
      <c r="L187" s="102"/>
      <c r="M187" s="102"/>
      <c r="N187" s="102"/>
      <c r="O187" s="102"/>
      <c r="P187" s="102"/>
      <c r="Q187" s="102"/>
      <c r="R187" s="102"/>
      <c r="S187" s="102"/>
      <c r="T187" s="102"/>
      <c r="U187" s="102"/>
      <c r="V187" s="102"/>
      <c r="W187" s="102"/>
      <c r="X187" s="102"/>
      <c r="Y187" s="102"/>
      <c r="Z187" s="102"/>
    </row>
    <row r="188" spans="1:26" x14ac:dyDescent="0.3">
      <c r="A188" s="11"/>
      <c r="B188" s="95" t="s">
        <v>3143</v>
      </c>
      <c r="C188" s="96" t="s">
        <v>3144</v>
      </c>
      <c r="D188" s="95" t="s">
        <v>3145</v>
      </c>
      <c r="E188" s="111">
        <v>7350</v>
      </c>
      <c r="F188" s="112"/>
      <c r="G188" s="112"/>
      <c r="H188" s="113">
        <f>E188*F188</f>
        <v>0</v>
      </c>
      <c r="I188" s="113">
        <f>E188*G188</f>
        <v>0</v>
      </c>
      <c r="J188" s="102"/>
      <c r="K188" s="102"/>
      <c r="L188" s="102"/>
      <c r="M188" s="102"/>
      <c r="N188" s="102"/>
      <c r="O188" s="102"/>
      <c r="P188" s="102"/>
      <c r="Q188" s="102"/>
      <c r="R188" s="102"/>
      <c r="S188" s="102"/>
      <c r="T188" s="102"/>
      <c r="U188" s="102"/>
      <c r="V188" s="102"/>
      <c r="W188" s="102"/>
      <c r="X188" s="102"/>
      <c r="Y188" s="102"/>
      <c r="Z188" s="102"/>
    </row>
    <row r="189" spans="1:26" x14ac:dyDescent="0.3">
      <c r="A189" s="106">
        <v>17</v>
      </c>
      <c r="B189" s="95" t="s">
        <v>3146</v>
      </c>
      <c r="C189" s="105" t="s">
        <v>3147</v>
      </c>
      <c r="D189" s="11"/>
      <c r="E189" s="11"/>
      <c r="F189" s="11"/>
      <c r="G189" s="11"/>
      <c r="H189" s="11"/>
      <c r="I189" s="11"/>
      <c r="J189" s="102"/>
      <c r="K189" s="102"/>
      <c r="L189" s="102"/>
      <c r="M189" s="102"/>
      <c r="N189" s="102"/>
      <c r="O189" s="102"/>
      <c r="P189" s="102"/>
      <c r="Q189" s="102"/>
      <c r="R189" s="102"/>
      <c r="S189" s="102"/>
      <c r="T189" s="102"/>
      <c r="U189" s="102"/>
      <c r="V189" s="102"/>
      <c r="W189" s="102"/>
      <c r="X189" s="102"/>
      <c r="Y189" s="102"/>
      <c r="Z189" s="102"/>
    </row>
    <row r="190" spans="1:26" x14ac:dyDescent="0.3">
      <c r="A190" s="9"/>
      <c r="B190" s="9"/>
      <c r="C190" s="9" t="s">
        <v>3148</v>
      </c>
      <c r="D190" s="95" t="s">
        <v>3149</v>
      </c>
      <c r="E190" s="111">
        <v>42.95</v>
      </c>
      <c r="F190" s="112"/>
      <c r="G190" s="112"/>
      <c r="H190" s="113">
        <f>E190*F190</f>
        <v>0</v>
      </c>
      <c r="I190" s="113">
        <f>E190*G190</f>
        <v>0</v>
      </c>
      <c r="J190" s="102"/>
      <c r="K190" s="102"/>
      <c r="L190" s="102"/>
      <c r="M190" s="102"/>
      <c r="N190" s="102"/>
      <c r="O190" s="102"/>
      <c r="P190" s="102"/>
      <c r="Q190" s="102"/>
      <c r="R190" s="102"/>
      <c r="S190" s="102"/>
      <c r="T190" s="102"/>
      <c r="U190" s="102"/>
      <c r="V190" s="102"/>
      <c r="W190" s="102"/>
      <c r="X190" s="102"/>
      <c r="Y190" s="102"/>
      <c r="Z190" s="102"/>
    </row>
    <row r="191" spans="1:26" x14ac:dyDescent="0.3">
      <c r="A191" s="11"/>
      <c r="B191" s="11"/>
      <c r="C191" s="11"/>
      <c r="D191" s="11"/>
      <c r="E191" s="11"/>
      <c r="F191" s="11"/>
      <c r="G191" s="11"/>
      <c r="H191" s="11"/>
      <c r="I191" s="91"/>
      <c r="J191" s="102"/>
      <c r="K191" s="102"/>
      <c r="L191" s="102"/>
      <c r="M191" s="102"/>
      <c r="N191" s="102"/>
      <c r="O191" s="102"/>
      <c r="P191" s="102"/>
      <c r="Q191" s="102"/>
      <c r="R191" s="102"/>
      <c r="S191" s="102"/>
      <c r="T191" s="102"/>
      <c r="U191" s="102"/>
      <c r="V191" s="102"/>
      <c r="W191" s="102"/>
      <c r="X191" s="102"/>
      <c r="Y191" s="102"/>
      <c r="Z191" s="102"/>
    </row>
    <row r="192" spans="1:26" x14ac:dyDescent="0.3">
      <c r="A192" s="106">
        <v>18</v>
      </c>
      <c r="B192" s="95" t="s">
        <v>3150</v>
      </c>
      <c r="C192" s="9" t="s">
        <v>3151</v>
      </c>
      <c r="D192" s="10"/>
      <c r="E192" s="10"/>
      <c r="F192" s="10"/>
      <c r="G192" s="10"/>
      <c r="H192" s="10"/>
      <c r="I192" s="117"/>
      <c r="J192" s="102"/>
      <c r="K192" s="102"/>
      <c r="L192" s="102"/>
      <c r="M192" s="102"/>
      <c r="N192" s="102"/>
      <c r="O192" s="102"/>
      <c r="P192" s="102"/>
      <c r="Q192" s="102"/>
      <c r="R192" s="102"/>
      <c r="S192" s="102"/>
      <c r="T192" s="102"/>
      <c r="U192" s="102"/>
      <c r="V192" s="102"/>
      <c r="W192" s="102"/>
      <c r="X192" s="102"/>
      <c r="Y192" s="102"/>
      <c r="Z192" s="102"/>
    </row>
    <row r="193" spans="1:26" x14ac:dyDescent="0.3">
      <c r="A193" s="9"/>
      <c r="B193" s="9"/>
      <c r="C193" s="9" t="s">
        <v>3152</v>
      </c>
      <c r="D193" s="115" t="s">
        <v>3153</v>
      </c>
      <c r="E193" s="111">
        <v>525</v>
      </c>
      <c r="F193" s="112"/>
      <c r="G193" s="112"/>
      <c r="H193" s="113">
        <f>E193*F193</f>
        <v>0</v>
      </c>
      <c r="I193" s="113">
        <f>E193*G193</f>
        <v>0</v>
      </c>
      <c r="J193" s="102"/>
      <c r="K193" s="102"/>
      <c r="L193" s="102"/>
      <c r="M193" s="102"/>
      <c r="N193" s="102"/>
      <c r="O193" s="102"/>
      <c r="P193" s="102"/>
      <c r="Q193" s="102"/>
      <c r="R193" s="102"/>
      <c r="S193" s="102"/>
      <c r="T193" s="102"/>
      <c r="U193" s="102"/>
      <c r="V193" s="102"/>
      <c r="W193" s="102"/>
      <c r="X193" s="102"/>
      <c r="Y193" s="102"/>
      <c r="Z193" s="102"/>
    </row>
    <row r="194" spans="1:26" x14ac:dyDescent="0.3">
      <c r="A194" s="11"/>
      <c r="B194" s="11"/>
      <c r="C194" s="11"/>
      <c r="D194" s="11"/>
      <c r="E194" s="11"/>
      <c r="F194" s="11"/>
      <c r="G194" s="11"/>
      <c r="H194" s="11"/>
      <c r="I194" s="91"/>
      <c r="J194" s="102"/>
      <c r="K194" s="102"/>
      <c r="L194" s="102"/>
      <c r="M194" s="102"/>
      <c r="N194" s="102"/>
      <c r="O194" s="102"/>
      <c r="P194" s="102"/>
      <c r="Q194" s="102"/>
      <c r="R194" s="102"/>
      <c r="S194" s="102"/>
      <c r="T194" s="102"/>
      <c r="U194" s="102"/>
      <c r="V194" s="102"/>
      <c r="W194" s="102"/>
      <c r="X194" s="102"/>
      <c r="Y194" s="102"/>
      <c r="Z194" s="102"/>
    </row>
    <row r="195" spans="1:26" x14ac:dyDescent="0.3">
      <c r="A195" s="130">
        <v>19</v>
      </c>
      <c r="B195" s="95" t="s">
        <v>3154</v>
      </c>
      <c r="C195" s="105" t="s">
        <v>3155</v>
      </c>
      <c r="D195" s="11"/>
      <c r="E195" s="11"/>
      <c r="F195" s="11"/>
      <c r="G195" s="11"/>
      <c r="H195" s="11"/>
      <c r="I195" s="91"/>
      <c r="J195" s="102"/>
      <c r="K195" s="102"/>
      <c r="L195" s="102"/>
      <c r="M195" s="102"/>
      <c r="N195" s="102"/>
      <c r="O195" s="102"/>
      <c r="P195" s="102"/>
      <c r="Q195" s="102"/>
      <c r="R195" s="102"/>
      <c r="S195" s="102"/>
      <c r="T195" s="102"/>
      <c r="U195" s="102"/>
      <c r="V195" s="102"/>
      <c r="W195" s="102"/>
      <c r="X195" s="102"/>
      <c r="Y195" s="102"/>
      <c r="Z195" s="102"/>
    </row>
    <row r="196" spans="1:26" x14ac:dyDescent="0.3">
      <c r="A196" s="9"/>
      <c r="B196" s="9"/>
      <c r="C196" s="96" t="s">
        <v>3156</v>
      </c>
      <c r="D196" s="115" t="s">
        <v>3157</v>
      </c>
      <c r="E196" s="111">
        <v>525</v>
      </c>
      <c r="F196" s="112"/>
      <c r="G196" s="112"/>
      <c r="H196" s="113">
        <f>E196*F196</f>
        <v>0</v>
      </c>
      <c r="I196" s="113">
        <f>E196*G196</f>
        <v>0</v>
      </c>
      <c r="J196" s="102"/>
      <c r="K196" s="102"/>
      <c r="L196" s="102"/>
      <c r="M196" s="102"/>
      <c r="N196" s="102"/>
      <c r="O196" s="102"/>
      <c r="P196" s="102"/>
      <c r="Q196" s="102"/>
      <c r="R196" s="102"/>
      <c r="S196" s="102"/>
      <c r="T196" s="102"/>
      <c r="U196" s="102"/>
      <c r="V196" s="102"/>
      <c r="W196" s="102"/>
      <c r="X196" s="102"/>
      <c r="Y196" s="102"/>
      <c r="Z196" s="102"/>
    </row>
    <row r="197" spans="1:26" x14ac:dyDescent="0.3">
      <c r="A197" s="11"/>
      <c r="B197" s="11"/>
      <c r="C197" s="11"/>
      <c r="D197" s="11"/>
      <c r="E197" s="11"/>
      <c r="F197" s="11"/>
      <c r="G197" s="11"/>
      <c r="H197" s="11"/>
      <c r="I197" s="91"/>
      <c r="J197" s="102"/>
      <c r="K197" s="102"/>
      <c r="L197" s="102"/>
      <c r="M197" s="102"/>
      <c r="N197" s="102"/>
      <c r="O197" s="102"/>
      <c r="P197" s="102"/>
      <c r="Q197" s="102"/>
      <c r="R197" s="102"/>
      <c r="S197" s="102"/>
      <c r="T197" s="102"/>
      <c r="U197" s="102"/>
      <c r="V197" s="102"/>
      <c r="W197" s="102"/>
      <c r="X197" s="102"/>
      <c r="Y197" s="102"/>
      <c r="Z197" s="102"/>
    </row>
    <row r="198" spans="1:26" x14ac:dyDescent="0.3">
      <c r="A198" s="106">
        <v>20</v>
      </c>
      <c r="B198" s="95" t="s">
        <v>3158</v>
      </c>
      <c r="C198" s="105" t="s">
        <v>3159</v>
      </c>
      <c r="D198" s="11"/>
      <c r="E198" s="11"/>
      <c r="F198" s="11"/>
      <c r="G198" s="11"/>
      <c r="H198" s="11"/>
      <c r="I198" s="91"/>
      <c r="J198" s="102"/>
      <c r="K198" s="102"/>
      <c r="L198" s="102"/>
      <c r="M198" s="102"/>
      <c r="N198" s="102"/>
      <c r="O198" s="102"/>
      <c r="P198" s="102"/>
      <c r="Q198" s="102"/>
      <c r="R198" s="102"/>
      <c r="S198" s="102"/>
      <c r="T198" s="102"/>
      <c r="U198" s="102"/>
      <c r="V198" s="102"/>
      <c r="W198" s="102"/>
      <c r="X198" s="102"/>
      <c r="Y198" s="102"/>
      <c r="Z198" s="102"/>
    </row>
    <row r="199" spans="1:26" x14ac:dyDescent="0.3">
      <c r="A199" s="9"/>
      <c r="B199" s="9"/>
      <c r="C199" s="9" t="s">
        <v>3160</v>
      </c>
      <c r="D199" s="115" t="s">
        <v>3161</v>
      </c>
      <c r="E199" s="111">
        <v>525</v>
      </c>
      <c r="F199" s="112"/>
      <c r="G199" s="112"/>
      <c r="H199" s="113">
        <f>E199*F199</f>
        <v>0</v>
      </c>
      <c r="I199" s="113">
        <f>E199*G199</f>
        <v>0</v>
      </c>
      <c r="J199" s="102"/>
      <c r="K199" s="102"/>
      <c r="L199" s="102"/>
      <c r="M199" s="102"/>
      <c r="N199" s="102"/>
      <c r="O199" s="102"/>
      <c r="P199" s="102"/>
      <c r="Q199" s="102"/>
      <c r="R199" s="102"/>
      <c r="S199" s="102"/>
      <c r="T199" s="102"/>
      <c r="U199" s="102"/>
      <c r="V199" s="102"/>
      <c r="W199" s="102"/>
      <c r="X199" s="102"/>
      <c r="Y199" s="102"/>
      <c r="Z199" s="102"/>
    </row>
    <row r="200" spans="1:26" x14ac:dyDescent="0.3">
      <c r="A200" s="11"/>
      <c r="B200" s="11"/>
      <c r="C200" s="11"/>
      <c r="D200" s="11"/>
      <c r="E200" s="11"/>
      <c r="F200" s="11"/>
      <c r="G200" s="11"/>
      <c r="H200" s="11"/>
      <c r="I200" s="91"/>
      <c r="J200" s="102"/>
      <c r="K200" s="102"/>
      <c r="L200" s="102"/>
      <c r="M200" s="102"/>
      <c r="N200" s="102"/>
      <c r="O200" s="102"/>
      <c r="P200" s="102"/>
      <c r="Q200" s="102"/>
      <c r="R200" s="102"/>
      <c r="S200" s="102"/>
      <c r="T200" s="102"/>
      <c r="U200" s="102"/>
      <c r="V200" s="102"/>
      <c r="W200" s="102"/>
      <c r="X200" s="102"/>
      <c r="Y200" s="102"/>
      <c r="Z200" s="102"/>
    </row>
    <row r="201" spans="1:26" x14ac:dyDescent="0.3">
      <c r="A201" s="121"/>
      <c r="B201" s="121"/>
      <c r="C201" s="122" t="s">
        <v>3162</v>
      </c>
      <c r="D201" s="121"/>
      <c r="E201" s="121"/>
      <c r="F201" s="121"/>
      <c r="G201" s="121"/>
      <c r="H201" s="133"/>
      <c r="I201" s="124"/>
      <c r="J201" s="102"/>
      <c r="K201" s="102"/>
      <c r="L201" s="102"/>
      <c r="M201" s="102"/>
      <c r="N201" s="102"/>
      <c r="O201" s="102"/>
      <c r="P201" s="102"/>
      <c r="Q201" s="102"/>
      <c r="R201" s="102"/>
      <c r="S201" s="102"/>
      <c r="T201" s="102"/>
      <c r="U201" s="102"/>
      <c r="V201" s="102"/>
      <c r="W201" s="102"/>
      <c r="X201" s="102"/>
      <c r="Y201" s="102"/>
      <c r="Z201" s="102"/>
    </row>
    <row r="202" spans="1:26" x14ac:dyDescent="0.3">
      <c r="A202" s="11"/>
      <c r="B202" s="11"/>
      <c r="C202" s="11"/>
      <c r="D202" s="11"/>
      <c r="E202" s="11"/>
      <c r="F202" s="11"/>
      <c r="G202" s="11"/>
      <c r="H202" s="11"/>
      <c r="I202" s="91"/>
      <c r="J202" s="102"/>
      <c r="K202" s="102"/>
      <c r="L202" s="102"/>
      <c r="M202" s="102"/>
      <c r="N202" s="102"/>
      <c r="O202" s="102"/>
      <c r="P202" s="102"/>
      <c r="Q202" s="102"/>
      <c r="R202" s="102"/>
      <c r="S202" s="102"/>
      <c r="T202" s="102"/>
      <c r="U202" s="102"/>
      <c r="V202" s="102"/>
      <c r="W202" s="102"/>
      <c r="X202" s="102"/>
      <c r="Y202" s="102"/>
      <c r="Z202" s="102"/>
    </row>
    <row r="203" spans="1:26" x14ac:dyDescent="0.3">
      <c r="A203" s="243" t="s">
        <v>3163</v>
      </c>
      <c r="B203" s="221"/>
      <c r="C203" s="105" t="s">
        <v>3164</v>
      </c>
      <c r="D203" s="11"/>
      <c r="E203" s="11"/>
      <c r="F203" s="11"/>
      <c r="G203" s="11"/>
      <c r="H203" s="11"/>
      <c r="I203" s="91"/>
      <c r="J203" s="102"/>
      <c r="K203" s="102"/>
      <c r="L203" s="102"/>
      <c r="M203" s="102"/>
      <c r="N203" s="102"/>
      <c r="O203" s="102"/>
      <c r="P203" s="102"/>
      <c r="Q203" s="102"/>
      <c r="R203" s="102"/>
      <c r="S203" s="102"/>
      <c r="T203" s="102"/>
      <c r="U203" s="102"/>
      <c r="V203" s="102"/>
      <c r="W203" s="102"/>
      <c r="X203" s="102"/>
      <c r="Y203" s="102"/>
      <c r="Z203" s="102"/>
    </row>
    <row r="204" spans="1:26" x14ac:dyDescent="0.3">
      <c r="A204" s="11"/>
      <c r="B204" s="11"/>
      <c r="C204" s="11"/>
      <c r="D204" s="11"/>
      <c r="E204" s="11"/>
      <c r="F204" s="11"/>
      <c r="G204" s="11"/>
      <c r="H204" s="11"/>
      <c r="I204" s="91"/>
      <c r="J204" s="102"/>
      <c r="K204" s="102"/>
      <c r="L204" s="102"/>
      <c r="M204" s="102"/>
      <c r="N204" s="102"/>
      <c r="O204" s="102"/>
      <c r="P204" s="102"/>
      <c r="Q204" s="102"/>
      <c r="R204" s="102"/>
      <c r="S204" s="102"/>
      <c r="T204" s="102"/>
      <c r="U204" s="102"/>
      <c r="V204" s="102"/>
      <c r="W204" s="102"/>
      <c r="X204" s="102"/>
      <c r="Y204" s="102"/>
      <c r="Z204" s="102"/>
    </row>
    <row r="205" spans="1:26" x14ac:dyDescent="0.3">
      <c r="A205" s="106">
        <v>1</v>
      </c>
      <c r="B205" s="131" t="s">
        <v>3165</v>
      </c>
      <c r="C205" s="9" t="s">
        <v>3166</v>
      </c>
      <c r="D205" s="10"/>
      <c r="E205" s="10"/>
      <c r="F205" s="10"/>
      <c r="G205" s="10"/>
      <c r="H205" s="10"/>
      <c r="I205" s="117"/>
      <c r="J205" s="102"/>
      <c r="K205" s="102"/>
      <c r="L205" s="102"/>
      <c r="M205" s="102"/>
      <c r="N205" s="102"/>
      <c r="O205" s="102"/>
      <c r="P205" s="102"/>
      <c r="Q205" s="102"/>
      <c r="R205" s="102"/>
      <c r="S205" s="102"/>
      <c r="T205" s="102"/>
      <c r="U205" s="102"/>
      <c r="V205" s="102"/>
      <c r="W205" s="102"/>
      <c r="X205" s="102"/>
      <c r="Y205" s="102"/>
      <c r="Z205" s="102"/>
    </row>
    <row r="206" spans="1:26" x14ac:dyDescent="0.3">
      <c r="A206" s="9"/>
      <c r="B206" s="9"/>
      <c r="C206" s="9" t="s">
        <v>3167</v>
      </c>
      <c r="D206" s="9"/>
      <c r="E206" s="9"/>
      <c r="F206" s="9"/>
      <c r="G206" s="9"/>
      <c r="H206" s="9"/>
      <c r="I206" s="108"/>
      <c r="J206" s="102"/>
      <c r="K206" s="102"/>
      <c r="L206" s="102"/>
      <c r="M206" s="102"/>
      <c r="N206" s="102"/>
      <c r="O206" s="102"/>
      <c r="P206" s="102"/>
      <c r="Q206" s="102"/>
      <c r="R206" s="102"/>
      <c r="S206" s="102"/>
      <c r="T206" s="102"/>
      <c r="U206" s="102"/>
      <c r="V206" s="102"/>
      <c r="W206" s="102"/>
      <c r="X206" s="102"/>
      <c r="Y206" s="102"/>
      <c r="Z206" s="102"/>
    </row>
    <row r="207" spans="1:26" x14ac:dyDescent="0.3">
      <c r="A207" s="11"/>
      <c r="B207" s="11"/>
      <c r="C207" s="96" t="s">
        <v>3168</v>
      </c>
      <c r="D207" s="11"/>
      <c r="E207" s="11"/>
      <c r="F207" s="11"/>
      <c r="G207" s="11"/>
      <c r="H207" s="11"/>
      <c r="I207" s="91"/>
      <c r="J207" s="102"/>
      <c r="K207" s="102"/>
      <c r="L207" s="102"/>
      <c r="M207" s="102"/>
      <c r="N207" s="102"/>
      <c r="O207" s="102"/>
      <c r="P207" s="102"/>
      <c r="Q207" s="102"/>
      <c r="R207" s="102"/>
      <c r="S207" s="102"/>
      <c r="T207" s="102"/>
      <c r="U207" s="102"/>
      <c r="V207" s="102"/>
      <c r="W207" s="102"/>
      <c r="X207" s="102"/>
      <c r="Y207" s="102"/>
      <c r="Z207" s="102"/>
    </row>
    <row r="208" spans="1:26" x14ac:dyDescent="0.3">
      <c r="A208" s="10"/>
      <c r="B208" s="10"/>
      <c r="C208" s="9" t="s">
        <v>3169</v>
      </c>
      <c r="D208" s="10"/>
      <c r="E208" s="10"/>
      <c r="F208" s="10"/>
      <c r="G208" s="10"/>
      <c r="H208" s="10"/>
      <c r="I208" s="117"/>
      <c r="J208" s="102"/>
      <c r="K208" s="102"/>
      <c r="L208" s="102"/>
      <c r="M208" s="102"/>
      <c r="N208" s="102"/>
      <c r="O208" s="102"/>
      <c r="P208" s="102"/>
      <c r="Q208" s="102"/>
      <c r="R208" s="102"/>
      <c r="S208" s="102"/>
      <c r="T208" s="102"/>
      <c r="U208" s="102"/>
      <c r="V208" s="102"/>
      <c r="W208" s="102"/>
      <c r="X208" s="102"/>
      <c r="Y208" s="102"/>
      <c r="Z208" s="102"/>
    </row>
    <row r="209" spans="1:26" x14ac:dyDescent="0.3">
      <c r="A209" s="10"/>
      <c r="B209" s="10"/>
      <c r="C209" s="9" t="s">
        <v>3170</v>
      </c>
      <c r="D209" s="10"/>
      <c r="E209" s="10"/>
      <c r="F209" s="10"/>
      <c r="G209" s="10"/>
      <c r="H209" s="10"/>
      <c r="I209" s="117"/>
      <c r="J209" s="102"/>
      <c r="K209" s="102"/>
      <c r="L209" s="102"/>
      <c r="M209" s="102"/>
      <c r="N209" s="102"/>
      <c r="O209" s="102"/>
      <c r="P209" s="102"/>
      <c r="Q209" s="102"/>
      <c r="R209" s="102"/>
      <c r="S209" s="102"/>
      <c r="T209" s="102"/>
      <c r="U209" s="102"/>
      <c r="V209" s="102"/>
      <c r="W209" s="102"/>
      <c r="X209" s="102"/>
      <c r="Y209" s="102"/>
      <c r="Z209" s="102"/>
    </row>
    <row r="210" spans="1:26" x14ac:dyDescent="0.3">
      <c r="A210" s="11"/>
      <c r="B210" s="11"/>
      <c r="C210" s="11"/>
      <c r="D210" s="11"/>
      <c r="E210" s="11"/>
      <c r="F210" s="11"/>
      <c r="G210" s="11"/>
      <c r="H210" s="11"/>
      <c r="I210" s="91"/>
      <c r="J210" s="102"/>
      <c r="K210" s="102"/>
      <c r="L210" s="102"/>
      <c r="M210" s="102"/>
      <c r="N210" s="102"/>
      <c r="O210" s="102"/>
      <c r="P210" s="102"/>
      <c r="Q210" s="102"/>
      <c r="R210" s="102"/>
      <c r="S210" s="102"/>
      <c r="T210" s="102"/>
      <c r="U210" s="102"/>
      <c r="V210" s="102"/>
      <c r="W210" s="102"/>
      <c r="X210" s="102"/>
      <c r="Y210" s="102"/>
      <c r="Z210" s="102"/>
    </row>
    <row r="211" spans="1:26" x14ac:dyDescent="0.3">
      <c r="A211" s="10"/>
      <c r="B211" s="10"/>
      <c r="C211" s="9" t="s">
        <v>3171</v>
      </c>
      <c r="D211" s="10"/>
      <c r="E211" s="10"/>
      <c r="F211" s="10"/>
      <c r="G211" s="10"/>
      <c r="H211" s="10"/>
      <c r="I211" s="117"/>
      <c r="J211" s="102"/>
      <c r="K211" s="102"/>
      <c r="L211" s="102"/>
      <c r="M211" s="102"/>
      <c r="N211" s="102"/>
      <c r="O211" s="102"/>
      <c r="P211" s="102"/>
      <c r="Q211" s="102"/>
      <c r="R211" s="102"/>
      <c r="S211" s="102"/>
      <c r="T211" s="102"/>
      <c r="U211" s="102"/>
      <c r="V211" s="102"/>
      <c r="W211" s="102"/>
      <c r="X211" s="102"/>
      <c r="Y211" s="102"/>
      <c r="Z211" s="102"/>
    </row>
    <row r="212" spans="1:26" x14ac:dyDescent="0.3">
      <c r="A212" s="10"/>
      <c r="B212" s="10"/>
      <c r="C212" s="9" t="s">
        <v>3172</v>
      </c>
      <c r="D212" s="10"/>
      <c r="E212" s="10"/>
      <c r="F212" s="10"/>
      <c r="G212" s="10"/>
      <c r="H212" s="10"/>
      <c r="I212" s="117"/>
      <c r="J212" s="102"/>
      <c r="K212" s="102"/>
      <c r="L212" s="102"/>
      <c r="M212" s="102"/>
      <c r="N212" s="102"/>
      <c r="O212" s="102"/>
      <c r="P212" s="102"/>
      <c r="Q212" s="102"/>
      <c r="R212" s="102"/>
      <c r="S212" s="102"/>
      <c r="T212" s="102"/>
      <c r="U212" s="102"/>
      <c r="V212" s="102"/>
      <c r="W212" s="102"/>
      <c r="X212" s="102"/>
      <c r="Y212" s="102"/>
      <c r="Z212" s="102"/>
    </row>
    <row r="213" spans="1:26" x14ac:dyDescent="0.3">
      <c r="A213" s="10"/>
      <c r="B213" s="10"/>
      <c r="C213" s="96" t="s">
        <v>3173</v>
      </c>
      <c r="D213" s="10"/>
      <c r="E213" s="10"/>
      <c r="F213" s="10"/>
      <c r="G213" s="10"/>
      <c r="H213" s="10"/>
      <c r="I213" s="117"/>
      <c r="J213" s="102"/>
      <c r="K213" s="102"/>
      <c r="L213" s="102"/>
      <c r="M213" s="102"/>
      <c r="N213" s="102"/>
      <c r="O213" s="102"/>
      <c r="P213" s="102"/>
      <c r="Q213" s="102"/>
      <c r="R213" s="102"/>
      <c r="S213" s="102"/>
      <c r="T213" s="102"/>
      <c r="U213" s="102"/>
      <c r="V213" s="102"/>
      <c r="W213" s="102"/>
      <c r="X213" s="102"/>
      <c r="Y213" s="102"/>
      <c r="Z213" s="102"/>
    </row>
    <row r="214" spans="1:26" x14ac:dyDescent="0.3">
      <c r="A214" s="9"/>
      <c r="B214" s="9"/>
      <c r="C214" s="96" t="s">
        <v>3174</v>
      </c>
      <c r="D214" s="9"/>
      <c r="E214" s="9"/>
      <c r="F214" s="9"/>
      <c r="G214" s="9"/>
      <c r="H214" s="9"/>
      <c r="I214" s="108"/>
      <c r="J214" s="102"/>
      <c r="K214" s="102"/>
      <c r="L214" s="102"/>
      <c r="M214" s="102"/>
      <c r="N214" s="102"/>
      <c r="O214" s="102"/>
      <c r="P214" s="102"/>
      <c r="Q214" s="102"/>
      <c r="R214" s="102"/>
      <c r="S214" s="102"/>
      <c r="T214" s="102"/>
      <c r="U214" s="102"/>
      <c r="V214" s="102"/>
      <c r="W214" s="102"/>
      <c r="X214" s="102"/>
      <c r="Y214" s="102"/>
      <c r="Z214" s="102"/>
    </row>
    <row r="215" spans="1:26" x14ac:dyDescent="0.3">
      <c r="A215" s="10"/>
      <c r="B215" s="10"/>
      <c r="C215" s="9" t="s">
        <v>3175</v>
      </c>
      <c r="D215" s="10"/>
      <c r="E215" s="10"/>
      <c r="F215" s="10"/>
      <c r="G215" s="10"/>
      <c r="H215" s="10"/>
      <c r="I215" s="117"/>
      <c r="J215" s="102"/>
      <c r="K215" s="102"/>
      <c r="L215" s="102"/>
      <c r="M215" s="102"/>
      <c r="N215" s="102"/>
      <c r="O215" s="102"/>
      <c r="P215" s="102"/>
      <c r="Q215" s="102"/>
      <c r="R215" s="102"/>
      <c r="S215" s="102"/>
      <c r="T215" s="102"/>
      <c r="U215" s="102"/>
      <c r="V215" s="102"/>
      <c r="W215" s="102"/>
      <c r="X215" s="102"/>
      <c r="Y215" s="102"/>
      <c r="Z215" s="102"/>
    </row>
    <row r="216" spans="1:26" x14ac:dyDescent="0.3">
      <c r="A216" s="10"/>
      <c r="B216" s="10"/>
      <c r="C216" s="96" t="s">
        <v>3176</v>
      </c>
      <c r="D216" s="10"/>
      <c r="E216" s="10"/>
      <c r="F216" s="10"/>
      <c r="G216" s="10"/>
      <c r="H216" s="10"/>
      <c r="I216" s="117"/>
      <c r="J216" s="102"/>
      <c r="K216" s="102"/>
      <c r="L216" s="102"/>
      <c r="M216" s="102"/>
      <c r="N216" s="102"/>
      <c r="O216" s="102"/>
      <c r="P216" s="102"/>
      <c r="Q216" s="102"/>
      <c r="R216" s="102"/>
      <c r="S216" s="102"/>
      <c r="T216" s="102"/>
      <c r="U216" s="102"/>
      <c r="V216" s="102"/>
      <c r="W216" s="102"/>
      <c r="X216" s="102"/>
      <c r="Y216" s="102"/>
      <c r="Z216" s="102"/>
    </row>
    <row r="217" spans="1:26" x14ac:dyDescent="0.3">
      <c r="A217" s="11"/>
      <c r="B217" s="11"/>
      <c r="C217" s="96" t="s">
        <v>3177</v>
      </c>
      <c r="D217" s="11"/>
      <c r="E217" s="11"/>
      <c r="F217" s="11"/>
      <c r="G217" s="11"/>
      <c r="H217" s="11"/>
      <c r="I217" s="91"/>
      <c r="J217" s="102"/>
      <c r="K217" s="102"/>
      <c r="L217" s="102"/>
      <c r="M217" s="102"/>
      <c r="N217" s="102"/>
      <c r="O217" s="102"/>
      <c r="P217" s="102"/>
      <c r="Q217" s="102"/>
      <c r="R217" s="102"/>
      <c r="S217" s="102"/>
      <c r="T217" s="102"/>
      <c r="U217" s="102"/>
      <c r="V217" s="102"/>
      <c r="W217" s="102"/>
      <c r="X217" s="102"/>
      <c r="Y217" s="102"/>
      <c r="Z217" s="102"/>
    </row>
    <row r="218" spans="1:26" x14ac:dyDescent="0.3">
      <c r="A218" s="11"/>
      <c r="B218" s="11"/>
      <c r="C218" s="96" t="s">
        <v>3178</v>
      </c>
      <c r="D218" s="11"/>
      <c r="E218" s="11"/>
      <c r="F218" s="11"/>
      <c r="G218" s="11"/>
      <c r="H218" s="11"/>
      <c r="I218" s="91"/>
      <c r="J218" s="102"/>
      <c r="K218" s="102"/>
      <c r="L218" s="102"/>
      <c r="M218" s="102"/>
      <c r="N218" s="102"/>
      <c r="O218" s="102"/>
      <c r="P218" s="102"/>
      <c r="Q218" s="102"/>
      <c r="R218" s="102"/>
      <c r="S218" s="102"/>
      <c r="T218" s="102"/>
      <c r="U218" s="102"/>
      <c r="V218" s="102"/>
      <c r="W218" s="102"/>
      <c r="X218" s="102"/>
      <c r="Y218" s="102"/>
      <c r="Z218" s="102"/>
    </row>
    <row r="219" spans="1:26" x14ac:dyDescent="0.3">
      <c r="A219" s="10"/>
      <c r="B219" s="10"/>
      <c r="C219" s="9" t="s">
        <v>3179</v>
      </c>
      <c r="D219" s="10"/>
      <c r="E219" s="10"/>
      <c r="F219" s="10"/>
      <c r="G219" s="10"/>
      <c r="H219" s="10"/>
      <c r="I219" s="117"/>
      <c r="J219" s="102"/>
      <c r="K219" s="102"/>
      <c r="L219" s="102"/>
      <c r="M219" s="102"/>
      <c r="N219" s="102"/>
      <c r="O219" s="102"/>
      <c r="P219" s="102"/>
      <c r="Q219" s="102"/>
      <c r="R219" s="102"/>
      <c r="S219" s="102"/>
      <c r="T219" s="102"/>
      <c r="U219" s="102"/>
      <c r="V219" s="102"/>
      <c r="W219" s="102"/>
      <c r="X219" s="102"/>
      <c r="Y219" s="102"/>
      <c r="Z219" s="102"/>
    </row>
    <row r="220" spans="1:26" x14ac:dyDescent="0.3">
      <c r="A220" s="9"/>
      <c r="B220" s="9"/>
      <c r="C220" s="9" t="s">
        <v>3180</v>
      </c>
      <c r="D220" s="9"/>
      <c r="E220" s="9"/>
      <c r="F220" s="9"/>
      <c r="G220" s="9"/>
      <c r="H220" s="9"/>
      <c r="I220" s="108"/>
      <c r="J220" s="102"/>
      <c r="K220" s="102"/>
      <c r="L220" s="102"/>
      <c r="M220" s="102"/>
      <c r="N220" s="102"/>
      <c r="O220" s="102"/>
      <c r="P220" s="102"/>
      <c r="Q220" s="102"/>
      <c r="R220" s="102"/>
      <c r="S220" s="102"/>
      <c r="T220" s="102"/>
      <c r="U220" s="102"/>
      <c r="V220" s="102"/>
      <c r="W220" s="102"/>
      <c r="X220" s="102"/>
      <c r="Y220" s="102"/>
      <c r="Z220" s="102"/>
    </row>
    <row r="221" spans="1:26" x14ac:dyDescent="0.3">
      <c r="A221" s="11"/>
      <c r="B221" s="11"/>
      <c r="C221" s="96" t="s">
        <v>3181</v>
      </c>
      <c r="D221" s="11"/>
      <c r="E221" s="11"/>
      <c r="F221" s="11"/>
      <c r="G221" s="11"/>
      <c r="H221" s="11"/>
      <c r="I221" s="91"/>
      <c r="J221" s="102"/>
      <c r="K221" s="102"/>
      <c r="L221" s="102"/>
      <c r="M221" s="102"/>
      <c r="N221" s="102"/>
      <c r="O221" s="102"/>
      <c r="P221" s="102"/>
      <c r="Q221" s="102"/>
      <c r="R221" s="102"/>
      <c r="S221" s="102"/>
      <c r="T221" s="102"/>
      <c r="U221" s="102"/>
      <c r="V221" s="102"/>
      <c r="W221" s="102"/>
      <c r="X221" s="102"/>
      <c r="Y221" s="102"/>
      <c r="Z221" s="102"/>
    </row>
    <row r="222" spans="1:26" x14ac:dyDescent="0.3">
      <c r="A222" s="11"/>
      <c r="B222" s="11"/>
      <c r="C222" s="96" t="s">
        <v>3182</v>
      </c>
      <c r="D222" s="11"/>
      <c r="E222" s="11"/>
      <c r="F222" s="11"/>
      <c r="G222" s="11"/>
      <c r="H222" s="11"/>
      <c r="I222" s="91"/>
      <c r="J222" s="102"/>
      <c r="K222" s="102"/>
      <c r="L222" s="102"/>
      <c r="M222" s="102"/>
      <c r="N222" s="102"/>
      <c r="O222" s="102"/>
      <c r="P222" s="102"/>
      <c r="Q222" s="102"/>
      <c r="R222" s="102"/>
      <c r="S222" s="102"/>
      <c r="T222" s="102"/>
      <c r="U222" s="102"/>
      <c r="V222" s="102"/>
      <c r="W222" s="102"/>
      <c r="X222" s="102"/>
      <c r="Y222" s="102"/>
      <c r="Z222" s="102"/>
    </row>
    <row r="223" spans="1:26" x14ac:dyDescent="0.3">
      <c r="A223" s="11"/>
      <c r="B223" s="11"/>
      <c r="C223" s="96" t="s">
        <v>3183</v>
      </c>
      <c r="D223" s="11"/>
      <c r="E223" s="11"/>
      <c r="F223" s="11"/>
      <c r="G223" s="11"/>
      <c r="H223" s="11"/>
      <c r="I223" s="91"/>
      <c r="J223" s="102"/>
      <c r="K223" s="102"/>
      <c r="L223" s="102"/>
      <c r="M223" s="102"/>
      <c r="N223" s="102"/>
      <c r="O223" s="102"/>
      <c r="P223" s="102"/>
      <c r="Q223" s="102"/>
      <c r="R223" s="102"/>
      <c r="S223" s="102"/>
      <c r="T223" s="102"/>
      <c r="U223" s="102"/>
      <c r="V223" s="102"/>
      <c r="W223" s="102"/>
      <c r="X223" s="102"/>
      <c r="Y223" s="102"/>
      <c r="Z223" s="102"/>
    </row>
    <row r="224" spans="1:26" x14ac:dyDescent="0.3">
      <c r="A224" s="10"/>
      <c r="B224" s="10"/>
      <c r="C224" s="9" t="s">
        <v>3184</v>
      </c>
      <c r="D224" s="10"/>
      <c r="E224" s="10"/>
      <c r="F224" s="10"/>
      <c r="G224" s="10"/>
      <c r="H224" s="10"/>
      <c r="I224" s="117"/>
      <c r="J224" s="102"/>
      <c r="K224" s="102"/>
      <c r="L224" s="102"/>
      <c r="M224" s="102"/>
      <c r="N224" s="102"/>
      <c r="O224" s="102"/>
      <c r="P224" s="102"/>
      <c r="Q224" s="102"/>
      <c r="R224" s="102"/>
      <c r="S224" s="102"/>
      <c r="T224" s="102"/>
      <c r="U224" s="102"/>
      <c r="V224" s="102"/>
      <c r="W224" s="102"/>
      <c r="X224" s="102"/>
      <c r="Y224" s="102"/>
      <c r="Z224" s="102"/>
    </row>
    <row r="225" spans="1:26" x14ac:dyDescent="0.3">
      <c r="A225" s="11"/>
      <c r="B225" s="11"/>
      <c r="C225" s="11"/>
      <c r="D225" s="11"/>
      <c r="E225" s="11"/>
      <c r="F225" s="11"/>
      <c r="G225" s="11"/>
      <c r="H225" s="11"/>
      <c r="I225" s="91"/>
      <c r="J225" s="102"/>
      <c r="K225" s="102"/>
      <c r="L225" s="102"/>
      <c r="M225" s="102"/>
      <c r="N225" s="102"/>
      <c r="O225" s="102"/>
      <c r="P225" s="102"/>
      <c r="Q225" s="102"/>
      <c r="R225" s="102"/>
      <c r="S225" s="102"/>
      <c r="T225" s="102"/>
      <c r="U225" s="102"/>
      <c r="V225" s="102"/>
      <c r="W225" s="102"/>
      <c r="X225" s="102"/>
      <c r="Y225" s="102"/>
      <c r="Z225" s="102"/>
    </row>
    <row r="226" spans="1:26" x14ac:dyDescent="0.3">
      <c r="A226" s="11"/>
      <c r="B226" s="11"/>
      <c r="C226" s="96" t="s">
        <v>3185</v>
      </c>
      <c r="D226" s="11"/>
      <c r="E226" s="11"/>
      <c r="F226" s="11"/>
      <c r="G226" s="11"/>
      <c r="H226" s="11"/>
      <c r="I226" s="91"/>
      <c r="J226" s="102"/>
      <c r="K226" s="102"/>
      <c r="L226" s="102"/>
      <c r="M226" s="102"/>
      <c r="N226" s="102"/>
      <c r="O226" s="102"/>
      <c r="P226" s="102"/>
      <c r="Q226" s="102"/>
      <c r="R226" s="102"/>
      <c r="S226" s="102"/>
      <c r="T226" s="102"/>
      <c r="U226" s="102"/>
      <c r="V226" s="102"/>
      <c r="W226" s="102"/>
      <c r="X226" s="102"/>
      <c r="Y226" s="102"/>
      <c r="Z226" s="102"/>
    </row>
    <row r="227" spans="1:26" x14ac:dyDescent="0.3">
      <c r="A227" s="9"/>
      <c r="B227" s="9"/>
      <c r="C227" s="9" t="s">
        <v>3186</v>
      </c>
      <c r="D227" s="9"/>
      <c r="E227" s="9"/>
      <c r="F227" s="9"/>
      <c r="G227" s="9"/>
      <c r="H227" s="9"/>
      <c r="I227" s="108"/>
      <c r="J227" s="102"/>
      <c r="K227" s="102"/>
      <c r="L227" s="102"/>
      <c r="M227" s="102"/>
      <c r="N227" s="102"/>
      <c r="O227" s="102"/>
      <c r="P227" s="102"/>
      <c r="Q227" s="102"/>
      <c r="R227" s="102"/>
      <c r="S227" s="102"/>
      <c r="T227" s="102"/>
      <c r="U227" s="102"/>
      <c r="V227" s="102"/>
      <c r="W227" s="102"/>
      <c r="X227" s="102"/>
      <c r="Y227" s="102"/>
      <c r="Z227" s="102"/>
    </row>
    <row r="228" spans="1:26" x14ac:dyDescent="0.3">
      <c r="A228" s="10"/>
      <c r="B228" s="10"/>
      <c r="C228" s="9" t="s">
        <v>3187</v>
      </c>
      <c r="D228" s="10"/>
      <c r="E228" s="10"/>
      <c r="F228" s="10"/>
      <c r="G228" s="10"/>
      <c r="H228" s="10"/>
      <c r="I228" s="117"/>
      <c r="J228" s="102"/>
      <c r="K228" s="102"/>
      <c r="L228" s="102"/>
      <c r="M228" s="102"/>
      <c r="N228" s="102"/>
      <c r="O228" s="102"/>
      <c r="P228" s="102"/>
      <c r="Q228" s="102"/>
      <c r="R228" s="102"/>
      <c r="S228" s="102"/>
      <c r="T228" s="102"/>
      <c r="U228" s="102"/>
      <c r="V228" s="102"/>
      <c r="W228" s="102"/>
      <c r="X228" s="102"/>
      <c r="Y228" s="102"/>
      <c r="Z228" s="102"/>
    </row>
    <row r="229" spans="1:26" x14ac:dyDescent="0.3">
      <c r="A229" s="11"/>
      <c r="B229" s="11"/>
      <c r="C229" s="96" t="s">
        <v>3188</v>
      </c>
      <c r="D229" s="11"/>
      <c r="E229" s="11"/>
      <c r="F229" s="11"/>
      <c r="G229" s="11"/>
      <c r="H229" s="11"/>
      <c r="I229" s="91"/>
      <c r="J229" s="102"/>
      <c r="K229" s="102"/>
      <c r="L229" s="102"/>
      <c r="M229" s="102"/>
      <c r="N229" s="102"/>
      <c r="O229" s="102"/>
      <c r="P229" s="102"/>
      <c r="Q229" s="102"/>
      <c r="R229" s="102"/>
      <c r="S229" s="102"/>
      <c r="T229" s="102"/>
      <c r="U229" s="102"/>
      <c r="V229" s="102"/>
      <c r="W229" s="102"/>
      <c r="X229" s="102"/>
      <c r="Y229" s="102"/>
      <c r="Z229" s="102"/>
    </row>
    <row r="230" spans="1:26" x14ac:dyDescent="0.3">
      <c r="A230" s="11"/>
      <c r="B230" s="11"/>
      <c r="C230" s="96" t="s">
        <v>3189</v>
      </c>
      <c r="D230" s="11"/>
      <c r="E230" s="11"/>
      <c r="F230" s="11"/>
      <c r="G230" s="11"/>
      <c r="H230" s="11"/>
      <c r="I230" s="91"/>
      <c r="J230" s="102"/>
      <c r="K230" s="102"/>
      <c r="L230" s="102"/>
      <c r="M230" s="102"/>
      <c r="N230" s="102"/>
      <c r="O230" s="102"/>
      <c r="P230" s="102"/>
      <c r="Q230" s="102"/>
      <c r="R230" s="102"/>
      <c r="S230" s="102"/>
      <c r="T230" s="102"/>
      <c r="U230" s="102"/>
      <c r="V230" s="102"/>
      <c r="W230" s="102"/>
      <c r="X230" s="102"/>
      <c r="Y230" s="102"/>
      <c r="Z230" s="102"/>
    </row>
    <row r="231" spans="1:26" x14ac:dyDescent="0.3">
      <c r="A231" s="11"/>
      <c r="B231" s="11"/>
      <c r="C231" s="96" t="s">
        <v>3190</v>
      </c>
      <c r="D231" s="11"/>
      <c r="E231" s="11"/>
      <c r="F231" s="11"/>
      <c r="G231" s="11"/>
      <c r="H231" s="11"/>
      <c r="I231" s="91"/>
      <c r="J231" s="102"/>
      <c r="K231" s="102"/>
      <c r="L231" s="102"/>
      <c r="M231" s="102"/>
      <c r="N231" s="102"/>
      <c r="O231" s="102"/>
      <c r="P231" s="102"/>
      <c r="Q231" s="102"/>
      <c r="R231" s="102"/>
      <c r="S231" s="102"/>
      <c r="T231" s="102"/>
      <c r="U231" s="102"/>
      <c r="V231" s="102"/>
      <c r="W231" s="102"/>
      <c r="X231" s="102"/>
      <c r="Y231" s="102"/>
      <c r="Z231" s="102"/>
    </row>
    <row r="232" spans="1:26" x14ac:dyDescent="0.3">
      <c r="A232" s="10"/>
      <c r="B232" s="10"/>
      <c r="C232" s="96" t="s">
        <v>3191</v>
      </c>
      <c r="D232" s="10"/>
      <c r="E232" s="10"/>
      <c r="F232" s="10"/>
      <c r="G232" s="10"/>
      <c r="H232" s="10"/>
      <c r="I232" s="117"/>
      <c r="J232" s="102"/>
      <c r="K232" s="102"/>
      <c r="L232" s="102"/>
      <c r="M232" s="102"/>
      <c r="N232" s="102"/>
      <c r="O232" s="102"/>
      <c r="P232" s="102"/>
      <c r="Q232" s="102"/>
      <c r="R232" s="102"/>
      <c r="S232" s="102"/>
      <c r="T232" s="102"/>
      <c r="U232" s="102"/>
      <c r="V232" s="102"/>
      <c r="W232" s="102"/>
      <c r="X232" s="102"/>
      <c r="Y232" s="102"/>
      <c r="Z232" s="102"/>
    </row>
    <row r="233" spans="1:26" x14ac:dyDescent="0.3">
      <c r="A233" s="11"/>
      <c r="B233" s="11"/>
      <c r="C233" s="96" t="s">
        <v>3192</v>
      </c>
      <c r="D233" s="11"/>
      <c r="E233" s="11"/>
      <c r="F233" s="11"/>
      <c r="G233" s="11"/>
      <c r="H233" s="11"/>
      <c r="I233" s="91"/>
      <c r="J233" s="102"/>
      <c r="K233" s="102"/>
      <c r="L233" s="102"/>
      <c r="M233" s="102"/>
      <c r="N233" s="102"/>
      <c r="O233" s="102"/>
      <c r="P233" s="102"/>
      <c r="Q233" s="102"/>
      <c r="R233" s="102"/>
      <c r="S233" s="102"/>
      <c r="T233" s="102"/>
      <c r="U233" s="102"/>
      <c r="V233" s="102"/>
      <c r="W233" s="102"/>
      <c r="X233" s="102"/>
      <c r="Y233" s="102"/>
      <c r="Z233" s="102"/>
    </row>
    <row r="234" spans="1:26" x14ac:dyDescent="0.3">
      <c r="A234" s="10"/>
      <c r="B234" s="10"/>
      <c r="C234" s="9" t="s">
        <v>3193</v>
      </c>
      <c r="D234" s="10"/>
      <c r="E234" s="10"/>
      <c r="F234" s="10"/>
      <c r="G234" s="10"/>
      <c r="H234" s="10"/>
      <c r="I234" s="117"/>
      <c r="J234" s="102"/>
      <c r="K234" s="102"/>
      <c r="L234" s="102"/>
      <c r="M234" s="102"/>
      <c r="N234" s="102"/>
      <c r="O234" s="102"/>
      <c r="P234" s="102"/>
      <c r="Q234" s="102"/>
      <c r="R234" s="102"/>
      <c r="S234" s="102"/>
      <c r="T234" s="102"/>
      <c r="U234" s="102"/>
      <c r="V234" s="102"/>
      <c r="W234" s="102"/>
      <c r="X234" s="102"/>
      <c r="Y234" s="102"/>
      <c r="Z234" s="102"/>
    </row>
    <row r="235" spans="1:26" x14ac:dyDescent="0.3">
      <c r="A235" s="10"/>
      <c r="B235" s="10"/>
      <c r="C235" s="96" t="s">
        <v>3194</v>
      </c>
      <c r="D235" s="10"/>
      <c r="E235" s="10"/>
      <c r="F235" s="10"/>
      <c r="G235" s="10"/>
      <c r="H235" s="10"/>
      <c r="I235" s="117"/>
      <c r="J235" s="102"/>
      <c r="K235" s="102"/>
      <c r="L235" s="102"/>
      <c r="M235" s="102"/>
      <c r="N235" s="102"/>
      <c r="O235" s="102"/>
      <c r="P235" s="102"/>
      <c r="Q235" s="102"/>
      <c r="R235" s="102"/>
      <c r="S235" s="102"/>
      <c r="T235" s="102"/>
      <c r="U235" s="102"/>
      <c r="V235" s="102"/>
      <c r="W235" s="102"/>
      <c r="X235" s="102"/>
      <c r="Y235" s="102"/>
      <c r="Z235" s="102"/>
    </row>
    <row r="236" spans="1:26" x14ac:dyDescent="0.3">
      <c r="A236" s="9"/>
      <c r="B236" s="9"/>
      <c r="C236" s="9" t="s">
        <v>3195</v>
      </c>
      <c r="D236" s="9"/>
      <c r="E236" s="9"/>
      <c r="F236" s="9"/>
      <c r="G236" s="9"/>
      <c r="H236" s="9"/>
      <c r="I236" s="108"/>
      <c r="J236" s="102"/>
      <c r="K236" s="102"/>
      <c r="L236" s="102"/>
      <c r="M236" s="102"/>
      <c r="N236" s="102"/>
      <c r="O236" s="102"/>
      <c r="P236" s="102"/>
      <c r="Q236" s="102"/>
      <c r="R236" s="102"/>
      <c r="S236" s="102"/>
      <c r="T236" s="102"/>
      <c r="U236" s="102"/>
      <c r="V236" s="102"/>
      <c r="W236" s="102"/>
      <c r="X236" s="102"/>
      <c r="Y236" s="102"/>
      <c r="Z236" s="102"/>
    </row>
    <row r="237" spans="1:26" x14ac:dyDescent="0.3">
      <c r="A237" s="134">
        <v>1.1000000000000001</v>
      </c>
      <c r="B237" s="95" t="s">
        <v>3196</v>
      </c>
      <c r="C237" s="9" t="s">
        <v>3197</v>
      </c>
      <c r="D237" s="10"/>
      <c r="E237" s="10"/>
      <c r="F237" s="10"/>
      <c r="G237" s="10"/>
      <c r="H237" s="10"/>
      <c r="I237" s="117"/>
      <c r="J237" s="102"/>
      <c r="K237" s="102"/>
      <c r="L237" s="102"/>
      <c r="M237" s="102"/>
      <c r="N237" s="102"/>
      <c r="O237" s="102"/>
      <c r="P237" s="102"/>
      <c r="Q237" s="102"/>
      <c r="R237" s="102"/>
      <c r="S237" s="102"/>
      <c r="T237" s="102"/>
      <c r="U237" s="102"/>
      <c r="V237" s="102"/>
      <c r="W237" s="102"/>
      <c r="X237" s="102"/>
      <c r="Y237" s="102"/>
      <c r="Z237" s="102"/>
    </row>
    <row r="238" spans="1:26" x14ac:dyDescent="0.3">
      <c r="A238" s="11"/>
      <c r="B238" s="11"/>
      <c r="C238" s="96" t="s">
        <v>3198</v>
      </c>
      <c r="D238" s="11"/>
      <c r="E238" s="11"/>
      <c r="F238" s="11"/>
      <c r="G238" s="11"/>
      <c r="H238" s="11"/>
      <c r="I238" s="91"/>
      <c r="J238" s="102"/>
      <c r="K238" s="102"/>
      <c r="L238" s="102"/>
      <c r="M238" s="102"/>
      <c r="N238" s="102"/>
      <c r="O238" s="102"/>
      <c r="P238" s="102"/>
      <c r="Q238" s="102"/>
      <c r="R238" s="102"/>
      <c r="S238" s="102"/>
      <c r="T238" s="102"/>
      <c r="U238" s="102"/>
      <c r="V238" s="102"/>
      <c r="W238" s="102"/>
      <c r="X238" s="102"/>
      <c r="Y238" s="102"/>
      <c r="Z238" s="102"/>
    </row>
    <row r="239" spans="1:26" x14ac:dyDescent="0.3">
      <c r="A239" s="11"/>
      <c r="B239" s="11"/>
      <c r="C239" s="96" t="s">
        <v>3199</v>
      </c>
      <c r="D239" s="11"/>
      <c r="E239" s="11"/>
      <c r="F239" s="11"/>
      <c r="G239" s="11"/>
      <c r="H239" s="11"/>
      <c r="I239" s="91"/>
      <c r="J239" s="102"/>
      <c r="K239" s="102"/>
      <c r="L239" s="102"/>
      <c r="M239" s="102"/>
      <c r="N239" s="102"/>
      <c r="O239" s="102"/>
      <c r="P239" s="102"/>
      <c r="Q239" s="102"/>
      <c r="R239" s="102"/>
      <c r="S239" s="102"/>
      <c r="T239" s="102"/>
      <c r="U239" s="102"/>
      <c r="V239" s="102"/>
      <c r="W239" s="102"/>
      <c r="X239" s="102"/>
      <c r="Y239" s="102"/>
      <c r="Z239" s="102"/>
    </row>
    <row r="240" spans="1:26" x14ac:dyDescent="0.3">
      <c r="A240" s="11"/>
      <c r="B240" s="11"/>
      <c r="C240" s="96" t="s">
        <v>3200</v>
      </c>
      <c r="D240" s="11"/>
      <c r="E240" s="11"/>
      <c r="F240" s="11"/>
      <c r="G240" s="11"/>
      <c r="H240" s="11"/>
      <c r="I240" s="91"/>
      <c r="J240" s="102"/>
      <c r="K240" s="102"/>
      <c r="L240" s="102"/>
      <c r="M240" s="102"/>
      <c r="N240" s="102"/>
      <c r="O240" s="102"/>
      <c r="P240" s="102"/>
      <c r="Q240" s="102"/>
      <c r="R240" s="102"/>
      <c r="S240" s="102"/>
      <c r="T240" s="102"/>
      <c r="U240" s="102"/>
      <c r="V240" s="102"/>
      <c r="W240" s="102"/>
      <c r="X240" s="102"/>
      <c r="Y240" s="102"/>
      <c r="Z240" s="102"/>
    </row>
    <row r="241" spans="1:26" x14ac:dyDescent="0.3">
      <c r="A241" s="11"/>
      <c r="B241" s="11"/>
      <c r="C241" s="96" t="s">
        <v>3201</v>
      </c>
      <c r="D241" s="11"/>
      <c r="E241" s="11"/>
      <c r="F241" s="11"/>
      <c r="G241" s="11"/>
      <c r="H241" s="11"/>
      <c r="I241" s="91"/>
      <c r="J241" s="102"/>
      <c r="K241" s="102"/>
      <c r="L241" s="102"/>
      <c r="M241" s="102"/>
      <c r="N241" s="102"/>
      <c r="O241" s="102"/>
      <c r="P241" s="102"/>
      <c r="Q241" s="102"/>
      <c r="R241" s="102"/>
      <c r="S241" s="102"/>
      <c r="T241" s="102"/>
      <c r="U241" s="102"/>
      <c r="V241" s="102"/>
      <c r="W241" s="102"/>
      <c r="X241" s="102"/>
      <c r="Y241" s="102"/>
      <c r="Z241" s="102"/>
    </row>
    <row r="242" spans="1:26" x14ac:dyDescent="0.3">
      <c r="A242" s="11"/>
      <c r="B242" s="11"/>
      <c r="C242" s="96" t="s">
        <v>3202</v>
      </c>
      <c r="D242" s="11"/>
      <c r="E242" s="11"/>
      <c r="F242" s="11"/>
      <c r="G242" s="11"/>
      <c r="H242" s="11"/>
      <c r="I242" s="91"/>
      <c r="J242" s="102"/>
      <c r="K242" s="102"/>
      <c r="L242" s="102"/>
      <c r="M242" s="102"/>
      <c r="N242" s="102"/>
      <c r="O242" s="102"/>
      <c r="P242" s="102"/>
      <c r="Q242" s="102"/>
      <c r="R242" s="102"/>
      <c r="S242" s="102"/>
      <c r="T242" s="102"/>
      <c r="U242" s="102"/>
      <c r="V242" s="102"/>
      <c r="W242" s="102"/>
      <c r="X242" s="102"/>
      <c r="Y242" s="102"/>
      <c r="Z242" s="102"/>
    </row>
    <row r="243" spans="1:26" x14ac:dyDescent="0.3">
      <c r="A243" s="11"/>
      <c r="B243" s="11"/>
      <c r="C243" s="96" t="s">
        <v>3203</v>
      </c>
      <c r="D243" s="95" t="s">
        <v>3204</v>
      </c>
      <c r="E243" s="111">
        <v>4</v>
      </c>
      <c r="F243" s="112"/>
      <c r="G243" s="112"/>
      <c r="H243" s="113">
        <f>E243*F243</f>
        <v>0</v>
      </c>
      <c r="I243" s="113">
        <f>E243*G243</f>
        <v>0</v>
      </c>
      <c r="J243" s="102"/>
      <c r="K243" s="102"/>
      <c r="L243" s="102"/>
      <c r="M243" s="102"/>
      <c r="N243" s="102"/>
      <c r="O243" s="102"/>
      <c r="P243" s="102"/>
      <c r="Q243" s="102"/>
      <c r="R243" s="102"/>
      <c r="S243" s="102"/>
      <c r="T243" s="102"/>
      <c r="U243" s="102"/>
      <c r="V243" s="102"/>
      <c r="W243" s="102"/>
      <c r="X243" s="102"/>
      <c r="Y243" s="102"/>
      <c r="Z243" s="102"/>
    </row>
    <row r="244" spans="1:26" x14ac:dyDescent="0.3">
      <c r="A244" s="11"/>
      <c r="B244" s="11"/>
      <c r="C244" s="11"/>
      <c r="D244" s="11"/>
      <c r="E244" s="11"/>
      <c r="F244" s="11"/>
      <c r="G244" s="11"/>
      <c r="H244" s="11"/>
      <c r="I244" s="91"/>
      <c r="J244" s="102"/>
      <c r="K244" s="102"/>
      <c r="L244" s="102"/>
      <c r="M244" s="102"/>
      <c r="N244" s="102"/>
      <c r="O244" s="102"/>
      <c r="P244" s="102"/>
      <c r="Q244" s="102"/>
      <c r="R244" s="102"/>
      <c r="S244" s="102"/>
      <c r="T244" s="102"/>
      <c r="U244" s="102"/>
      <c r="V244" s="102"/>
      <c r="W244" s="102"/>
      <c r="X244" s="102"/>
      <c r="Y244" s="102"/>
      <c r="Z244" s="102"/>
    </row>
    <row r="245" spans="1:26" x14ac:dyDescent="0.3">
      <c r="A245" s="129">
        <v>1.2</v>
      </c>
      <c r="B245" s="131" t="s">
        <v>3205</v>
      </c>
      <c r="C245" s="9" t="s">
        <v>3206</v>
      </c>
      <c r="D245" s="95" t="s">
        <v>3207</v>
      </c>
      <c r="E245" s="111">
        <v>1</v>
      </c>
      <c r="F245" s="112"/>
      <c r="G245" s="112"/>
      <c r="H245" s="113">
        <f>E245*F245</f>
        <v>0</v>
      </c>
      <c r="I245" s="113">
        <f>E245*G245</f>
        <v>0</v>
      </c>
      <c r="J245" s="102"/>
      <c r="K245" s="102"/>
      <c r="L245" s="102"/>
      <c r="M245" s="102"/>
      <c r="N245" s="102"/>
      <c r="O245" s="102"/>
      <c r="P245" s="102"/>
      <c r="Q245" s="102"/>
      <c r="R245" s="102"/>
      <c r="S245" s="102"/>
      <c r="T245" s="102"/>
      <c r="U245" s="102"/>
      <c r="V245" s="102"/>
      <c r="W245" s="102"/>
      <c r="X245" s="102"/>
      <c r="Y245" s="102"/>
      <c r="Z245" s="102"/>
    </row>
    <row r="246" spans="1:26" x14ac:dyDescent="0.3">
      <c r="A246" s="11"/>
      <c r="B246" s="11"/>
      <c r="C246" s="96" t="s">
        <v>3208</v>
      </c>
      <c r="D246" s="11"/>
      <c r="E246" s="11"/>
      <c r="F246" s="11"/>
      <c r="G246" s="11"/>
      <c r="H246" s="11"/>
      <c r="I246" s="91"/>
      <c r="J246" s="102"/>
      <c r="K246" s="102"/>
      <c r="L246" s="102"/>
      <c r="M246" s="102"/>
      <c r="N246" s="102"/>
      <c r="O246" s="102"/>
      <c r="P246" s="102"/>
      <c r="Q246" s="102"/>
      <c r="R246" s="102"/>
      <c r="S246" s="102"/>
      <c r="T246" s="102"/>
      <c r="U246" s="102"/>
      <c r="V246" s="102"/>
      <c r="W246" s="102"/>
      <c r="X246" s="102"/>
      <c r="Y246" s="102"/>
      <c r="Z246" s="102"/>
    </row>
    <row r="247" spans="1:26" x14ac:dyDescent="0.3">
      <c r="A247" s="11"/>
      <c r="B247" s="11"/>
      <c r="C247" s="96" t="s">
        <v>3209</v>
      </c>
      <c r="D247" s="11"/>
      <c r="E247" s="11"/>
      <c r="F247" s="11"/>
      <c r="G247" s="11"/>
      <c r="H247" s="11"/>
      <c r="I247" s="91"/>
      <c r="J247" s="102"/>
      <c r="K247" s="102"/>
      <c r="L247" s="102"/>
      <c r="M247" s="102"/>
      <c r="N247" s="102"/>
      <c r="O247" s="102"/>
      <c r="P247" s="102"/>
      <c r="Q247" s="102"/>
      <c r="R247" s="102"/>
      <c r="S247" s="102"/>
      <c r="T247" s="102"/>
      <c r="U247" s="102"/>
      <c r="V247" s="102"/>
      <c r="W247" s="102"/>
      <c r="X247" s="102"/>
      <c r="Y247" s="102"/>
      <c r="Z247" s="102"/>
    </row>
    <row r="248" spans="1:26" x14ac:dyDescent="0.3">
      <c r="A248" s="11"/>
      <c r="B248" s="11"/>
      <c r="C248" s="96" t="s">
        <v>3210</v>
      </c>
      <c r="D248" s="11"/>
      <c r="E248" s="11"/>
      <c r="F248" s="11"/>
      <c r="G248" s="11"/>
      <c r="H248" s="11"/>
      <c r="I248" s="91"/>
      <c r="J248" s="102"/>
      <c r="K248" s="102"/>
      <c r="L248" s="102"/>
      <c r="M248" s="102"/>
      <c r="N248" s="102"/>
      <c r="O248" s="102"/>
      <c r="P248" s="102"/>
      <c r="Q248" s="102"/>
      <c r="R248" s="102"/>
      <c r="S248" s="102"/>
      <c r="T248" s="102"/>
      <c r="U248" s="102"/>
      <c r="V248" s="102"/>
      <c r="W248" s="102"/>
      <c r="X248" s="102"/>
      <c r="Y248" s="102"/>
      <c r="Z248" s="102"/>
    </row>
    <row r="249" spans="1:26" x14ac:dyDescent="0.3">
      <c r="A249" s="10"/>
      <c r="B249" s="10"/>
      <c r="C249" s="96" t="s">
        <v>3211</v>
      </c>
      <c r="D249" s="10"/>
      <c r="E249" s="10"/>
      <c r="F249" s="10"/>
      <c r="G249" s="10"/>
      <c r="H249" s="10"/>
      <c r="I249" s="117"/>
      <c r="J249" s="102"/>
      <c r="K249" s="102"/>
      <c r="L249" s="102"/>
      <c r="M249" s="102"/>
      <c r="N249" s="102"/>
      <c r="O249" s="102"/>
      <c r="P249" s="102"/>
      <c r="Q249" s="102"/>
      <c r="R249" s="102"/>
      <c r="S249" s="102"/>
      <c r="T249" s="102"/>
      <c r="U249" s="102"/>
      <c r="V249" s="102"/>
      <c r="W249" s="102"/>
      <c r="X249" s="102"/>
      <c r="Y249" s="102"/>
      <c r="Z249" s="102"/>
    </row>
    <row r="250" spans="1:26" x14ac:dyDescent="0.3">
      <c r="A250" s="11"/>
      <c r="B250" s="11"/>
      <c r="C250" s="96" t="s">
        <v>3212</v>
      </c>
      <c r="D250" s="11"/>
      <c r="E250" s="11"/>
      <c r="F250" s="11"/>
      <c r="G250" s="11"/>
      <c r="H250" s="11"/>
      <c r="I250" s="91"/>
      <c r="J250" s="102"/>
      <c r="K250" s="102"/>
      <c r="L250" s="102"/>
      <c r="M250" s="102"/>
      <c r="N250" s="102"/>
      <c r="O250" s="102"/>
      <c r="P250" s="102"/>
      <c r="Q250" s="102"/>
      <c r="R250" s="102"/>
      <c r="S250" s="102"/>
      <c r="T250" s="102"/>
      <c r="U250" s="102"/>
      <c r="V250" s="102"/>
      <c r="W250" s="102"/>
      <c r="X250" s="102"/>
      <c r="Y250" s="102"/>
      <c r="Z250" s="102"/>
    </row>
    <row r="251" spans="1:26" x14ac:dyDescent="0.3">
      <c r="A251" s="10"/>
      <c r="B251" s="10"/>
      <c r="C251" s="9" t="s">
        <v>3213</v>
      </c>
      <c r="D251" s="10"/>
      <c r="E251" s="10"/>
      <c r="F251" s="10"/>
      <c r="G251" s="10"/>
      <c r="H251" s="10"/>
      <c r="I251" s="117"/>
      <c r="J251" s="102"/>
      <c r="K251" s="102"/>
      <c r="L251" s="102"/>
      <c r="M251" s="102"/>
      <c r="N251" s="102"/>
      <c r="O251" s="102"/>
      <c r="P251" s="102"/>
      <c r="Q251" s="102"/>
      <c r="R251" s="102"/>
      <c r="S251" s="102"/>
      <c r="T251" s="102"/>
      <c r="U251" s="102"/>
      <c r="V251" s="102"/>
      <c r="W251" s="102"/>
      <c r="X251" s="102"/>
      <c r="Y251" s="102"/>
      <c r="Z251" s="102"/>
    </row>
    <row r="252" spans="1:26" x14ac:dyDescent="0.3">
      <c r="A252" s="11"/>
      <c r="B252" s="11"/>
      <c r="C252" s="11"/>
      <c r="D252" s="11"/>
      <c r="E252" s="11"/>
      <c r="F252" s="11"/>
      <c r="G252" s="11"/>
      <c r="H252" s="11"/>
      <c r="I252" s="91"/>
      <c r="J252" s="102"/>
      <c r="K252" s="102"/>
      <c r="L252" s="102"/>
      <c r="M252" s="102"/>
      <c r="N252" s="102"/>
      <c r="O252" s="102"/>
      <c r="P252" s="102"/>
      <c r="Q252" s="102"/>
      <c r="R252" s="102"/>
      <c r="S252" s="102"/>
      <c r="T252" s="102"/>
      <c r="U252" s="102"/>
      <c r="V252" s="102"/>
      <c r="W252" s="102"/>
      <c r="X252" s="102"/>
      <c r="Y252" s="102"/>
      <c r="Z252" s="102"/>
    </row>
    <row r="253" spans="1:26" x14ac:dyDescent="0.3">
      <c r="A253" s="106">
        <v>2</v>
      </c>
      <c r="B253" s="131" t="s">
        <v>3214</v>
      </c>
      <c r="C253" s="105" t="s">
        <v>3215</v>
      </c>
      <c r="D253" s="11"/>
      <c r="E253" s="11"/>
      <c r="F253" s="11"/>
      <c r="G253" s="11"/>
      <c r="H253" s="11"/>
      <c r="I253" s="91"/>
      <c r="J253" s="102"/>
      <c r="K253" s="102"/>
      <c r="L253" s="102"/>
      <c r="M253" s="102"/>
      <c r="N253" s="102"/>
      <c r="O253" s="102"/>
      <c r="P253" s="102"/>
      <c r="Q253" s="102"/>
      <c r="R253" s="102"/>
      <c r="S253" s="102"/>
      <c r="T253" s="102"/>
      <c r="U253" s="102"/>
      <c r="V253" s="102"/>
      <c r="W253" s="102"/>
      <c r="X253" s="102"/>
      <c r="Y253" s="102"/>
      <c r="Z253" s="102"/>
    </row>
    <row r="254" spans="1:26" x14ac:dyDescent="0.3">
      <c r="A254" s="109">
        <v>2.1</v>
      </c>
      <c r="B254" s="11"/>
      <c r="C254" s="105" t="s">
        <v>3216</v>
      </c>
      <c r="D254" s="11"/>
      <c r="E254" s="11"/>
      <c r="F254" s="11"/>
      <c r="G254" s="11"/>
      <c r="H254" s="11"/>
      <c r="I254" s="91"/>
      <c r="J254" s="102"/>
      <c r="K254" s="102"/>
      <c r="L254" s="102"/>
      <c r="M254" s="102"/>
      <c r="N254" s="102"/>
      <c r="O254" s="102"/>
      <c r="P254" s="102"/>
      <c r="Q254" s="102"/>
      <c r="R254" s="102"/>
      <c r="S254" s="102"/>
      <c r="T254" s="102"/>
      <c r="U254" s="102"/>
      <c r="V254" s="102"/>
      <c r="W254" s="102"/>
      <c r="X254" s="102"/>
      <c r="Y254" s="102"/>
      <c r="Z254" s="102"/>
    </row>
    <row r="255" spans="1:26" x14ac:dyDescent="0.3">
      <c r="A255" s="9"/>
      <c r="B255" s="9"/>
      <c r="C255" s="9" t="s">
        <v>3217</v>
      </c>
      <c r="D255" s="9"/>
      <c r="E255" s="9"/>
      <c r="F255" s="9"/>
      <c r="G255" s="9"/>
      <c r="H255" s="9"/>
      <c r="I255" s="108"/>
      <c r="J255" s="102"/>
      <c r="K255" s="102"/>
      <c r="L255" s="102"/>
      <c r="M255" s="102"/>
      <c r="N255" s="102"/>
      <c r="O255" s="102"/>
      <c r="P255" s="102"/>
      <c r="Q255" s="102"/>
      <c r="R255" s="102"/>
      <c r="S255" s="102"/>
      <c r="T255" s="102"/>
      <c r="U255" s="102"/>
      <c r="V255" s="102"/>
      <c r="W255" s="102"/>
      <c r="X255" s="102"/>
      <c r="Y255" s="102"/>
      <c r="Z255" s="102"/>
    </row>
    <row r="256" spans="1:26" x14ac:dyDescent="0.3">
      <c r="A256" s="95" t="s">
        <v>3218</v>
      </c>
      <c r="B256" s="95" t="s">
        <v>3219</v>
      </c>
      <c r="C256" s="96" t="s">
        <v>3220</v>
      </c>
      <c r="D256" s="95" t="s">
        <v>3221</v>
      </c>
      <c r="E256" s="111">
        <v>5</v>
      </c>
      <c r="F256" s="112"/>
      <c r="G256" s="112"/>
      <c r="H256" s="113">
        <f t="shared" ref="H256:H259" si="36">E256*F256</f>
        <v>0</v>
      </c>
      <c r="I256" s="113">
        <f t="shared" ref="I256:I259" si="37">E256*G256</f>
        <v>0</v>
      </c>
      <c r="J256" s="102"/>
      <c r="K256" s="102"/>
      <c r="L256" s="102"/>
      <c r="M256" s="102"/>
      <c r="N256" s="102"/>
      <c r="O256" s="102"/>
      <c r="P256" s="102"/>
      <c r="Q256" s="102"/>
      <c r="R256" s="102"/>
      <c r="S256" s="102"/>
      <c r="T256" s="102"/>
      <c r="U256" s="102"/>
      <c r="V256" s="102"/>
      <c r="W256" s="102"/>
      <c r="X256" s="102"/>
      <c r="Y256" s="102"/>
      <c r="Z256" s="102"/>
    </row>
    <row r="257" spans="1:26" x14ac:dyDescent="0.3">
      <c r="A257" s="95" t="s">
        <v>3222</v>
      </c>
      <c r="B257" s="95" t="s">
        <v>3223</v>
      </c>
      <c r="C257" s="96" t="s">
        <v>3224</v>
      </c>
      <c r="D257" s="95" t="s">
        <v>3225</v>
      </c>
      <c r="E257" s="111">
        <v>24</v>
      </c>
      <c r="F257" s="112"/>
      <c r="G257" s="112"/>
      <c r="H257" s="113">
        <f t="shared" si="36"/>
        <v>0</v>
      </c>
      <c r="I257" s="113">
        <f t="shared" si="37"/>
        <v>0</v>
      </c>
      <c r="J257" s="102"/>
      <c r="K257" s="102"/>
      <c r="L257" s="102"/>
      <c r="M257" s="102"/>
      <c r="N257" s="102"/>
      <c r="O257" s="102"/>
      <c r="P257" s="102"/>
      <c r="Q257" s="102"/>
      <c r="R257" s="102"/>
      <c r="S257" s="102"/>
      <c r="T257" s="102"/>
      <c r="U257" s="102"/>
      <c r="V257" s="102"/>
      <c r="W257" s="102"/>
      <c r="X257" s="102"/>
      <c r="Y257" s="102"/>
      <c r="Z257" s="102"/>
    </row>
    <row r="258" spans="1:26" x14ac:dyDescent="0.3">
      <c r="A258" s="95" t="s">
        <v>3226</v>
      </c>
      <c r="B258" s="95" t="s">
        <v>3227</v>
      </c>
      <c r="C258" s="96" t="s">
        <v>3228</v>
      </c>
      <c r="D258" s="95" t="s">
        <v>3229</v>
      </c>
      <c r="E258" s="111">
        <v>6</v>
      </c>
      <c r="F258" s="112"/>
      <c r="G258" s="112"/>
      <c r="H258" s="113">
        <f t="shared" si="36"/>
        <v>0</v>
      </c>
      <c r="I258" s="113">
        <f t="shared" si="37"/>
        <v>0</v>
      </c>
      <c r="J258" s="102"/>
      <c r="K258" s="102"/>
      <c r="L258" s="102"/>
      <c r="M258" s="102"/>
      <c r="N258" s="102"/>
      <c r="O258" s="102"/>
      <c r="P258" s="102"/>
      <c r="Q258" s="102"/>
      <c r="R258" s="102"/>
      <c r="S258" s="102"/>
      <c r="T258" s="102"/>
      <c r="U258" s="102"/>
      <c r="V258" s="102"/>
      <c r="W258" s="102"/>
      <c r="X258" s="102"/>
      <c r="Y258" s="102"/>
      <c r="Z258" s="102"/>
    </row>
    <row r="259" spans="1:26" x14ac:dyDescent="0.3">
      <c r="A259" s="95" t="s">
        <v>3230</v>
      </c>
      <c r="B259" s="95" t="s">
        <v>3231</v>
      </c>
      <c r="C259" s="96" t="s">
        <v>3232</v>
      </c>
      <c r="D259" s="95" t="s">
        <v>3233</v>
      </c>
      <c r="E259" s="111">
        <v>11</v>
      </c>
      <c r="F259" s="112"/>
      <c r="G259" s="112"/>
      <c r="H259" s="113">
        <f t="shared" si="36"/>
        <v>0</v>
      </c>
      <c r="I259" s="113">
        <f t="shared" si="37"/>
        <v>0</v>
      </c>
      <c r="J259" s="102"/>
      <c r="K259" s="102"/>
      <c r="L259" s="102"/>
      <c r="M259" s="102"/>
      <c r="N259" s="102"/>
      <c r="O259" s="102"/>
      <c r="P259" s="102"/>
      <c r="Q259" s="102"/>
      <c r="R259" s="102"/>
      <c r="S259" s="102"/>
      <c r="T259" s="102"/>
      <c r="U259" s="102"/>
      <c r="V259" s="102"/>
      <c r="W259" s="102"/>
      <c r="X259" s="102"/>
      <c r="Y259" s="102"/>
      <c r="Z259" s="102"/>
    </row>
    <row r="260" spans="1:26" x14ac:dyDescent="0.3">
      <c r="A260" s="11"/>
      <c r="B260" s="11"/>
      <c r="C260" s="11"/>
      <c r="D260" s="11"/>
      <c r="E260" s="11"/>
      <c r="F260" s="11"/>
      <c r="G260" s="11"/>
      <c r="H260" s="11"/>
      <c r="I260" s="91"/>
      <c r="J260" s="102"/>
      <c r="K260" s="102"/>
      <c r="L260" s="102"/>
      <c r="M260" s="102"/>
      <c r="N260" s="102"/>
      <c r="O260" s="102"/>
      <c r="P260" s="102"/>
      <c r="Q260" s="102"/>
      <c r="R260" s="102"/>
      <c r="S260" s="102"/>
      <c r="T260" s="102"/>
      <c r="U260" s="102"/>
      <c r="V260" s="102"/>
      <c r="W260" s="102"/>
      <c r="X260" s="102"/>
      <c r="Y260" s="102"/>
      <c r="Z260" s="102"/>
    </row>
    <row r="261" spans="1:26" x14ac:dyDescent="0.3">
      <c r="A261" s="129">
        <v>2.2000000000000002</v>
      </c>
      <c r="B261" s="10"/>
      <c r="C261" s="105" t="s">
        <v>3234</v>
      </c>
      <c r="D261" s="10"/>
      <c r="E261" s="10"/>
      <c r="F261" s="10"/>
      <c r="G261" s="10"/>
      <c r="H261" s="10"/>
      <c r="I261" s="117"/>
      <c r="J261" s="102"/>
      <c r="K261" s="102"/>
      <c r="L261" s="102"/>
      <c r="M261" s="102"/>
      <c r="N261" s="102"/>
      <c r="O261" s="102"/>
      <c r="P261" s="102"/>
      <c r="Q261" s="102"/>
      <c r="R261" s="102"/>
      <c r="S261" s="102"/>
      <c r="T261" s="102"/>
      <c r="U261" s="102"/>
      <c r="V261" s="102"/>
      <c r="W261" s="102"/>
      <c r="X261" s="102"/>
      <c r="Y261" s="102"/>
      <c r="Z261" s="102"/>
    </row>
    <row r="262" spans="1:26" x14ac:dyDescent="0.3">
      <c r="A262" s="9"/>
      <c r="B262" s="9"/>
      <c r="C262" s="9" t="s">
        <v>3235</v>
      </c>
      <c r="D262" s="9"/>
      <c r="E262" s="9"/>
      <c r="F262" s="9"/>
      <c r="G262" s="9"/>
      <c r="H262" s="9"/>
      <c r="I262" s="108"/>
      <c r="J262" s="102"/>
      <c r="K262" s="102"/>
      <c r="L262" s="102"/>
      <c r="M262" s="102"/>
      <c r="N262" s="102"/>
      <c r="O262" s="102"/>
      <c r="P262" s="102"/>
      <c r="Q262" s="102"/>
      <c r="R262" s="102"/>
      <c r="S262" s="102"/>
      <c r="T262" s="102"/>
      <c r="U262" s="102"/>
      <c r="V262" s="102"/>
      <c r="W262" s="102"/>
      <c r="X262" s="102"/>
      <c r="Y262" s="102"/>
      <c r="Z262" s="102"/>
    </row>
    <row r="263" spans="1:26" x14ac:dyDescent="0.3">
      <c r="A263" s="11"/>
      <c r="B263" s="11"/>
      <c r="C263" s="11"/>
      <c r="D263" s="11"/>
      <c r="E263" s="11"/>
      <c r="F263" s="11"/>
      <c r="G263" s="11"/>
      <c r="H263" s="11"/>
      <c r="I263" s="91"/>
      <c r="J263" s="102"/>
      <c r="K263" s="102"/>
      <c r="L263" s="102"/>
      <c r="M263" s="102"/>
      <c r="N263" s="102"/>
      <c r="O263" s="102"/>
      <c r="P263" s="102"/>
      <c r="Q263" s="102"/>
      <c r="R263" s="102"/>
      <c r="S263" s="102"/>
      <c r="T263" s="102"/>
      <c r="U263" s="102"/>
      <c r="V263" s="102"/>
      <c r="W263" s="102"/>
      <c r="X263" s="102"/>
      <c r="Y263" s="102"/>
      <c r="Z263" s="102"/>
    </row>
    <row r="264" spans="1:26" x14ac:dyDescent="0.3">
      <c r="A264" s="95" t="s">
        <v>3236</v>
      </c>
      <c r="B264" s="95" t="s">
        <v>3237</v>
      </c>
      <c r="C264" s="96" t="s">
        <v>3238</v>
      </c>
      <c r="D264" s="95" t="s">
        <v>3239</v>
      </c>
      <c r="E264" s="106">
        <v>0</v>
      </c>
      <c r="F264" s="11"/>
      <c r="G264" s="112"/>
      <c r="H264" s="11"/>
      <c r="I264" s="91"/>
      <c r="J264" s="102"/>
      <c r="K264" s="102"/>
      <c r="L264" s="102"/>
      <c r="M264" s="102"/>
      <c r="N264" s="102"/>
      <c r="O264" s="102"/>
      <c r="P264" s="102"/>
      <c r="Q264" s="102"/>
      <c r="R264" s="102"/>
      <c r="S264" s="102"/>
      <c r="T264" s="102"/>
      <c r="U264" s="102"/>
      <c r="V264" s="102"/>
      <c r="W264" s="102"/>
      <c r="X264" s="102"/>
      <c r="Y264" s="102"/>
      <c r="Z264" s="102"/>
    </row>
    <row r="265" spans="1:26" x14ac:dyDescent="0.3">
      <c r="A265" s="95" t="s">
        <v>3240</v>
      </c>
      <c r="B265" s="95" t="s">
        <v>3241</v>
      </c>
      <c r="C265" s="96" t="s">
        <v>3242</v>
      </c>
      <c r="D265" s="95" t="s">
        <v>3243</v>
      </c>
      <c r="E265" s="106">
        <v>0</v>
      </c>
      <c r="F265" s="11"/>
      <c r="G265" s="112"/>
      <c r="H265" s="11"/>
      <c r="I265" s="91"/>
      <c r="J265" s="102"/>
      <c r="K265" s="102"/>
      <c r="L265" s="102"/>
      <c r="M265" s="102"/>
      <c r="N265" s="102"/>
      <c r="O265" s="102"/>
      <c r="P265" s="102"/>
      <c r="Q265" s="102"/>
      <c r="R265" s="102"/>
      <c r="S265" s="102"/>
      <c r="T265" s="102"/>
      <c r="U265" s="102"/>
      <c r="V265" s="102"/>
      <c r="W265" s="102"/>
      <c r="X265" s="102"/>
      <c r="Y265" s="102"/>
      <c r="Z265" s="102"/>
    </row>
    <row r="266" spans="1:26" x14ac:dyDescent="0.3">
      <c r="A266" s="95" t="s">
        <v>3244</v>
      </c>
      <c r="B266" s="95" t="s">
        <v>3245</v>
      </c>
      <c r="C266" s="96" t="s">
        <v>3246</v>
      </c>
      <c r="D266" s="95" t="s">
        <v>3247</v>
      </c>
      <c r="E266" s="111">
        <v>2</v>
      </c>
      <c r="F266" s="112"/>
      <c r="G266" s="112"/>
      <c r="H266" s="113">
        <f t="shared" ref="H266:H267" si="38">E266*F266</f>
        <v>0</v>
      </c>
      <c r="I266" s="113">
        <f t="shared" ref="I266:I267" si="39">E266*G266</f>
        <v>0</v>
      </c>
      <c r="J266" s="102"/>
      <c r="K266" s="102"/>
      <c r="L266" s="102"/>
      <c r="M266" s="102"/>
      <c r="N266" s="102"/>
      <c r="O266" s="102"/>
      <c r="P266" s="102"/>
      <c r="Q266" s="102"/>
      <c r="R266" s="102"/>
      <c r="S266" s="102"/>
      <c r="T266" s="102"/>
      <c r="U266" s="102"/>
      <c r="V266" s="102"/>
      <c r="W266" s="102"/>
      <c r="X266" s="102"/>
      <c r="Y266" s="102"/>
      <c r="Z266" s="102"/>
    </row>
    <row r="267" spans="1:26" x14ac:dyDescent="0.3">
      <c r="A267" s="95" t="s">
        <v>3248</v>
      </c>
      <c r="B267" s="95" t="s">
        <v>3249</v>
      </c>
      <c r="C267" s="96" t="s">
        <v>3250</v>
      </c>
      <c r="D267" s="95" t="s">
        <v>3251</v>
      </c>
      <c r="E267" s="111">
        <v>1</v>
      </c>
      <c r="F267" s="112"/>
      <c r="G267" s="112"/>
      <c r="H267" s="113">
        <f t="shared" si="38"/>
        <v>0</v>
      </c>
      <c r="I267" s="113">
        <f t="shared" si="39"/>
        <v>0</v>
      </c>
      <c r="J267" s="102"/>
      <c r="K267" s="102"/>
      <c r="L267" s="102"/>
      <c r="M267" s="102"/>
      <c r="N267" s="102"/>
      <c r="O267" s="102"/>
      <c r="P267" s="102"/>
      <c r="Q267" s="102"/>
      <c r="R267" s="102"/>
      <c r="S267" s="102"/>
      <c r="T267" s="102"/>
      <c r="U267" s="102"/>
      <c r="V267" s="102"/>
      <c r="W267" s="102"/>
      <c r="X267" s="102"/>
      <c r="Y267" s="102"/>
      <c r="Z267" s="102"/>
    </row>
    <row r="268" spans="1:26" x14ac:dyDescent="0.3">
      <c r="A268" s="95" t="s">
        <v>3252</v>
      </c>
      <c r="B268" s="95" t="s">
        <v>3253</v>
      </c>
      <c r="C268" s="96" t="s">
        <v>3254</v>
      </c>
      <c r="D268" s="95" t="s">
        <v>3255</v>
      </c>
      <c r="E268" s="106">
        <v>0</v>
      </c>
      <c r="F268" s="11"/>
      <c r="G268" s="112"/>
      <c r="H268" s="11"/>
      <c r="I268" s="91"/>
      <c r="J268" s="102"/>
      <c r="K268" s="102"/>
      <c r="L268" s="102"/>
      <c r="M268" s="102"/>
      <c r="N268" s="102"/>
      <c r="O268" s="102"/>
      <c r="P268" s="102"/>
      <c r="Q268" s="102"/>
      <c r="R268" s="102"/>
      <c r="S268" s="102"/>
      <c r="T268" s="102"/>
      <c r="U268" s="102"/>
      <c r="V268" s="102"/>
      <c r="W268" s="102"/>
      <c r="X268" s="102"/>
      <c r="Y268" s="102"/>
      <c r="Z268" s="102"/>
    </row>
    <row r="269" spans="1:26" x14ac:dyDescent="0.3">
      <c r="A269" s="95" t="s">
        <v>3256</v>
      </c>
      <c r="B269" s="95" t="s">
        <v>3257</v>
      </c>
      <c r="C269" s="96" t="s">
        <v>3258</v>
      </c>
      <c r="D269" s="95" t="s">
        <v>3259</v>
      </c>
      <c r="E269" s="111">
        <v>2</v>
      </c>
      <c r="F269" s="112"/>
      <c r="G269" s="112"/>
      <c r="H269" s="113">
        <f t="shared" ref="H269:H270" si="40">E269*F269</f>
        <v>0</v>
      </c>
      <c r="I269" s="113">
        <f t="shared" ref="I269:I270" si="41">E269*G269</f>
        <v>0</v>
      </c>
      <c r="J269" s="102"/>
      <c r="K269" s="102"/>
      <c r="L269" s="102"/>
      <c r="M269" s="102"/>
      <c r="N269" s="102"/>
      <c r="O269" s="102"/>
      <c r="P269" s="102"/>
      <c r="Q269" s="102"/>
      <c r="R269" s="102"/>
      <c r="S269" s="102"/>
      <c r="T269" s="102"/>
      <c r="U269" s="102"/>
      <c r="V269" s="102"/>
      <c r="W269" s="102"/>
      <c r="X269" s="102"/>
      <c r="Y269" s="102"/>
      <c r="Z269" s="102"/>
    </row>
    <row r="270" spans="1:26" x14ac:dyDescent="0.3">
      <c r="A270" s="95" t="s">
        <v>3260</v>
      </c>
      <c r="B270" s="95" t="s">
        <v>3261</v>
      </c>
      <c r="C270" s="96" t="s">
        <v>3262</v>
      </c>
      <c r="D270" s="95" t="s">
        <v>3263</v>
      </c>
      <c r="E270" s="111">
        <v>2</v>
      </c>
      <c r="F270" s="112"/>
      <c r="G270" s="112"/>
      <c r="H270" s="113">
        <f t="shared" si="40"/>
        <v>0</v>
      </c>
      <c r="I270" s="113">
        <f t="shared" si="41"/>
        <v>0</v>
      </c>
      <c r="J270" s="102"/>
      <c r="K270" s="102"/>
      <c r="L270" s="102"/>
      <c r="M270" s="102"/>
      <c r="N270" s="102"/>
      <c r="O270" s="102"/>
      <c r="P270" s="102"/>
      <c r="Q270" s="102"/>
      <c r="R270" s="102"/>
      <c r="S270" s="102"/>
      <c r="T270" s="102"/>
      <c r="U270" s="102"/>
      <c r="V270" s="102"/>
      <c r="W270" s="102"/>
      <c r="X270" s="102"/>
      <c r="Y270" s="102"/>
      <c r="Z270" s="102"/>
    </row>
    <row r="271" spans="1:26" x14ac:dyDescent="0.3">
      <c r="A271" s="95" t="s">
        <v>3264</v>
      </c>
      <c r="B271" s="95" t="s">
        <v>3265</v>
      </c>
      <c r="C271" s="96" t="s">
        <v>3266</v>
      </c>
      <c r="D271" s="95" t="s">
        <v>3267</v>
      </c>
      <c r="E271" s="106">
        <v>0</v>
      </c>
      <c r="F271" s="11"/>
      <c r="G271" s="112"/>
      <c r="H271" s="11"/>
      <c r="I271" s="91"/>
      <c r="J271" s="102"/>
      <c r="K271" s="102"/>
      <c r="L271" s="102"/>
      <c r="M271" s="102"/>
      <c r="N271" s="102"/>
      <c r="O271" s="102"/>
      <c r="P271" s="102"/>
      <c r="Q271" s="102"/>
      <c r="R271" s="102"/>
      <c r="S271" s="102"/>
      <c r="T271" s="102"/>
      <c r="U271" s="102"/>
      <c r="V271" s="102"/>
      <c r="W271" s="102"/>
      <c r="X271" s="102"/>
      <c r="Y271" s="102"/>
      <c r="Z271" s="102"/>
    </row>
    <row r="272" spans="1:26" x14ac:dyDescent="0.3">
      <c r="A272" s="95" t="s">
        <v>3268</v>
      </c>
      <c r="B272" s="95" t="s">
        <v>3269</v>
      </c>
      <c r="C272" s="96" t="s">
        <v>3270</v>
      </c>
      <c r="D272" s="95" t="s">
        <v>3271</v>
      </c>
      <c r="E272" s="106">
        <v>0</v>
      </c>
      <c r="F272" s="11"/>
      <c r="G272" s="112"/>
      <c r="H272" s="11"/>
      <c r="I272" s="91"/>
      <c r="J272" s="102"/>
      <c r="K272" s="102"/>
      <c r="L272" s="102"/>
      <c r="M272" s="102"/>
      <c r="N272" s="102"/>
      <c r="O272" s="102"/>
      <c r="P272" s="102"/>
      <c r="Q272" s="102"/>
      <c r="R272" s="102"/>
      <c r="S272" s="102"/>
      <c r="T272" s="102"/>
      <c r="U272" s="102"/>
      <c r="V272" s="102"/>
      <c r="W272" s="102"/>
      <c r="X272" s="102"/>
      <c r="Y272" s="102"/>
      <c r="Z272" s="102"/>
    </row>
    <row r="273" spans="1:26" x14ac:dyDescent="0.3">
      <c r="A273" s="135">
        <v>40211</v>
      </c>
      <c r="B273" s="95" t="s">
        <v>3272</v>
      </c>
      <c r="C273" s="96" t="s">
        <v>3273</v>
      </c>
      <c r="D273" s="95" t="s">
        <v>3274</v>
      </c>
      <c r="E273" s="106">
        <v>0</v>
      </c>
      <c r="F273" s="11"/>
      <c r="G273" s="112"/>
      <c r="H273" s="11"/>
      <c r="I273" s="91"/>
      <c r="J273" s="102"/>
      <c r="K273" s="102"/>
      <c r="L273" s="102"/>
      <c r="M273" s="102"/>
      <c r="N273" s="102"/>
      <c r="O273" s="102"/>
      <c r="P273" s="102"/>
      <c r="Q273" s="102"/>
      <c r="R273" s="102"/>
      <c r="S273" s="102"/>
      <c r="T273" s="102"/>
      <c r="U273" s="102"/>
      <c r="V273" s="102"/>
      <c r="W273" s="102"/>
      <c r="X273" s="102"/>
      <c r="Y273" s="102"/>
      <c r="Z273" s="102"/>
    </row>
    <row r="274" spans="1:26" x14ac:dyDescent="0.3">
      <c r="A274" s="135">
        <v>40576</v>
      </c>
      <c r="B274" s="95" t="s">
        <v>3275</v>
      </c>
      <c r="C274" s="96" t="s">
        <v>3276</v>
      </c>
      <c r="D274" s="95" t="s">
        <v>3277</v>
      </c>
      <c r="E274" s="106">
        <v>0</v>
      </c>
      <c r="F274" s="11"/>
      <c r="G274" s="112"/>
      <c r="H274" s="11"/>
      <c r="I274" s="91"/>
      <c r="J274" s="102"/>
      <c r="K274" s="102"/>
      <c r="L274" s="102"/>
      <c r="M274" s="102"/>
      <c r="N274" s="102"/>
      <c r="O274" s="102"/>
      <c r="P274" s="102"/>
      <c r="Q274" s="102"/>
      <c r="R274" s="102"/>
      <c r="S274" s="102"/>
      <c r="T274" s="102"/>
      <c r="U274" s="102"/>
      <c r="V274" s="102"/>
      <c r="W274" s="102"/>
      <c r="X274" s="102"/>
      <c r="Y274" s="102"/>
      <c r="Z274" s="102"/>
    </row>
    <row r="275" spans="1:26" x14ac:dyDescent="0.3">
      <c r="A275" s="11"/>
      <c r="B275" s="11"/>
      <c r="C275" s="11"/>
      <c r="D275" s="11"/>
      <c r="E275" s="11"/>
      <c r="F275" s="11"/>
      <c r="G275" s="11"/>
      <c r="H275" s="11"/>
      <c r="I275" s="91"/>
      <c r="J275" s="102"/>
      <c r="K275" s="102"/>
      <c r="L275" s="102"/>
      <c r="M275" s="102"/>
      <c r="N275" s="102"/>
      <c r="O275" s="102"/>
      <c r="P275" s="102"/>
      <c r="Q275" s="102"/>
      <c r="R275" s="102"/>
      <c r="S275" s="102"/>
      <c r="T275" s="102"/>
      <c r="U275" s="102"/>
      <c r="V275" s="102"/>
      <c r="W275" s="102"/>
      <c r="X275" s="102"/>
      <c r="Y275" s="102"/>
      <c r="Z275" s="102"/>
    </row>
    <row r="276" spans="1:26" x14ac:dyDescent="0.3">
      <c r="A276" s="106">
        <v>4</v>
      </c>
      <c r="B276" s="95" t="s">
        <v>3278</v>
      </c>
      <c r="C276" s="105" t="s">
        <v>3279</v>
      </c>
      <c r="D276" s="11"/>
      <c r="E276" s="11"/>
      <c r="F276" s="11"/>
      <c r="G276" s="11"/>
      <c r="H276" s="11"/>
      <c r="I276" s="91"/>
      <c r="J276" s="102"/>
      <c r="K276" s="102"/>
      <c r="L276" s="102"/>
      <c r="M276" s="102"/>
      <c r="N276" s="102"/>
      <c r="O276" s="102"/>
      <c r="P276" s="102"/>
      <c r="Q276" s="102"/>
      <c r="R276" s="102"/>
      <c r="S276" s="102"/>
      <c r="T276" s="102"/>
      <c r="U276" s="102"/>
      <c r="V276" s="102"/>
      <c r="W276" s="102"/>
      <c r="X276" s="102"/>
      <c r="Y276" s="102"/>
      <c r="Z276" s="102"/>
    </row>
    <row r="277" spans="1:26" x14ac:dyDescent="0.3">
      <c r="A277" s="9"/>
      <c r="B277" s="9"/>
      <c r="C277" s="96" t="s">
        <v>3280</v>
      </c>
      <c r="D277" s="9"/>
      <c r="E277" s="9"/>
      <c r="F277" s="9"/>
      <c r="G277" s="9"/>
      <c r="H277" s="9"/>
      <c r="I277" s="108"/>
      <c r="J277" s="102"/>
      <c r="K277" s="102"/>
      <c r="L277" s="102"/>
      <c r="M277" s="102"/>
      <c r="N277" s="102"/>
      <c r="O277" s="102"/>
      <c r="P277" s="102"/>
      <c r="Q277" s="102"/>
      <c r="R277" s="102"/>
      <c r="S277" s="102"/>
      <c r="T277" s="102"/>
      <c r="U277" s="102"/>
      <c r="V277" s="102"/>
      <c r="W277" s="102"/>
      <c r="X277" s="102"/>
      <c r="Y277" s="102"/>
      <c r="Z277" s="102"/>
    </row>
    <row r="278" spans="1:26" x14ac:dyDescent="0.3">
      <c r="A278" s="11"/>
      <c r="B278" s="11"/>
      <c r="C278" s="11"/>
      <c r="D278" s="11"/>
      <c r="E278" s="11"/>
      <c r="F278" s="11"/>
      <c r="G278" s="11"/>
      <c r="H278" s="11"/>
      <c r="I278" s="91"/>
      <c r="J278" s="102"/>
      <c r="K278" s="102"/>
      <c r="L278" s="102"/>
      <c r="M278" s="102"/>
      <c r="N278" s="102"/>
      <c r="O278" s="102"/>
      <c r="P278" s="102"/>
      <c r="Q278" s="102"/>
      <c r="R278" s="102"/>
      <c r="S278" s="102"/>
      <c r="T278" s="102"/>
      <c r="U278" s="102"/>
      <c r="V278" s="102"/>
      <c r="W278" s="102"/>
      <c r="X278" s="102"/>
      <c r="Y278" s="102"/>
      <c r="Z278" s="102"/>
    </row>
    <row r="279" spans="1:26" x14ac:dyDescent="0.3">
      <c r="A279" s="11"/>
      <c r="B279" s="11"/>
      <c r="C279" s="96" t="s">
        <v>3281</v>
      </c>
      <c r="D279" s="11"/>
      <c r="E279" s="11"/>
      <c r="F279" s="11"/>
      <c r="G279" s="11"/>
      <c r="H279" s="11"/>
      <c r="I279" s="91"/>
      <c r="J279" s="102"/>
      <c r="K279" s="102"/>
      <c r="L279" s="102"/>
      <c r="M279" s="102"/>
      <c r="N279" s="102"/>
      <c r="O279" s="102"/>
      <c r="P279" s="102"/>
      <c r="Q279" s="102"/>
      <c r="R279" s="102"/>
      <c r="S279" s="102"/>
      <c r="T279" s="102"/>
      <c r="U279" s="102"/>
      <c r="V279" s="102"/>
      <c r="W279" s="102"/>
      <c r="X279" s="102"/>
      <c r="Y279" s="102"/>
      <c r="Z279" s="102"/>
    </row>
    <row r="280" spans="1:26" x14ac:dyDescent="0.3">
      <c r="A280" s="109">
        <v>4.0999999999999996</v>
      </c>
      <c r="B280" s="95" t="s">
        <v>3282</v>
      </c>
      <c r="C280" s="96" t="s">
        <v>3283</v>
      </c>
      <c r="D280" s="95" t="s">
        <v>3284</v>
      </c>
      <c r="E280" s="111">
        <v>8</v>
      </c>
      <c r="F280" s="112"/>
      <c r="G280" s="112"/>
      <c r="H280" s="113">
        <f t="shared" ref="H280:H281" si="42">E280*F280</f>
        <v>0</v>
      </c>
      <c r="I280" s="113">
        <f t="shared" ref="I280:I281" si="43">E280*G280</f>
        <v>0</v>
      </c>
      <c r="J280" s="102"/>
      <c r="K280" s="102"/>
      <c r="L280" s="102"/>
      <c r="M280" s="102"/>
      <c r="N280" s="102"/>
      <c r="O280" s="102"/>
      <c r="P280" s="102"/>
      <c r="Q280" s="102"/>
      <c r="R280" s="102"/>
      <c r="S280" s="102"/>
      <c r="T280" s="102"/>
      <c r="U280" s="102"/>
      <c r="V280" s="102"/>
      <c r="W280" s="102"/>
      <c r="X280" s="102"/>
      <c r="Y280" s="102"/>
      <c r="Z280" s="102"/>
    </row>
    <row r="281" spans="1:26" x14ac:dyDescent="0.3">
      <c r="A281" s="109">
        <v>4.2</v>
      </c>
      <c r="B281" s="95" t="s">
        <v>3285</v>
      </c>
      <c r="C281" s="96" t="s">
        <v>3286</v>
      </c>
      <c r="D281" s="95" t="s">
        <v>3287</v>
      </c>
      <c r="E281" s="111">
        <v>1</v>
      </c>
      <c r="F281" s="112"/>
      <c r="G281" s="112"/>
      <c r="H281" s="113">
        <f t="shared" si="42"/>
        <v>0</v>
      </c>
      <c r="I281" s="113">
        <f t="shared" si="43"/>
        <v>0</v>
      </c>
      <c r="J281" s="102"/>
      <c r="K281" s="102"/>
      <c r="L281" s="102"/>
      <c r="M281" s="102"/>
      <c r="N281" s="102"/>
      <c r="O281" s="102"/>
      <c r="P281" s="102"/>
      <c r="Q281" s="102"/>
      <c r="R281" s="102"/>
      <c r="S281" s="102"/>
      <c r="T281" s="102"/>
      <c r="U281" s="102"/>
      <c r="V281" s="102"/>
      <c r="W281" s="102"/>
      <c r="X281" s="102"/>
      <c r="Y281" s="102"/>
      <c r="Z281" s="102"/>
    </row>
    <row r="282" spans="1:26" x14ac:dyDescent="0.3">
      <c r="A282" s="11"/>
      <c r="B282" s="11"/>
      <c r="C282" s="11"/>
      <c r="D282" s="11"/>
      <c r="E282" s="11"/>
      <c r="F282" s="11"/>
      <c r="G282" s="11"/>
      <c r="H282" s="11"/>
      <c r="I282" s="91"/>
      <c r="J282" s="102"/>
      <c r="K282" s="102"/>
      <c r="L282" s="102"/>
      <c r="M282" s="102"/>
      <c r="N282" s="102"/>
      <c r="O282" s="102"/>
      <c r="P282" s="102"/>
      <c r="Q282" s="102"/>
      <c r="R282" s="102"/>
      <c r="S282" s="102"/>
      <c r="T282" s="102"/>
      <c r="U282" s="102"/>
      <c r="V282" s="102"/>
      <c r="W282" s="102"/>
      <c r="X282" s="102"/>
      <c r="Y282" s="102"/>
      <c r="Z282" s="102"/>
    </row>
    <row r="283" spans="1:26" x14ac:dyDescent="0.3">
      <c r="A283" s="106">
        <v>5</v>
      </c>
      <c r="B283" s="95" t="s">
        <v>3288</v>
      </c>
      <c r="C283" s="105" t="s">
        <v>3289</v>
      </c>
      <c r="D283" s="11"/>
      <c r="E283" s="11"/>
      <c r="F283" s="11"/>
      <c r="G283" s="11"/>
      <c r="H283" s="11"/>
      <c r="I283" s="91"/>
      <c r="J283" s="102"/>
      <c r="K283" s="102"/>
      <c r="L283" s="102"/>
      <c r="M283" s="102"/>
      <c r="N283" s="102"/>
      <c r="O283" s="102"/>
      <c r="P283" s="102"/>
      <c r="Q283" s="102"/>
      <c r="R283" s="102"/>
      <c r="S283" s="102"/>
      <c r="T283" s="102"/>
      <c r="U283" s="102"/>
      <c r="V283" s="102"/>
      <c r="W283" s="102"/>
      <c r="X283" s="102"/>
      <c r="Y283" s="102"/>
      <c r="Z283" s="102"/>
    </row>
    <row r="284" spans="1:26" x14ac:dyDescent="0.3">
      <c r="A284" s="109">
        <v>5.0999999999999996</v>
      </c>
      <c r="B284" s="95" t="s">
        <v>3290</v>
      </c>
      <c r="C284" s="96" t="s">
        <v>3291</v>
      </c>
      <c r="D284" s="11"/>
      <c r="E284" s="11"/>
      <c r="F284" s="11"/>
      <c r="G284" s="11"/>
      <c r="H284" s="11"/>
      <c r="I284" s="91"/>
      <c r="J284" s="102"/>
      <c r="K284" s="102"/>
      <c r="L284" s="102"/>
      <c r="M284" s="102"/>
      <c r="N284" s="102"/>
      <c r="O284" s="102"/>
      <c r="P284" s="102"/>
      <c r="Q284" s="102"/>
      <c r="R284" s="102"/>
      <c r="S284" s="102"/>
      <c r="T284" s="102"/>
      <c r="U284" s="102"/>
      <c r="V284" s="102"/>
      <c r="W284" s="102"/>
      <c r="X284" s="102"/>
      <c r="Y284" s="102"/>
      <c r="Z284" s="102"/>
    </row>
    <row r="285" spans="1:26" x14ac:dyDescent="0.3">
      <c r="A285" s="9"/>
      <c r="B285" s="9"/>
      <c r="C285" s="9" t="s">
        <v>3292</v>
      </c>
      <c r="D285" s="9"/>
      <c r="E285" s="9"/>
      <c r="F285" s="9"/>
      <c r="G285" s="9"/>
      <c r="H285" s="9"/>
      <c r="I285" s="108"/>
      <c r="J285" s="102"/>
      <c r="K285" s="102"/>
      <c r="L285" s="102"/>
      <c r="M285" s="102"/>
      <c r="N285" s="102"/>
      <c r="O285" s="102"/>
      <c r="P285" s="102"/>
      <c r="Q285" s="102"/>
      <c r="R285" s="102"/>
      <c r="S285" s="102"/>
      <c r="T285" s="102"/>
      <c r="U285" s="102"/>
      <c r="V285" s="102"/>
      <c r="W285" s="102"/>
      <c r="X285" s="102"/>
      <c r="Y285" s="102"/>
      <c r="Z285" s="102"/>
    </row>
    <row r="286" spans="1:26" x14ac:dyDescent="0.3">
      <c r="A286" s="11"/>
      <c r="B286" s="11"/>
      <c r="C286" s="96" t="s">
        <v>3293</v>
      </c>
      <c r="D286" s="11"/>
      <c r="E286" s="11"/>
      <c r="F286" s="11"/>
      <c r="G286" s="11"/>
      <c r="H286" s="11"/>
      <c r="I286" s="91"/>
      <c r="J286" s="102"/>
      <c r="K286" s="102"/>
      <c r="L286" s="102"/>
      <c r="M286" s="102"/>
      <c r="N286" s="102"/>
      <c r="O286" s="102"/>
      <c r="P286" s="102"/>
      <c r="Q286" s="102"/>
      <c r="R286" s="102"/>
      <c r="S286" s="102"/>
      <c r="T286" s="102"/>
      <c r="U286" s="102"/>
      <c r="V286" s="102"/>
      <c r="W286" s="102"/>
      <c r="X286" s="102"/>
      <c r="Y286" s="102"/>
      <c r="Z286" s="102"/>
    </row>
    <row r="287" spans="1:26" x14ac:dyDescent="0.3">
      <c r="A287" s="11"/>
      <c r="B287" s="11"/>
      <c r="C287" s="96" t="s">
        <v>3294</v>
      </c>
      <c r="D287" s="11"/>
      <c r="E287" s="11"/>
      <c r="F287" s="11"/>
      <c r="G287" s="11"/>
      <c r="H287" s="11"/>
      <c r="I287" s="91"/>
      <c r="J287" s="102"/>
      <c r="K287" s="102"/>
      <c r="L287" s="102"/>
      <c r="M287" s="102"/>
      <c r="N287" s="102"/>
      <c r="O287" s="102"/>
      <c r="P287" s="102"/>
      <c r="Q287" s="102"/>
      <c r="R287" s="102"/>
      <c r="S287" s="102"/>
      <c r="T287" s="102"/>
      <c r="U287" s="102"/>
      <c r="V287" s="102"/>
      <c r="W287" s="102"/>
      <c r="X287" s="102"/>
      <c r="Y287" s="102"/>
      <c r="Z287" s="102"/>
    </row>
    <row r="288" spans="1:26" x14ac:dyDescent="0.3">
      <c r="A288" s="11"/>
      <c r="B288" s="11"/>
      <c r="C288" s="96" t="s">
        <v>3295</v>
      </c>
      <c r="D288" s="11"/>
      <c r="E288" s="11"/>
      <c r="F288" s="11"/>
      <c r="G288" s="11"/>
      <c r="H288" s="11"/>
      <c r="I288" s="91"/>
      <c r="J288" s="102"/>
      <c r="K288" s="102"/>
      <c r="L288" s="102"/>
      <c r="M288" s="102"/>
      <c r="N288" s="102"/>
      <c r="O288" s="102"/>
      <c r="P288" s="102"/>
      <c r="Q288" s="102"/>
      <c r="R288" s="102"/>
      <c r="S288" s="102"/>
      <c r="T288" s="102"/>
      <c r="U288" s="102"/>
      <c r="V288" s="102"/>
      <c r="W288" s="102"/>
      <c r="X288" s="102"/>
      <c r="Y288" s="102"/>
      <c r="Z288" s="102"/>
    </row>
    <row r="289" spans="1:26" x14ac:dyDescent="0.3">
      <c r="A289" s="11"/>
      <c r="B289" s="11"/>
      <c r="C289" s="96" t="s">
        <v>3296</v>
      </c>
      <c r="D289" s="11"/>
      <c r="E289" s="11"/>
      <c r="F289" s="11"/>
      <c r="G289" s="11"/>
      <c r="H289" s="11"/>
      <c r="I289" s="91"/>
      <c r="J289" s="102"/>
      <c r="K289" s="102"/>
      <c r="L289" s="102"/>
      <c r="M289" s="102"/>
      <c r="N289" s="102"/>
      <c r="O289" s="102"/>
      <c r="P289" s="102"/>
      <c r="Q289" s="102"/>
      <c r="R289" s="102"/>
      <c r="S289" s="102"/>
      <c r="T289" s="102"/>
      <c r="U289" s="102"/>
      <c r="V289" s="102"/>
      <c r="W289" s="102"/>
      <c r="X289" s="102"/>
      <c r="Y289" s="102"/>
      <c r="Z289" s="102"/>
    </row>
    <row r="290" spans="1:26" x14ac:dyDescent="0.3">
      <c r="A290" s="11"/>
      <c r="B290" s="11"/>
      <c r="C290" s="96" t="s">
        <v>3297</v>
      </c>
      <c r="D290" s="11"/>
      <c r="E290" s="11"/>
      <c r="F290" s="11"/>
      <c r="G290" s="11"/>
      <c r="H290" s="11"/>
      <c r="I290" s="91"/>
      <c r="J290" s="102"/>
      <c r="K290" s="102"/>
      <c r="L290" s="102"/>
      <c r="M290" s="102"/>
      <c r="N290" s="102"/>
      <c r="O290" s="102"/>
      <c r="P290" s="102"/>
      <c r="Q290" s="102"/>
      <c r="R290" s="102"/>
      <c r="S290" s="102"/>
      <c r="T290" s="102"/>
      <c r="U290" s="102"/>
      <c r="V290" s="102"/>
      <c r="W290" s="102"/>
      <c r="X290" s="102"/>
      <c r="Y290" s="102"/>
      <c r="Z290" s="102"/>
    </row>
    <row r="291" spans="1:26" x14ac:dyDescent="0.3">
      <c r="A291" s="11"/>
      <c r="B291" s="11"/>
      <c r="C291" s="105" t="s">
        <v>3298</v>
      </c>
      <c r="D291" s="11"/>
      <c r="E291" s="11"/>
      <c r="F291" s="11"/>
      <c r="G291" s="11"/>
      <c r="H291" s="11"/>
      <c r="I291" s="91"/>
      <c r="J291" s="102"/>
      <c r="K291" s="102"/>
      <c r="L291" s="102"/>
      <c r="M291" s="102"/>
      <c r="N291" s="102"/>
      <c r="O291" s="102"/>
      <c r="P291" s="102"/>
      <c r="Q291" s="102"/>
      <c r="R291" s="102"/>
      <c r="S291" s="102"/>
      <c r="T291" s="102"/>
      <c r="U291" s="102"/>
      <c r="V291" s="102"/>
      <c r="W291" s="102"/>
      <c r="X291" s="102"/>
      <c r="Y291" s="102"/>
      <c r="Z291" s="102"/>
    </row>
    <row r="292" spans="1:26" x14ac:dyDescent="0.3">
      <c r="A292" s="10"/>
      <c r="B292" s="10"/>
      <c r="C292" s="9" t="s">
        <v>3299</v>
      </c>
      <c r="D292" s="10"/>
      <c r="E292" s="10"/>
      <c r="F292" s="10"/>
      <c r="G292" s="10"/>
      <c r="H292" s="10"/>
      <c r="I292" s="117"/>
      <c r="J292" s="102"/>
      <c r="K292" s="102"/>
      <c r="L292" s="102"/>
      <c r="M292" s="102"/>
      <c r="N292" s="102"/>
      <c r="O292" s="102"/>
      <c r="P292" s="102"/>
      <c r="Q292" s="102"/>
      <c r="R292" s="102"/>
      <c r="S292" s="102"/>
      <c r="T292" s="102"/>
      <c r="U292" s="102"/>
      <c r="V292" s="102"/>
      <c r="W292" s="102"/>
      <c r="X292" s="102"/>
      <c r="Y292" s="102"/>
      <c r="Z292" s="102"/>
    </row>
    <row r="293" spans="1:26" x14ac:dyDescent="0.3">
      <c r="A293" s="11"/>
      <c r="B293" s="11"/>
      <c r="C293" s="96" t="s">
        <v>3300</v>
      </c>
      <c r="D293" s="11"/>
      <c r="E293" s="11"/>
      <c r="F293" s="11"/>
      <c r="G293" s="11"/>
      <c r="H293" s="11"/>
      <c r="I293" s="91"/>
      <c r="J293" s="102"/>
      <c r="K293" s="102"/>
      <c r="L293" s="102"/>
      <c r="M293" s="102"/>
      <c r="N293" s="102"/>
      <c r="O293" s="102"/>
      <c r="P293" s="102"/>
      <c r="Q293" s="102"/>
      <c r="R293" s="102"/>
      <c r="S293" s="102"/>
      <c r="T293" s="102"/>
      <c r="U293" s="102"/>
      <c r="V293" s="102"/>
      <c r="W293" s="102"/>
      <c r="X293" s="102"/>
      <c r="Y293" s="102"/>
      <c r="Z293" s="102"/>
    </row>
    <row r="294" spans="1:26" x14ac:dyDescent="0.3">
      <c r="A294" s="10"/>
      <c r="B294" s="10"/>
      <c r="C294" s="96" t="s">
        <v>3301</v>
      </c>
      <c r="D294" s="10"/>
      <c r="E294" s="10"/>
      <c r="F294" s="10"/>
      <c r="G294" s="10"/>
      <c r="H294" s="10"/>
      <c r="I294" s="117"/>
      <c r="J294" s="102"/>
      <c r="K294" s="102"/>
      <c r="L294" s="102"/>
      <c r="M294" s="102"/>
      <c r="N294" s="102"/>
      <c r="O294" s="102"/>
      <c r="P294" s="102"/>
      <c r="Q294" s="102"/>
      <c r="R294" s="102"/>
      <c r="S294" s="102"/>
      <c r="T294" s="102"/>
      <c r="U294" s="102"/>
      <c r="V294" s="102"/>
      <c r="W294" s="102"/>
      <c r="X294" s="102"/>
      <c r="Y294" s="102"/>
      <c r="Z294" s="102"/>
    </row>
    <row r="295" spans="1:26" x14ac:dyDescent="0.3">
      <c r="A295" s="11"/>
      <c r="B295" s="11"/>
      <c r="C295" s="96" t="s">
        <v>3302</v>
      </c>
      <c r="D295" s="11"/>
      <c r="E295" s="11"/>
      <c r="F295" s="11"/>
      <c r="G295" s="11"/>
      <c r="H295" s="11"/>
      <c r="I295" s="91"/>
      <c r="J295" s="102"/>
      <c r="K295" s="102"/>
      <c r="L295" s="102"/>
      <c r="M295" s="102"/>
      <c r="N295" s="102"/>
      <c r="O295" s="102"/>
      <c r="P295" s="102"/>
      <c r="Q295" s="102"/>
      <c r="R295" s="102"/>
      <c r="S295" s="102"/>
      <c r="T295" s="102"/>
      <c r="U295" s="102"/>
      <c r="V295" s="102"/>
      <c r="W295" s="102"/>
      <c r="X295" s="102"/>
      <c r="Y295" s="102"/>
      <c r="Z295" s="102"/>
    </row>
    <row r="296" spans="1:26" x14ac:dyDescent="0.3">
      <c r="A296" s="11"/>
      <c r="B296" s="11"/>
      <c r="C296" s="96" t="s">
        <v>3303</v>
      </c>
      <c r="D296" s="96" t="s">
        <v>3304</v>
      </c>
      <c r="E296" s="111">
        <v>1</v>
      </c>
      <c r="F296" s="112"/>
      <c r="G296" s="112"/>
      <c r="H296" s="113">
        <f>E296*F296</f>
        <v>0</v>
      </c>
      <c r="I296" s="113">
        <f>E296*G296</f>
        <v>0</v>
      </c>
      <c r="J296" s="102"/>
      <c r="K296" s="102"/>
      <c r="L296" s="102"/>
      <c r="M296" s="102"/>
      <c r="N296" s="102"/>
      <c r="O296" s="102"/>
      <c r="P296" s="102"/>
      <c r="Q296" s="102"/>
      <c r="R296" s="102"/>
      <c r="S296" s="102"/>
      <c r="T296" s="102"/>
      <c r="U296" s="102"/>
      <c r="V296" s="102"/>
      <c r="W296" s="102"/>
      <c r="X296" s="102"/>
      <c r="Y296" s="102"/>
      <c r="Z296" s="102"/>
    </row>
    <row r="297" spans="1:26" x14ac:dyDescent="0.3">
      <c r="A297" s="10"/>
      <c r="B297" s="10"/>
      <c r="C297" s="105" t="s">
        <v>3305</v>
      </c>
      <c r="D297" s="10"/>
      <c r="E297" s="10"/>
      <c r="F297" s="10"/>
      <c r="G297" s="10"/>
      <c r="H297" s="10"/>
      <c r="I297" s="117"/>
      <c r="J297" s="102"/>
      <c r="K297" s="102"/>
      <c r="L297" s="102"/>
      <c r="M297" s="102"/>
      <c r="N297" s="102"/>
      <c r="O297" s="102"/>
      <c r="P297" s="102"/>
      <c r="Q297" s="102"/>
      <c r="R297" s="102"/>
      <c r="S297" s="102"/>
      <c r="T297" s="102"/>
      <c r="U297" s="102"/>
      <c r="V297" s="102"/>
      <c r="W297" s="102"/>
      <c r="X297" s="102"/>
      <c r="Y297" s="102"/>
      <c r="Z297" s="102"/>
    </row>
    <row r="298" spans="1:26" x14ac:dyDescent="0.3">
      <c r="A298" s="11"/>
      <c r="B298" s="11"/>
      <c r="C298" s="11"/>
      <c r="D298" s="11"/>
      <c r="E298" s="11"/>
      <c r="F298" s="11"/>
      <c r="G298" s="11"/>
      <c r="H298" s="11"/>
      <c r="I298" s="91"/>
      <c r="J298" s="102"/>
      <c r="K298" s="102"/>
      <c r="L298" s="102"/>
      <c r="M298" s="102"/>
      <c r="N298" s="102"/>
      <c r="O298" s="102"/>
      <c r="P298" s="102"/>
      <c r="Q298" s="102"/>
      <c r="R298" s="102"/>
      <c r="S298" s="102"/>
      <c r="T298" s="102"/>
      <c r="U298" s="102"/>
      <c r="V298" s="102"/>
      <c r="W298" s="102"/>
      <c r="X298" s="102"/>
      <c r="Y298" s="102"/>
      <c r="Z298" s="102"/>
    </row>
    <row r="299" spans="1:26" x14ac:dyDescent="0.3">
      <c r="A299" s="134">
        <v>5.2</v>
      </c>
      <c r="B299" s="95" t="s">
        <v>3306</v>
      </c>
      <c r="C299" s="96" t="s">
        <v>3307</v>
      </c>
      <c r="D299" s="11"/>
      <c r="E299" s="11"/>
      <c r="F299" s="11"/>
      <c r="G299" s="11"/>
      <c r="H299" s="11"/>
      <c r="I299" s="91"/>
      <c r="J299" s="102"/>
      <c r="K299" s="102"/>
      <c r="L299" s="102"/>
      <c r="M299" s="102"/>
      <c r="N299" s="102"/>
      <c r="O299" s="102"/>
      <c r="P299" s="102"/>
      <c r="Q299" s="102"/>
      <c r="R299" s="102"/>
      <c r="S299" s="102"/>
      <c r="T299" s="102"/>
      <c r="U299" s="102"/>
      <c r="V299" s="102"/>
      <c r="W299" s="102"/>
      <c r="X299" s="102"/>
      <c r="Y299" s="102"/>
      <c r="Z299" s="102"/>
    </row>
    <row r="300" spans="1:26" x14ac:dyDescent="0.3">
      <c r="A300" s="9"/>
      <c r="B300" s="9"/>
      <c r="C300" s="9" t="s">
        <v>3308</v>
      </c>
      <c r="D300" s="9"/>
      <c r="E300" s="9"/>
      <c r="F300" s="9"/>
      <c r="G300" s="9"/>
      <c r="H300" s="9"/>
      <c r="I300" s="108"/>
      <c r="J300" s="102"/>
      <c r="K300" s="102"/>
      <c r="L300" s="102"/>
      <c r="M300" s="102"/>
      <c r="N300" s="102"/>
      <c r="O300" s="102"/>
      <c r="P300" s="102"/>
      <c r="Q300" s="102"/>
      <c r="R300" s="102"/>
      <c r="S300" s="102"/>
      <c r="T300" s="102"/>
      <c r="U300" s="102"/>
      <c r="V300" s="102"/>
      <c r="W300" s="102"/>
      <c r="X300" s="102"/>
      <c r="Y300" s="102"/>
      <c r="Z300" s="102"/>
    </row>
    <row r="301" spans="1:26" x14ac:dyDescent="0.3">
      <c r="A301" s="11"/>
      <c r="B301" s="11"/>
      <c r="C301" s="96" t="s">
        <v>3309</v>
      </c>
      <c r="D301" s="11"/>
      <c r="E301" s="11"/>
      <c r="F301" s="11"/>
      <c r="G301" s="11"/>
      <c r="H301" s="11"/>
      <c r="I301" s="91"/>
      <c r="J301" s="102"/>
      <c r="K301" s="102"/>
      <c r="L301" s="102"/>
      <c r="M301" s="102"/>
      <c r="N301" s="102"/>
      <c r="O301" s="102"/>
      <c r="P301" s="102"/>
      <c r="Q301" s="102"/>
      <c r="R301" s="102"/>
      <c r="S301" s="102"/>
      <c r="T301" s="102"/>
      <c r="U301" s="102"/>
      <c r="V301" s="102"/>
      <c r="W301" s="102"/>
      <c r="X301" s="102"/>
      <c r="Y301" s="102"/>
      <c r="Z301" s="102"/>
    </row>
    <row r="302" spans="1:26" x14ac:dyDescent="0.3">
      <c r="A302" s="11"/>
      <c r="B302" s="11"/>
      <c r="C302" s="96" t="s">
        <v>3310</v>
      </c>
      <c r="D302" s="11"/>
      <c r="E302" s="11"/>
      <c r="F302" s="11"/>
      <c r="G302" s="11"/>
      <c r="H302" s="11"/>
      <c r="I302" s="91"/>
      <c r="J302" s="102"/>
      <c r="K302" s="102"/>
      <c r="L302" s="102"/>
      <c r="M302" s="102"/>
      <c r="N302" s="102"/>
      <c r="O302" s="102"/>
      <c r="P302" s="102"/>
      <c r="Q302" s="102"/>
      <c r="R302" s="102"/>
      <c r="S302" s="102"/>
      <c r="T302" s="102"/>
      <c r="U302" s="102"/>
      <c r="V302" s="102"/>
      <c r="W302" s="102"/>
      <c r="X302" s="102"/>
      <c r="Y302" s="102"/>
      <c r="Z302" s="102"/>
    </row>
    <row r="303" spans="1:26" x14ac:dyDescent="0.3">
      <c r="A303" s="11"/>
      <c r="B303" s="11"/>
      <c r="C303" s="96" t="s">
        <v>3311</v>
      </c>
      <c r="D303" s="11"/>
      <c r="E303" s="11"/>
      <c r="F303" s="11"/>
      <c r="G303" s="11"/>
      <c r="H303" s="11"/>
      <c r="I303" s="91"/>
      <c r="J303" s="102"/>
      <c r="K303" s="102"/>
      <c r="L303" s="102"/>
      <c r="M303" s="102"/>
      <c r="N303" s="102"/>
      <c r="O303" s="102"/>
      <c r="P303" s="102"/>
      <c r="Q303" s="102"/>
      <c r="R303" s="102"/>
      <c r="S303" s="102"/>
      <c r="T303" s="102"/>
      <c r="U303" s="102"/>
      <c r="V303" s="102"/>
      <c r="W303" s="102"/>
      <c r="X303" s="102"/>
      <c r="Y303" s="102"/>
      <c r="Z303" s="102"/>
    </row>
    <row r="304" spans="1:26" x14ac:dyDescent="0.3">
      <c r="A304" s="11"/>
      <c r="B304" s="11"/>
      <c r="C304" s="96" t="s">
        <v>3312</v>
      </c>
      <c r="D304" s="11"/>
      <c r="E304" s="11"/>
      <c r="F304" s="11"/>
      <c r="G304" s="11"/>
      <c r="H304" s="11"/>
      <c r="I304" s="91"/>
      <c r="J304" s="102"/>
      <c r="K304" s="102"/>
      <c r="L304" s="102"/>
      <c r="M304" s="102"/>
      <c r="N304" s="102"/>
      <c r="O304" s="102"/>
      <c r="P304" s="102"/>
      <c r="Q304" s="102"/>
      <c r="R304" s="102"/>
      <c r="S304" s="102"/>
      <c r="T304" s="102"/>
      <c r="U304" s="102"/>
      <c r="V304" s="102"/>
      <c r="W304" s="102"/>
      <c r="X304" s="102"/>
      <c r="Y304" s="102"/>
      <c r="Z304" s="102"/>
    </row>
    <row r="305" spans="1:26" x14ac:dyDescent="0.3">
      <c r="A305" s="11"/>
      <c r="B305" s="11"/>
      <c r="C305" s="96" t="s">
        <v>3313</v>
      </c>
      <c r="D305" s="11"/>
      <c r="E305" s="11"/>
      <c r="F305" s="11"/>
      <c r="G305" s="11"/>
      <c r="H305" s="11"/>
      <c r="I305" s="91"/>
      <c r="J305" s="102"/>
      <c r="K305" s="102"/>
      <c r="L305" s="102"/>
      <c r="M305" s="102"/>
      <c r="N305" s="102"/>
      <c r="O305" s="102"/>
      <c r="P305" s="102"/>
      <c r="Q305" s="102"/>
      <c r="R305" s="102"/>
      <c r="S305" s="102"/>
      <c r="T305" s="102"/>
      <c r="U305" s="102"/>
      <c r="V305" s="102"/>
      <c r="W305" s="102"/>
      <c r="X305" s="102"/>
      <c r="Y305" s="102"/>
      <c r="Z305" s="102"/>
    </row>
    <row r="306" spans="1:26" x14ac:dyDescent="0.3">
      <c r="A306" s="11"/>
      <c r="B306" s="11"/>
      <c r="C306" s="105" t="s">
        <v>3314</v>
      </c>
      <c r="D306" s="11"/>
      <c r="E306" s="11"/>
      <c r="F306" s="11"/>
      <c r="G306" s="11"/>
      <c r="H306" s="11"/>
      <c r="I306" s="91"/>
      <c r="J306" s="102"/>
      <c r="K306" s="102"/>
      <c r="L306" s="102"/>
      <c r="M306" s="102"/>
      <c r="N306" s="102"/>
      <c r="O306" s="102"/>
      <c r="P306" s="102"/>
      <c r="Q306" s="102"/>
      <c r="R306" s="102"/>
      <c r="S306" s="102"/>
      <c r="T306" s="102"/>
      <c r="U306" s="102"/>
      <c r="V306" s="102"/>
      <c r="W306" s="102"/>
      <c r="X306" s="102"/>
      <c r="Y306" s="102"/>
      <c r="Z306" s="102"/>
    </row>
    <row r="307" spans="1:26" x14ac:dyDescent="0.3">
      <c r="A307" s="10"/>
      <c r="B307" s="10"/>
      <c r="C307" s="9" t="s">
        <v>3315</v>
      </c>
      <c r="D307" s="10"/>
      <c r="E307" s="10"/>
      <c r="F307" s="10"/>
      <c r="G307" s="10"/>
      <c r="H307" s="10"/>
      <c r="I307" s="117"/>
      <c r="J307" s="102"/>
      <c r="K307" s="102"/>
      <c r="L307" s="102"/>
      <c r="M307" s="102"/>
      <c r="N307" s="102"/>
      <c r="O307" s="102"/>
      <c r="P307" s="102"/>
      <c r="Q307" s="102"/>
      <c r="R307" s="102"/>
      <c r="S307" s="102"/>
      <c r="T307" s="102"/>
      <c r="U307" s="102"/>
      <c r="V307" s="102"/>
      <c r="W307" s="102"/>
      <c r="X307" s="102"/>
      <c r="Y307" s="102"/>
      <c r="Z307" s="102"/>
    </row>
    <row r="308" spans="1:26" x14ac:dyDescent="0.3">
      <c r="A308" s="11"/>
      <c r="B308" s="11"/>
      <c r="C308" s="96" t="s">
        <v>3316</v>
      </c>
      <c r="D308" s="11"/>
      <c r="E308" s="11"/>
      <c r="F308" s="11"/>
      <c r="G308" s="11"/>
      <c r="H308" s="11"/>
      <c r="I308" s="91"/>
      <c r="J308" s="102"/>
      <c r="K308" s="102"/>
      <c r="L308" s="102"/>
      <c r="M308" s="102"/>
      <c r="N308" s="102"/>
      <c r="O308" s="102"/>
      <c r="P308" s="102"/>
      <c r="Q308" s="102"/>
      <c r="R308" s="102"/>
      <c r="S308" s="102"/>
      <c r="T308" s="102"/>
      <c r="U308" s="102"/>
      <c r="V308" s="102"/>
      <c r="W308" s="102"/>
      <c r="X308" s="102"/>
      <c r="Y308" s="102"/>
      <c r="Z308" s="102"/>
    </row>
    <row r="309" spans="1:26" x14ac:dyDescent="0.3">
      <c r="A309" s="10"/>
      <c r="B309" s="10"/>
      <c r="C309" s="96" t="s">
        <v>3317</v>
      </c>
      <c r="D309" s="10"/>
      <c r="E309" s="10"/>
      <c r="F309" s="10"/>
      <c r="G309" s="10"/>
      <c r="H309" s="10"/>
      <c r="I309" s="117"/>
      <c r="J309" s="102"/>
      <c r="K309" s="102"/>
      <c r="L309" s="102"/>
      <c r="M309" s="102"/>
      <c r="N309" s="102"/>
      <c r="O309" s="102"/>
      <c r="P309" s="102"/>
      <c r="Q309" s="102"/>
      <c r="R309" s="102"/>
      <c r="S309" s="102"/>
      <c r="T309" s="102"/>
      <c r="U309" s="102"/>
      <c r="V309" s="102"/>
      <c r="W309" s="102"/>
      <c r="X309" s="102"/>
      <c r="Y309" s="102"/>
      <c r="Z309" s="102"/>
    </row>
    <row r="310" spans="1:26" x14ac:dyDescent="0.3">
      <c r="A310" s="11"/>
      <c r="B310" s="11"/>
      <c r="C310" s="96" t="s">
        <v>3318</v>
      </c>
      <c r="D310" s="11"/>
      <c r="E310" s="11"/>
      <c r="F310" s="11"/>
      <c r="G310" s="11"/>
      <c r="H310" s="11"/>
      <c r="I310" s="91"/>
      <c r="J310" s="102"/>
      <c r="K310" s="102"/>
      <c r="L310" s="102"/>
      <c r="M310" s="102"/>
      <c r="N310" s="102"/>
      <c r="O310" s="102"/>
      <c r="P310" s="102"/>
      <c r="Q310" s="102"/>
      <c r="R310" s="102"/>
      <c r="S310" s="102"/>
      <c r="T310" s="102"/>
      <c r="U310" s="102"/>
      <c r="V310" s="102"/>
      <c r="W310" s="102"/>
      <c r="X310" s="102"/>
      <c r="Y310" s="102"/>
      <c r="Z310" s="102"/>
    </row>
    <row r="311" spans="1:26" x14ac:dyDescent="0.3">
      <c r="A311" s="11"/>
      <c r="B311" s="11"/>
      <c r="C311" s="96" t="s">
        <v>3319</v>
      </c>
      <c r="D311" s="95" t="s">
        <v>3320</v>
      </c>
      <c r="E311" s="111">
        <v>1</v>
      </c>
      <c r="F311" s="112"/>
      <c r="G311" s="112"/>
      <c r="H311" s="113">
        <f>E311*F311</f>
        <v>0</v>
      </c>
      <c r="I311" s="113">
        <f>E311*G311</f>
        <v>0</v>
      </c>
      <c r="J311" s="102"/>
      <c r="K311" s="102"/>
      <c r="L311" s="102"/>
      <c r="M311" s="102"/>
      <c r="N311" s="102"/>
      <c r="O311" s="102"/>
      <c r="P311" s="102"/>
      <c r="Q311" s="102"/>
      <c r="R311" s="102"/>
      <c r="S311" s="102"/>
      <c r="T311" s="102"/>
      <c r="U311" s="102"/>
      <c r="V311" s="102"/>
      <c r="W311" s="102"/>
      <c r="X311" s="102"/>
      <c r="Y311" s="102"/>
      <c r="Z311" s="102"/>
    </row>
    <row r="312" spans="1:26" x14ac:dyDescent="0.3">
      <c r="A312" s="10"/>
      <c r="B312" s="10"/>
      <c r="C312" s="105" t="s">
        <v>3321</v>
      </c>
      <c r="D312" s="10"/>
      <c r="E312" s="10"/>
      <c r="F312" s="10"/>
      <c r="G312" s="10"/>
      <c r="H312" s="10"/>
      <c r="I312" s="117"/>
      <c r="J312" s="102"/>
      <c r="K312" s="102"/>
      <c r="L312" s="102"/>
      <c r="M312" s="102"/>
      <c r="N312" s="102"/>
      <c r="O312" s="102"/>
      <c r="P312" s="102"/>
      <c r="Q312" s="102"/>
      <c r="R312" s="102"/>
      <c r="S312" s="102"/>
      <c r="T312" s="102"/>
      <c r="U312" s="102"/>
      <c r="V312" s="102"/>
      <c r="W312" s="102"/>
      <c r="X312" s="102"/>
      <c r="Y312" s="102"/>
      <c r="Z312" s="102"/>
    </row>
    <row r="313" spans="1:26" x14ac:dyDescent="0.3">
      <c r="A313" s="11"/>
      <c r="B313" s="11"/>
      <c r="C313" s="11"/>
      <c r="D313" s="11"/>
      <c r="E313" s="11"/>
      <c r="F313" s="11"/>
      <c r="G313" s="11"/>
      <c r="H313" s="11"/>
      <c r="I313" s="91"/>
      <c r="J313" s="102"/>
      <c r="K313" s="102"/>
      <c r="L313" s="102"/>
      <c r="M313" s="102"/>
      <c r="N313" s="102"/>
      <c r="O313" s="102"/>
      <c r="P313" s="102"/>
      <c r="Q313" s="102"/>
      <c r="R313" s="102"/>
      <c r="S313" s="102"/>
      <c r="T313" s="102"/>
      <c r="U313" s="102"/>
      <c r="V313" s="102"/>
      <c r="W313" s="102"/>
      <c r="X313" s="102"/>
      <c r="Y313" s="102"/>
      <c r="Z313" s="102"/>
    </row>
    <row r="314" spans="1:26" x14ac:dyDescent="0.3">
      <c r="A314" s="109">
        <v>5.3</v>
      </c>
      <c r="B314" s="95" t="s">
        <v>3322</v>
      </c>
      <c r="C314" s="96" t="s">
        <v>3323</v>
      </c>
      <c r="D314" s="11"/>
      <c r="E314" s="11"/>
      <c r="F314" s="11"/>
      <c r="G314" s="11"/>
      <c r="H314" s="11"/>
      <c r="I314" s="91"/>
      <c r="J314" s="102"/>
      <c r="K314" s="102"/>
      <c r="L314" s="102"/>
      <c r="M314" s="102"/>
      <c r="N314" s="102"/>
      <c r="O314" s="102"/>
      <c r="P314" s="102"/>
      <c r="Q314" s="102"/>
      <c r="R314" s="102"/>
      <c r="S314" s="102"/>
      <c r="T314" s="102"/>
      <c r="U314" s="102"/>
      <c r="V314" s="102"/>
      <c r="W314" s="102"/>
      <c r="X314" s="102"/>
      <c r="Y314" s="102"/>
      <c r="Z314" s="102"/>
    </row>
    <row r="315" spans="1:26" x14ac:dyDescent="0.3">
      <c r="A315" s="9"/>
      <c r="B315" s="9"/>
      <c r="C315" s="9" t="s">
        <v>3324</v>
      </c>
      <c r="D315" s="9"/>
      <c r="E315" s="9"/>
      <c r="F315" s="9"/>
      <c r="G315" s="9"/>
      <c r="H315" s="9"/>
      <c r="I315" s="108"/>
      <c r="J315" s="102"/>
      <c r="K315" s="102"/>
      <c r="L315" s="102"/>
      <c r="M315" s="102"/>
      <c r="N315" s="102"/>
      <c r="O315" s="102"/>
      <c r="P315" s="102"/>
      <c r="Q315" s="102"/>
      <c r="R315" s="102"/>
      <c r="S315" s="102"/>
      <c r="T315" s="102"/>
      <c r="U315" s="102"/>
      <c r="V315" s="102"/>
      <c r="W315" s="102"/>
      <c r="X315" s="102"/>
      <c r="Y315" s="102"/>
      <c r="Z315" s="102"/>
    </row>
    <row r="316" spans="1:26" x14ac:dyDescent="0.3">
      <c r="A316" s="95" t="s">
        <v>3325</v>
      </c>
      <c r="B316" s="95" t="s">
        <v>3326</v>
      </c>
      <c r="C316" s="96" t="s">
        <v>3327</v>
      </c>
      <c r="D316" s="11"/>
      <c r="E316" s="11"/>
      <c r="F316" s="11"/>
      <c r="G316" s="11"/>
      <c r="H316" s="11"/>
      <c r="I316" s="91"/>
      <c r="J316" s="102"/>
      <c r="K316" s="102"/>
      <c r="L316" s="102"/>
      <c r="M316" s="102"/>
      <c r="N316" s="102"/>
      <c r="O316" s="102"/>
      <c r="P316" s="102"/>
      <c r="Q316" s="102"/>
      <c r="R316" s="102"/>
      <c r="S316" s="102"/>
      <c r="T316" s="102"/>
      <c r="U316" s="102"/>
      <c r="V316" s="102"/>
      <c r="W316" s="102"/>
      <c r="X316" s="102"/>
      <c r="Y316" s="102"/>
      <c r="Z316" s="102"/>
    </row>
    <row r="317" spans="1:26" x14ac:dyDescent="0.3">
      <c r="A317" s="11"/>
      <c r="B317" s="11"/>
      <c r="C317" s="96" t="s">
        <v>3328</v>
      </c>
      <c r="D317" s="11"/>
      <c r="E317" s="11"/>
      <c r="F317" s="11"/>
      <c r="G317" s="11"/>
      <c r="H317" s="11"/>
      <c r="I317" s="91"/>
      <c r="J317" s="102"/>
      <c r="K317" s="102"/>
      <c r="L317" s="102"/>
      <c r="M317" s="102"/>
      <c r="N317" s="102"/>
      <c r="O317" s="102"/>
      <c r="P317" s="102"/>
      <c r="Q317" s="102"/>
      <c r="R317" s="102"/>
      <c r="S317" s="102"/>
      <c r="T317" s="102"/>
      <c r="U317" s="102"/>
      <c r="V317" s="102"/>
      <c r="W317" s="102"/>
      <c r="X317" s="102"/>
      <c r="Y317" s="102"/>
      <c r="Z317" s="102"/>
    </row>
    <row r="318" spans="1:26" x14ac:dyDescent="0.3">
      <c r="A318" s="11"/>
      <c r="B318" s="11"/>
      <c r="C318" s="96" t="s">
        <v>3329</v>
      </c>
      <c r="D318" s="11"/>
      <c r="E318" s="11"/>
      <c r="F318" s="11"/>
      <c r="G318" s="11"/>
      <c r="H318" s="11"/>
      <c r="I318" s="91"/>
      <c r="J318" s="102"/>
      <c r="K318" s="102"/>
      <c r="L318" s="102"/>
      <c r="M318" s="102"/>
      <c r="N318" s="102"/>
      <c r="O318" s="102"/>
      <c r="P318" s="102"/>
      <c r="Q318" s="102"/>
      <c r="R318" s="102"/>
      <c r="S318" s="102"/>
      <c r="T318" s="102"/>
      <c r="U318" s="102"/>
      <c r="V318" s="102"/>
      <c r="W318" s="102"/>
      <c r="X318" s="102"/>
      <c r="Y318" s="102"/>
      <c r="Z318" s="102"/>
    </row>
    <row r="319" spans="1:26" x14ac:dyDescent="0.3">
      <c r="A319" s="11"/>
      <c r="B319" s="11"/>
      <c r="C319" s="96" t="s">
        <v>3330</v>
      </c>
      <c r="D319" s="11"/>
      <c r="E319" s="11"/>
      <c r="F319" s="11"/>
      <c r="G319" s="11"/>
      <c r="H319" s="11"/>
      <c r="I319" s="91"/>
      <c r="J319" s="102"/>
      <c r="K319" s="102"/>
      <c r="L319" s="102"/>
      <c r="M319" s="102"/>
      <c r="N319" s="102"/>
      <c r="O319" s="102"/>
      <c r="P319" s="102"/>
      <c r="Q319" s="102"/>
      <c r="R319" s="102"/>
      <c r="S319" s="102"/>
      <c r="T319" s="102"/>
      <c r="U319" s="102"/>
      <c r="V319" s="102"/>
      <c r="W319" s="102"/>
      <c r="X319" s="102"/>
      <c r="Y319" s="102"/>
      <c r="Z319" s="102"/>
    </row>
    <row r="320" spans="1:26" x14ac:dyDescent="0.3">
      <c r="A320" s="11"/>
      <c r="B320" s="11"/>
      <c r="C320" s="96" t="s">
        <v>3331</v>
      </c>
      <c r="D320" s="11"/>
      <c r="E320" s="11"/>
      <c r="F320" s="11"/>
      <c r="G320" s="11"/>
      <c r="H320" s="11"/>
      <c r="I320" s="91"/>
      <c r="J320" s="102"/>
      <c r="K320" s="102"/>
      <c r="L320" s="102"/>
      <c r="M320" s="102"/>
      <c r="N320" s="102"/>
      <c r="O320" s="102"/>
      <c r="P320" s="102"/>
      <c r="Q320" s="102"/>
      <c r="R320" s="102"/>
      <c r="S320" s="102"/>
      <c r="T320" s="102"/>
      <c r="U320" s="102"/>
      <c r="V320" s="102"/>
      <c r="W320" s="102"/>
      <c r="X320" s="102"/>
      <c r="Y320" s="102"/>
      <c r="Z320" s="102"/>
    </row>
    <row r="321" spans="1:26" x14ac:dyDescent="0.3">
      <c r="A321" s="11"/>
      <c r="B321" s="11"/>
      <c r="C321" s="96" t="s">
        <v>3332</v>
      </c>
      <c r="D321" s="11"/>
      <c r="E321" s="11"/>
      <c r="F321" s="11"/>
      <c r="G321" s="11"/>
      <c r="H321" s="11"/>
      <c r="I321" s="91"/>
      <c r="J321" s="102"/>
      <c r="K321" s="102"/>
      <c r="L321" s="102"/>
      <c r="M321" s="102"/>
      <c r="N321" s="102"/>
      <c r="O321" s="102"/>
      <c r="P321" s="102"/>
      <c r="Q321" s="102"/>
      <c r="R321" s="102"/>
      <c r="S321" s="102"/>
      <c r="T321" s="102"/>
      <c r="U321" s="102"/>
      <c r="V321" s="102"/>
      <c r="W321" s="102"/>
      <c r="X321" s="102"/>
      <c r="Y321" s="102"/>
      <c r="Z321" s="102"/>
    </row>
    <row r="322" spans="1:26" x14ac:dyDescent="0.3">
      <c r="A322" s="11"/>
      <c r="B322" s="11"/>
      <c r="C322" s="105" t="s">
        <v>3333</v>
      </c>
      <c r="D322" s="11"/>
      <c r="E322" s="11"/>
      <c r="F322" s="11"/>
      <c r="G322" s="11"/>
      <c r="H322" s="11"/>
      <c r="I322" s="91"/>
      <c r="J322" s="102"/>
      <c r="K322" s="102"/>
      <c r="L322" s="102"/>
      <c r="M322" s="102"/>
      <c r="N322" s="102"/>
      <c r="O322" s="102"/>
      <c r="P322" s="102"/>
      <c r="Q322" s="102"/>
      <c r="R322" s="102"/>
      <c r="S322" s="102"/>
      <c r="T322" s="102"/>
      <c r="U322" s="102"/>
      <c r="V322" s="102"/>
      <c r="W322" s="102"/>
      <c r="X322" s="102"/>
      <c r="Y322" s="102"/>
      <c r="Z322" s="102"/>
    </row>
    <row r="323" spans="1:26" x14ac:dyDescent="0.3">
      <c r="A323" s="10"/>
      <c r="B323" s="10"/>
      <c r="C323" s="9" t="s">
        <v>3334</v>
      </c>
      <c r="D323" s="10"/>
      <c r="E323" s="10"/>
      <c r="F323" s="10"/>
      <c r="G323" s="10"/>
      <c r="H323" s="10"/>
      <c r="I323" s="117"/>
      <c r="J323" s="102"/>
      <c r="K323" s="102"/>
      <c r="L323" s="102"/>
      <c r="M323" s="102"/>
      <c r="N323" s="102"/>
      <c r="O323" s="102"/>
      <c r="P323" s="102"/>
      <c r="Q323" s="102"/>
      <c r="R323" s="102"/>
      <c r="S323" s="102"/>
      <c r="T323" s="102"/>
      <c r="U323" s="102"/>
      <c r="V323" s="102"/>
      <c r="W323" s="102"/>
      <c r="X323" s="102"/>
      <c r="Y323" s="102"/>
      <c r="Z323" s="102"/>
    </row>
    <row r="324" spans="1:26" x14ac:dyDescent="0.3">
      <c r="A324" s="11"/>
      <c r="B324" s="11"/>
      <c r="C324" s="96" t="s">
        <v>3335</v>
      </c>
      <c r="D324" s="11"/>
      <c r="E324" s="11"/>
      <c r="F324" s="11"/>
      <c r="G324" s="11"/>
      <c r="H324" s="11"/>
      <c r="I324" s="91"/>
      <c r="J324" s="102"/>
      <c r="K324" s="102"/>
      <c r="L324" s="102"/>
      <c r="M324" s="102"/>
      <c r="N324" s="102"/>
      <c r="O324" s="102"/>
      <c r="P324" s="102"/>
      <c r="Q324" s="102"/>
      <c r="R324" s="102"/>
      <c r="S324" s="102"/>
      <c r="T324" s="102"/>
      <c r="U324" s="102"/>
      <c r="V324" s="102"/>
      <c r="W324" s="102"/>
      <c r="X324" s="102"/>
      <c r="Y324" s="102"/>
      <c r="Z324" s="102"/>
    </row>
    <row r="325" spans="1:26" x14ac:dyDescent="0.3">
      <c r="A325" s="10"/>
      <c r="B325" s="10"/>
      <c r="C325" s="96" t="s">
        <v>3336</v>
      </c>
      <c r="D325" s="10"/>
      <c r="E325" s="10"/>
      <c r="F325" s="10"/>
      <c r="G325" s="10"/>
      <c r="H325" s="10"/>
      <c r="I325" s="117"/>
      <c r="J325" s="102"/>
      <c r="K325" s="102"/>
      <c r="L325" s="102"/>
      <c r="M325" s="102"/>
      <c r="N325" s="102"/>
      <c r="O325" s="102"/>
      <c r="P325" s="102"/>
      <c r="Q325" s="102"/>
      <c r="R325" s="102"/>
      <c r="S325" s="102"/>
      <c r="T325" s="102"/>
      <c r="U325" s="102"/>
      <c r="V325" s="102"/>
      <c r="W325" s="102"/>
      <c r="X325" s="102"/>
      <c r="Y325" s="102"/>
      <c r="Z325" s="102"/>
    </row>
    <row r="326" spans="1:26" x14ac:dyDescent="0.3">
      <c r="A326" s="11"/>
      <c r="B326" s="11"/>
      <c r="C326" s="96" t="s">
        <v>3337</v>
      </c>
      <c r="D326" s="11"/>
      <c r="E326" s="11"/>
      <c r="F326" s="11"/>
      <c r="G326" s="11"/>
      <c r="H326" s="11"/>
      <c r="I326" s="91"/>
      <c r="J326" s="102"/>
      <c r="K326" s="102"/>
      <c r="L326" s="102"/>
      <c r="M326" s="102"/>
      <c r="N326" s="102"/>
      <c r="O326" s="102"/>
      <c r="P326" s="102"/>
      <c r="Q326" s="102"/>
      <c r="R326" s="102"/>
      <c r="S326" s="102"/>
      <c r="T326" s="102"/>
      <c r="U326" s="102"/>
      <c r="V326" s="102"/>
      <c r="W326" s="102"/>
      <c r="X326" s="102"/>
      <c r="Y326" s="102"/>
      <c r="Z326" s="102"/>
    </row>
    <row r="327" spans="1:26" x14ac:dyDescent="0.3">
      <c r="A327" s="11"/>
      <c r="B327" s="11"/>
      <c r="C327" s="96" t="s">
        <v>3338</v>
      </c>
      <c r="D327" s="95" t="s">
        <v>3339</v>
      </c>
      <c r="E327" s="111">
        <v>1</v>
      </c>
      <c r="F327" s="112"/>
      <c r="G327" s="112"/>
      <c r="H327" s="113">
        <f>E327*F327</f>
        <v>0</v>
      </c>
      <c r="I327" s="113">
        <f>E327*G327</f>
        <v>0</v>
      </c>
      <c r="J327" s="102"/>
      <c r="K327" s="102"/>
      <c r="L327" s="102"/>
      <c r="M327" s="102"/>
      <c r="N327" s="102"/>
      <c r="O327" s="102"/>
      <c r="P327" s="102"/>
      <c r="Q327" s="102"/>
      <c r="R327" s="102"/>
      <c r="S327" s="102"/>
      <c r="T327" s="102"/>
      <c r="U327" s="102"/>
      <c r="V327" s="102"/>
      <c r="W327" s="102"/>
      <c r="X327" s="102"/>
      <c r="Y327" s="102"/>
      <c r="Z327" s="102"/>
    </row>
    <row r="328" spans="1:26" x14ac:dyDescent="0.3">
      <c r="A328" s="10"/>
      <c r="B328" s="10"/>
      <c r="C328" s="105" t="s">
        <v>3340</v>
      </c>
      <c r="D328" s="10"/>
      <c r="E328" s="10"/>
      <c r="F328" s="10"/>
      <c r="G328" s="10"/>
      <c r="H328" s="10"/>
      <c r="I328" s="117"/>
      <c r="J328" s="102"/>
      <c r="K328" s="102"/>
      <c r="L328" s="102"/>
      <c r="M328" s="102"/>
      <c r="N328" s="102"/>
      <c r="O328" s="102"/>
      <c r="P328" s="102"/>
      <c r="Q328" s="102"/>
      <c r="R328" s="102"/>
      <c r="S328" s="102"/>
      <c r="T328" s="102"/>
      <c r="U328" s="102"/>
      <c r="V328" s="102"/>
      <c r="W328" s="102"/>
      <c r="X328" s="102"/>
      <c r="Y328" s="102"/>
      <c r="Z328" s="102"/>
    </row>
    <row r="329" spans="1:26" x14ac:dyDescent="0.3">
      <c r="A329" s="95" t="s">
        <v>3341</v>
      </c>
      <c r="B329" s="95" t="s">
        <v>3342</v>
      </c>
      <c r="C329" s="96" t="s">
        <v>3343</v>
      </c>
      <c r="D329" s="11"/>
      <c r="E329" s="11"/>
      <c r="F329" s="11"/>
      <c r="G329" s="11"/>
      <c r="H329" s="11"/>
      <c r="I329" s="91"/>
      <c r="J329" s="102"/>
      <c r="K329" s="102"/>
      <c r="L329" s="102"/>
      <c r="M329" s="102"/>
      <c r="N329" s="102"/>
      <c r="O329" s="102"/>
      <c r="P329" s="102"/>
      <c r="Q329" s="102"/>
      <c r="R329" s="102"/>
      <c r="S329" s="102"/>
      <c r="T329" s="102"/>
      <c r="U329" s="102"/>
      <c r="V329" s="102"/>
      <c r="W329" s="102"/>
      <c r="X329" s="102"/>
      <c r="Y329" s="102"/>
      <c r="Z329" s="102"/>
    </row>
    <row r="330" spans="1:26" x14ac:dyDescent="0.3">
      <c r="A330" s="11"/>
      <c r="B330" s="11"/>
      <c r="C330" s="96" t="s">
        <v>3344</v>
      </c>
      <c r="D330" s="11"/>
      <c r="E330" s="11"/>
      <c r="F330" s="11"/>
      <c r="G330" s="11"/>
      <c r="H330" s="11"/>
      <c r="I330" s="91"/>
      <c r="J330" s="102"/>
      <c r="K330" s="102"/>
      <c r="L330" s="102"/>
      <c r="M330" s="102"/>
      <c r="N330" s="102"/>
      <c r="O330" s="102"/>
      <c r="P330" s="102"/>
      <c r="Q330" s="102"/>
      <c r="R330" s="102"/>
      <c r="S330" s="102"/>
      <c r="T330" s="102"/>
      <c r="U330" s="102"/>
      <c r="V330" s="102"/>
      <c r="W330" s="102"/>
      <c r="X330" s="102"/>
      <c r="Y330" s="102"/>
      <c r="Z330" s="102"/>
    </row>
    <row r="331" spans="1:26" x14ac:dyDescent="0.3">
      <c r="A331" s="11"/>
      <c r="B331" s="11"/>
      <c r="C331" s="96" t="s">
        <v>3345</v>
      </c>
      <c r="D331" s="11"/>
      <c r="E331" s="11"/>
      <c r="F331" s="11"/>
      <c r="G331" s="11"/>
      <c r="H331" s="11"/>
      <c r="I331" s="91"/>
      <c r="J331" s="102"/>
      <c r="K331" s="102"/>
      <c r="L331" s="102"/>
      <c r="M331" s="102"/>
      <c r="N331" s="102"/>
      <c r="O331" s="102"/>
      <c r="P331" s="102"/>
      <c r="Q331" s="102"/>
      <c r="R331" s="102"/>
      <c r="S331" s="102"/>
      <c r="T331" s="102"/>
      <c r="U331" s="102"/>
      <c r="V331" s="102"/>
      <c r="W331" s="102"/>
      <c r="X331" s="102"/>
      <c r="Y331" s="102"/>
      <c r="Z331" s="102"/>
    </row>
    <row r="332" spans="1:26" x14ac:dyDescent="0.3">
      <c r="A332" s="11"/>
      <c r="B332" s="11"/>
      <c r="C332" s="96" t="s">
        <v>3346</v>
      </c>
      <c r="D332" s="11"/>
      <c r="E332" s="11"/>
      <c r="F332" s="11"/>
      <c r="G332" s="11"/>
      <c r="H332" s="11"/>
      <c r="I332" s="91"/>
      <c r="J332" s="102"/>
      <c r="K332" s="102"/>
      <c r="L332" s="102"/>
      <c r="M332" s="102"/>
      <c r="N332" s="102"/>
      <c r="O332" s="102"/>
      <c r="P332" s="102"/>
      <c r="Q332" s="102"/>
      <c r="R332" s="102"/>
      <c r="S332" s="102"/>
      <c r="T332" s="102"/>
      <c r="U332" s="102"/>
      <c r="V332" s="102"/>
      <c r="W332" s="102"/>
      <c r="X332" s="102"/>
      <c r="Y332" s="102"/>
      <c r="Z332" s="102"/>
    </row>
    <row r="333" spans="1:26" x14ac:dyDescent="0.3">
      <c r="A333" s="11"/>
      <c r="B333" s="11"/>
      <c r="C333" s="96" t="s">
        <v>3347</v>
      </c>
      <c r="D333" s="11"/>
      <c r="E333" s="11"/>
      <c r="F333" s="11"/>
      <c r="G333" s="11"/>
      <c r="H333" s="11"/>
      <c r="I333" s="91"/>
      <c r="J333" s="102"/>
      <c r="K333" s="102"/>
      <c r="L333" s="102"/>
      <c r="M333" s="102"/>
      <c r="N333" s="102"/>
      <c r="O333" s="102"/>
      <c r="P333" s="102"/>
      <c r="Q333" s="102"/>
      <c r="R333" s="102"/>
      <c r="S333" s="102"/>
      <c r="T333" s="102"/>
      <c r="U333" s="102"/>
      <c r="V333" s="102"/>
      <c r="W333" s="102"/>
      <c r="X333" s="102"/>
      <c r="Y333" s="102"/>
      <c r="Z333" s="102"/>
    </row>
    <row r="334" spans="1:26" x14ac:dyDescent="0.3">
      <c r="A334" s="11"/>
      <c r="B334" s="11"/>
      <c r="C334" s="96" t="s">
        <v>3348</v>
      </c>
      <c r="D334" s="11"/>
      <c r="E334" s="11"/>
      <c r="F334" s="11"/>
      <c r="G334" s="11"/>
      <c r="H334" s="11"/>
      <c r="I334" s="91"/>
      <c r="J334" s="102"/>
      <c r="K334" s="102"/>
      <c r="L334" s="102"/>
      <c r="M334" s="102"/>
      <c r="N334" s="102"/>
      <c r="O334" s="102"/>
      <c r="P334" s="102"/>
      <c r="Q334" s="102"/>
      <c r="R334" s="102"/>
      <c r="S334" s="102"/>
      <c r="T334" s="102"/>
      <c r="U334" s="102"/>
      <c r="V334" s="102"/>
      <c r="W334" s="102"/>
      <c r="X334" s="102"/>
      <c r="Y334" s="102"/>
      <c r="Z334" s="102"/>
    </row>
    <row r="335" spans="1:26" x14ac:dyDescent="0.3">
      <c r="A335" s="11"/>
      <c r="B335" s="11"/>
      <c r="C335" s="105" t="s">
        <v>3349</v>
      </c>
      <c r="D335" s="11"/>
      <c r="E335" s="11"/>
      <c r="F335" s="11"/>
      <c r="G335" s="11"/>
      <c r="H335" s="11"/>
      <c r="I335" s="91"/>
      <c r="J335" s="102"/>
      <c r="K335" s="102"/>
      <c r="L335" s="102"/>
      <c r="M335" s="102"/>
      <c r="N335" s="102"/>
      <c r="O335" s="102"/>
      <c r="P335" s="102"/>
      <c r="Q335" s="102"/>
      <c r="R335" s="102"/>
      <c r="S335" s="102"/>
      <c r="T335" s="102"/>
      <c r="U335" s="102"/>
      <c r="V335" s="102"/>
      <c r="W335" s="102"/>
      <c r="X335" s="102"/>
      <c r="Y335" s="102"/>
      <c r="Z335" s="102"/>
    </row>
    <row r="336" spans="1:26" x14ac:dyDescent="0.3">
      <c r="A336" s="10"/>
      <c r="B336" s="10"/>
      <c r="C336" s="9" t="s">
        <v>3350</v>
      </c>
      <c r="D336" s="10"/>
      <c r="E336" s="10"/>
      <c r="F336" s="10"/>
      <c r="G336" s="10"/>
      <c r="H336" s="10"/>
      <c r="I336" s="117"/>
      <c r="J336" s="102"/>
      <c r="K336" s="102"/>
      <c r="L336" s="102"/>
      <c r="M336" s="102"/>
      <c r="N336" s="102"/>
      <c r="O336" s="102"/>
      <c r="P336" s="102"/>
      <c r="Q336" s="102"/>
      <c r="R336" s="102"/>
      <c r="S336" s="102"/>
      <c r="T336" s="102"/>
      <c r="U336" s="102"/>
      <c r="V336" s="102"/>
      <c r="W336" s="102"/>
      <c r="X336" s="102"/>
      <c r="Y336" s="102"/>
      <c r="Z336" s="102"/>
    </row>
    <row r="337" spans="1:26" x14ac:dyDescent="0.3">
      <c r="A337" s="11"/>
      <c r="B337" s="11"/>
      <c r="C337" s="96" t="s">
        <v>3351</v>
      </c>
      <c r="D337" s="11"/>
      <c r="E337" s="11"/>
      <c r="F337" s="11"/>
      <c r="G337" s="11"/>
      <c r="H337" s="11"/>
      <c r="I337" s="91"/>
      <c r="J337" s="102"/>
      <c r="K337" s="102"/>
      <c r="L337" s="102"/>
      <c r="M337" s="102"/>
      <c r="N337" s="102"/>
      <c r="O337" s="102"/>
      <c r="P337" s="102"/>
      <c r="Q337" s="102"/>
      <c r="R337" s="102"/>
      <c r="S337" s="102"/>
      <c r="T337" s="102"/>
      <c r="U337" s="102"/>
      <c r="V337" s="102"/>
      <c r="W337" s="102"/>
      <c r="X337" s="102"/>
      <c r="Y337" s="102"/>
      <c r="Z337" s="102"/>
    </row>
    <row r="338" spans="1:26" x14ac:dyDescent="0.3">
      <c r="A338" s="10"/>
      <c r="B338" s="10"/>
      <c r="C338" s="96" t="s">
        <v>3352</v>
      </c>
      <c r="D338" s="10"/>
      <c r="E338" s="10"/>
      <c r="F338" s="10"/>
      <c r="G338" s="10"/>
      <c r="H338" s="10"/>
      <c r="I338" s="117"/>
      <c r="J338" s="102"/>
      <c r="K338" s="102"/>
      <c r="L338" s="102"/>
      <c r="M338" s="102"/>
      <c r="N338" s="102"/>
      <c r="O338" s="102"/>
      <c r="P338" s="102"/>
      <c r="Q338" s="102"/>
      <c r="R338" s="102"/>
      <c r="S338" s="102"/>
      <c r="T338" s="102"/>
      <c r="U338" s="102"/>
      <c r="V338" s="102"/>
      <c r="W338" s="102"/>
      <c r="X338" s="102"/>
      <c r="Y338" s="102"/>
      <c r="Z338" s="102"/>
    </row>
    <row r="339" spans="1:26" x14ac:dyDescent="0.3">
      <c r="A339" s="11"/>
      <c r="B339" s="11"/>
      <c r="C339" s="96" t="s">
        <v>3353</v>
      </c>
      <c r="D339" s="11"/>
      <c r="E339" s="11"/>
      <c r="F339" s="11"/>
      <c r="G339" s="11"/>
      <c r="H339" s="11"/>
      <c r="I339" s="91"/>
      <c r="J339" s="102"/>
      <c r="K339" s="102"/>
      <c r="L339" s="102"/>
      <c r="M339" s="102"/>
      <c r="N339" s="102"/>
      <c r="O339" s="102"/>
      <c r="P339" s="102"/>
      <c r="Q339" s="102"/>
      <c r="R339" s="102"/>
      <c r="S339" s="102"/>
      <c r="T339" s="102"/>
      <c r="U339" s="102"/>
      <c r="V339" s="102"/>
      <c r="W339" s="102"/>
      <c r="X339" s="102"/>
      <c r="Y339" s="102"/>
      <c r="Z339" s="102"/>
    </row>
    <row r="340" spans="1:26" x14ac:dyDescent="0.3">
      <c r="A340" s="11"/>
      <c r="B340" s="11"/>
      <c r="C340" s="96" t="s">
        <v>3354</v>
      </c>
      <c r="D340" s="96" t="s">
        <v>3355</v>
      </c>
      <c r="E340" s="111">
        <v>1</v>
      </c>
      <c r="F340" s="112"/>
      <c r="G340" s="112"/>
      <c r="H340" s="113">
        <f>E340*F340</f>
        <v>0</v>
      </c>
      <c r="I340" s="113">
        <f>E340*G340</f>
        <v>0</v>
      </c>
      <c r="J340" s="102"/>
      <c r="K340" s="102"/>
      <c r="L340" s="102"/>
      <c r="M340" s="102"/>
      <c r="N340" s="102"/>
      <c r="O340" s="102"/>
      <c r="P340" s="102"/>
      <c r="Q340" s="102"/>
      <c r="R340" s="102"/>
      <c r="S340" s="102"/>
      <c r="T340" s="102"/>
      <c r="U340" s="102"/>
      <c r="V340" s="102"/>
      <c r="W340" s="102"/>
      <c r="X340" s="102"/>
      <c r="Y340" s="102"/>
      <c r="Z340" s="102"/>
    </row>
    <row r="341" spans="1:26" x14ac:dyDescent="0.3">
      <c r="A341" s="10"/>
      <c r="B341" s="10"/>
      <c r="C341" s="105" t="s">
        <v>3356</v>
      </c>
      <c r="D341" s="10"/>
      <c r="E341" s="10"/>
      <c r="F341" s="10"/>
      <c r="G341" s="10"/>
      <c r="H341" s="10"/>
      <c r="I341" s="117"/>
      <c r="J341" s="102"/>
      <c r="K341" s="102"/>
      <c r="L341" s="102"/>
      <c r="M341" s="102"/>
      <c r="N341" s="102"/>
      <c r="O341" s="102"/>
      <c r="P341" s="102"/>
      <c r="Q341" s="102"/>
      <c r="R341" s="102"/>
      <c r="S341" s="102"/>
      <c r="T341" s="102"/>
      <c r="U341" s="102"/>
      <c r="V341" s="102"/>
      <c r="W341" s="102"/>
      <c r="X341" s="102"/>
      <c r="Y341" s="102"/>
      <c r="Z341" s="102"/>
    </row>
    <row r="342" spans="1:26" x14ac:dyDescent="0.3">
      <c r="A342" s="11"/>
      <c r="B342" s="11"/>
      <c r="C342" s="11"/>
      <c r="D342" s="11"/>
      <c r="E342" s="11"/>
      <c r="F342" s="11"/>
      <c r="G342" s="11"/>
      <c r="H342" s="11"/>
      <c r="I342" s="91"/>
      <c r="J342" s="102"/>
      <c r="K342" s="102"/>
      <c r="L342" s="102"/>
      <c r="M342" s="102"/>
      <c r="N342" s="102"/>
      <c r="O342" s="102"/>
      <c r="P342" s="102"/>
      <c r="Q342" s="102"/>
      <c r="R342" s="102"/>
      <c r="S342" s="102"/>
      <c r="T342" s="102"/>
      <c r="U342" s="102"/>
      <c r="V342" s="102"/>
      <c r="W342" s="102"/>
      <c r="X342" s="102"/>
      <c r="Y342" s="102"/>
      <c r="Z342" s="102"/>
    </row>
    <row r="343" spans="1:26" x14ac:dyDescent="0.3">
      <c r="A343" s="130">
        <v>6</v>
      </c>
      <c r="B343" s="131" t="s">
        <v>3357</v>
      </c>
      <c r="C343" s="105" t="s">
        <v>3358</v>
      </c>
      <c r="D343" s="11"/>
      <c r="E343" s="11"/>
      <c r="F343" s="11"/>
      <c r="G343" s="11"/>
      <c r="H343" s="11"/>
      <c r="I343" s="91"/>
      <c r="J343" s="102"/>
      <c r="K343" s="102"/>
      <c r="L343" s="102"/>
      <c r="M343" s="102"/>
      <c r="N343" s="102"/>
      <c r="O343" s="102"/>
      <c r="P343" s="102"/>
      <c r="Q343" s="102"/>
      <c r="R343" s="102"/>
      <c r="S343" s="102"/>
      <c r="T343" s="102"/>
      <c r="U343" s="102"/>
      <c r="V343" s="102"/>
      <c r="W343" s="102"/>
      <c r="X343" s="102"/>
      <c r="Y343" s="102"/>
      <c r="Z343" s="102"/>
    </row>
    <row r="344" spans="1:26" x14ac:dyDescent="0.3">
      <c r="A344" s="9"/>
      <c r="B344" s="9"/>
      <c r="C344" s="96" t="s">
        <v>3359</v>
      </c>
      <c r="D344" s="9"/>
      <c r="E344" s="9"/>
      <c r="F344" s="9"/>
      <c r="G344" s="9"/>
      <c r="H344" s="9"/>
      <c r="I344" s="108"/>
      <c r="J344" s="102"/>
      <c r="K344" s="102"/>
      <c r="L344" s="102"/>
      <c r="M344" s="102"/>
      <c r="N344" s="102"/>
      <c r="O344" s="102"/>
      <c r="P344" s="102"/>
      <c r="Q344" s="102"/>
      <c r="R344" s="102"/>
      <c r="S344" s="102"/>
      <c r="T344" s="102"/>
      <c r="U344" s="102"/>
      <c r="V344" s="102"/>
      <c r="W344" s="102"/>
      <c r="X344" s="102"/>
      <c r="Y344" s="102"/>
      <c r="Z344" s="102"/>
    </row>
    <row r="345" spans="1:26" x14ac:dyDescent="0.3">
      <c r="A345" s="9"/>
      <c r="B345" s="9"/>
      <c r="C345" s="96" t="s">
        <v>3360</v>
      </c>
      <c r="D345" s="9"/>
      <c r="E345" s="9"/>
      <c r="F345" s="9"/>
      <c r="G345" s="9"/>
      <c r="H345" s="9"/>
      <c r="I345" s="108"/>
      <c r="J345" s="102"/>
      <c r="K345" s="102"/>
      <c r="L345" s="102"/>
      <c r="M345" s="102"/>
      <c r="N345" s="102"/>
      <c r="O345" s="102"/>
      <c r="P345" s="102"/>
      <c r="Q345" s="102"/>
      <c r="R345" s="102"/>
      <c r="S345" s="102"/>
      <c r="T345" s="102"/>
      <c r="U345" s="102"/>
      <c r="V345" s="102"/>
      <c r="W345" s="102"/>
      <c r="X345" s="102"/>
      <c r="Y345" s="102"/>
      <c r="Z345" s="102"/>
    </row>
    <row r="346" spans="1:26" x14ac:dyDescent="0.3">
      <c r="A346" s="9"/>
      <c r="B346" s="9"/>
      <c r="C346" s="96" t="s">
        <v>3361</v>
      </c>
      <c r="D346" s="9"/>
      <c r="E346" s="9"/>
      <c r="F346" s="9"/>
      <c r="G346" s="9"/>
      <c r="H346" s="9"/>
      <c r="I346" s="108"/>
      <c r="J346" s="102"/>
      <c r="K346" s="102"/>
      <c r="L346" s="102"/>
      <c r="M346" s="102"/>
      <c r="N346" s="102"/>
      <c r="O346" s="102"/>
      <c r="P346" s="102"/>
      <c r="Q346" s="102"/>
      <c r="R346" s="102"/>
      <c r="S346" s="102"/>
      <c r="T346" s="102"/>
      <c r="U346" s="102"/>
      <c r="V346" s="102"/>
      <c r="W346" s="102"/>
      <c r="X346" s="102"/>
      <c r="Y346" s="102"/>
      <c r="Z346" s="102"/>
    </row>
    <row r="347" spans="1:26" x14ac:dyDescent="0.3">
      <c r="A347" s="10"/>
      <c r="B347" s="10"/>
      <c r="C347" s="9" t="s">
        <v>3362</v>
      </c>
      <c r="D347" s="10"/>
      <c r="E347" s="10"/>
      <c r="F347" s="10"/>
      <c r="G347" s="10"/>
      <c r="H347" s="10"/>
      <c r="I347" s="117"/>
      <c r="J347" s="102"/>
      <c r="K347" s="102"/>
      <c r="L347" s="102"/>
      <c r="M347" s="102"/>
      <c r="N347" s="102"/>
      <c r="O347" s="102"/>
      <c r="P347" s="102"/>
      <c r="Q347" s="102"/>
      <c r="R347" s="102"/>
      <c r="S347" s="102"/>
      <c r="T347" s="102"/>
      <c r="U347" s="102"/>
      <c r="V347" s="102"/>
      <c r="W347" s="102"/>
      <c r="X347" s="102"/>
      <c r="Y347" s="102"/>
      <c r="Z347" s="102"/>
    </row>
    <row r="348" spans="1:26" x14ac:dyDescent="0.3">
      <c r="A348" s="10"/>
      <c r="B348" s="10"/>
      <c r="C348" s="9" t="s">
        <v>3363</v>
      </c>
      <c r="D348" s="10"/>
      <c r="E348" s="10"/>
      <c r="F348" s="10"/>
      <c r="G348" s="10"/>
      <c r="H348" s="10"/>
      <c r="I348" s="117"/>
      <c r="J348" s="102"/>
      <c r="K348" s="102"/>
      <c r="L348" s="102"/>
      <c r="M348" s="102"/>
      <c r="N348" s="102"/>
      <c r="O348" s="102"/>
      <c r="P348" s="102"/>
      <c r="Q348" s="102"/>
      <c r="R348" s="102"/>
      <c r="S348" s="102"/>
      <c r="T348" s="102"/>
      <c r="U348" s="102"/>
      <c r="V348" s="102"/>
      <c r="W348" s="102"/>
      <c r="X348" s="102"/>
      <c r="Y348" s="102"/>
      <c r="Z348" s="102"/>
    </row>
    <row r="349" spans="1:26" x14ac:dyDescent="0.3">
      <c r="A349" s="10"/>
      <c r="B349" s="10"/>
      <c r="C349" s="9" t="s">
        <v>3364</v>
      </c>
      <c r="D349" s="10"/>
      <c r="E349" s="10"/>
      <c r="F349" s="10"/>
      <c r="G349" s="10"/>
      <c r="H349" s="10"/>
      <c r="I349" s="117"/>
      <c r="J349" s="102"/>
      <c r="K349" s="102"/>
      <c r="L349" s="102"/>
      <c r="M349" s="102"/>
      <c r="N349" s="102"/>
      <c r="O349" s="102"/>
      <c r="P349" s="102"/>
      <c r="Q349" s="102"/>
      <c r="R349" s="102"/>
      <c r="S349" s="102"/>
      <c r="T349" s="102"/>
      <c r="U349" s="102"/>
      <c r="V349" s="102"/>
      <c r="W349" s="102"/>
      <c r="X349" s="102"/>
      <c r="Y349" s="102"/>
      <c r="Z349" s="102"/>
    </row>
    <row r="350" spans="1:26" x14ac:dyDescent="0.3">
      <c r="A350" s="10"/>
      <c r="B350" s="10"/>
      <c r="C350" s="96" t="s">
        <v>3365</v>
      </c>
      <c r="D350" s="10"/>
      <c r="E350" s="10"/>
      <c r="F350" s="10"/>
      <c r="G350" s="10"/>
      <c r="H350" s="10"/>
      <c r="I350" s="117"/>
      <c r="J350" s="102"/>
      <c r="K350" s="102"/>
      <c r="L350" s="102"/>
      <c r="M350" s="102"/>
      <c r="N350" s="102"/>
      <c r="O350" s="102"/>
      <c r="P350" s="102"/>
      <c r="Q350" s="102"/>
      <c r="R350" s="102"/>
      <c r="S350" s="102"/>
      <c r="T350" s="102"/>
      <c r="U350" s="102"/>
      <c r="V350" s="102"/>
      <c r="W350" s="102"/>
      <c r="X350" s="102"/>
      <c r="Y350" s="102"/>
      <c r="Z350" s="102"/>
    </row>
    <row r="351" spans="1:26" x14ac:dyDescent="0.3">
      <c r="A351" s="11"/>
      <c r="B351" s="11"/>
      <c r="C351" s="96" t="s">
        <v>3366</v>
      </c>
      <c r="D351" s="11"/>
      <c r="E351" s="11"/>
      <c r="F351" s="11"/>
      <c r="G351" s="11"/>
      <c r="H351" s="11"/>
      <c r="I351" s="91"/>
      <c r="J351" s="102"/>
      <c r="K351" s="102"/>
      <c r="L351" s="102"/>
      <c r="M351" s="102"/>
      <c r="N351" s="102"/>
      <c r="O351" s="102"/>
      <c r="P351" s="102"/>
      <c r="Q351" s="102"/>
      <c r="R351" s="102"/>
      <c r="S351" s="102"/>
      <c r="T351" s="102"/>
      <c r="U351" s="102"/>
      <c r="V351" s="102"/>
      <c r="W351" s="102"/>
      <c r="X351" s="102"/>
      <c r="Y351" s="102"/>
      <c r="Z351" s="102"/>
    </row>
    <row r="352" spans="1:26" x14ac:dyDescent="0.3">
      <c r="A352" s="11"/>
      <c r="B352" s="11"/>
      <c r="C352" s="96" t="s">
        <v>3367</v>
      </c>
      <c r="D352" s="11"/>
      <c r="E352" s="11"/>
      <c r="F352" s="11"/>
      <c r="G352" s="11"/>
      <c r="H352" s="11"/>
      <c r="I352" s="91"/>
      <c r="J352" s="102"/>
      <c r="K352" s="102"/>
      <c r="L352" s="102"/>
      <c r="M352" s="102"/>
      <c r="N352" s="102"/>
      <c r="O352" s="102"/>
      <c r="P352" s="102"/>
      <c r="Q352" s="102"/>
      <c r="R352" s="102"/>
      <c r="S352" s="102"/>
      <c r="T352" s="102"/>
      <c r="U352" s="102"/>
      <c r="V352" s="102"/>
      <c r="W352" s="102"/>
      <c r="X352" s="102"/>
      <c r="Y352" s="102"/>
      <c r="Z352" s="102"/>
    </row>
    <row r="353" spans="1:26" x14ac:dyDescent="0.3">
      <c r="A353" s="11"/>
      <c r="B353" s="11"/>
      <c r="C353" s="96" t="s">
        <v>3368</v>
      </c>
      <c r="D353" s="11"/>
      <c r="E353" s="11"/>
      <c r="F353" s="11"/>
      <c r="G353" s="11"/>
      <c r="H353" s="11"/>
      <c r="I353" s="91"/>
      <c r="J353" s="102"/>
      <c r="K353" s="102"/>
      <c r="L353" s="102"/>
      <c r="M353" s="102"/>
      <c r="N353" s="102"/>
      <c r="O353" s="102"/>
      <c r="P353" s="102"/>
      <c r="Q353" s="102"/>
      <c r="R353" s="102"/>
      <c r="S353" s="102"/>
      <c r="T353" s="102"/>
      <c r="U353" s="102"/>
      <c r="V353" s="102"/>
      <c r="W353" s="102"/>
      <c r="X353" s="102"/>
      <c r="Y353" s="102"/>
      <c r="Z353" s="102"/>
    </row>
    <row r="354" spans="1:26" x14ac:dyDescent="0.3">
      <c r="A354" s="11"/>
      <c r="B354" s="11"/>
      <c r="C354" s="96" t="s">
        <v>3369</v>
      </c>
      <c r="D354" s="11"/>
      <c r="E354" s="11"/>
      <c r="F354" s="11"/>
      <c r="G354" s="11"/>
      <c r="H354" s="11"/>
      <c r="I354" s="91"/>
      <c r="J354" s="102"/>
      <c r="K354" s="102"/>
      <c r="L354" s="102"/>
      <c r="M354" s="102"/>
      <c r="N354" s="102"/>
      <c r="O354" s="102"/>
      <c r="P354" s="102"/>
      <c r="Q354" s="102"/>
      <c r="R354" s="102"/>
      <c r="S354" s="102"/>
      <c r="T354" s="102"/>
      <c r="U354" s="102"/>
      <c r="V354" s="102"/>
      <c r="W354" s="102"/>
      <c r="X354" s="102"/>
      <c r="Y354" s="102"/>
      <c r="Z354" s="102"/>
    </row>
    <row r="355" spans="1:26" x14ac:dyDescent="0.3">
      <c r="A355" s="9"/>
      <c r="B355" s="9"/>
      <c r="C355" s="96" t="s">
        <v>3370</v>
      </c>
      <c r="D355" s="9"/>
      <c r="E355" s="9"/>
      <c r="F355" s="9"/>
      <c r="G355" s="9"/>
      <c r="H355" s="9"/>
      <c r="I355" s="108"/>
      <c r="J355" s="102"/>
      <c r="K355" s="102"/>
      <c r="L355" s="102"/>
      <c r="M355" s="102"/>
      <c r="N355" s="102"/>
      <c r="O355" s="102"/>
      <c r="P355" s="102"/>
      <c r="Q355" s="102"/>
      <c r="R355" s="102"/>
      <c r="S355" s="102"/>
      <c r="T355" s="102"/>
      <c r="U355" s="102"/>
      <c r="V355" s="102"/>
      <c r="W355" s="102"/>
      <c r="X355" s="102"/>
      <c r="Y355" s="102"/>
      <c r="Z355" s="102"/>
    </row>
    <row r="356" spans="1:26" x14ac:dyDescent="0.3">
      <c r="A356" s="9"/>
      <c r="B356" s="9"/>
      <c r="C356" s="96" t="s">
        <v>3371</v>
      </c>
      <c r="D356" s="9"/>
      <c r="E356" s="9"/>
      <c r="F356" s="9"/>
      <c r="G356" s="9"/>
      <c r="H356" s="9"/>
      <c r="I356" s="108"/>
      <c r="J356" s="102"/>
      <c r="K356" s="102"/>
      <c r="L356" s="102"/>
      <c r="M356" s="102"/>
      <c r="N356" s="102"/>
      <c r="O356" s="102"/>
      <c r="P356" s="102"/>
      <c r="Q356" s="102"/>
      <c r="R356" s="102"/>
      <c r="S356" s="102"/>
      <c r="T356" s="102"/>
      <c r="U356" s="102"/>
      <c r="V356" s="102"/>
      <c r="W356" s="102"/>
      <c r="X356" s="102"/>
      <c r="Y356" s="102"/>
      <c r="Z356" s="102"/>
    </row>
    <row r="357" spans="1:26" x14ac:dyDescent="0.3">
      <c r="A357" s="11"/>
      <c r="B357" s="11"/>
      <c r="C357" s="96" t="s">
        <v>3372</v>
      </c>
      <c r="D357" s="11"/>
      <c r="E357" s="11"/>
      <c r="F357" s="11"/>
      <c r="G357" s="11"/>
      <c r="H357" s="11"/>
      <c r="I357" s="91"/>
      <c r="J357" s="102"/>
      <c r="K357" s="102"/>
      <c r="L357" s="102"/>
      <c r="M357" s="102"/>
      <c r="N357" s="102"/>
      <c r="O357" s="102"/>
      <c r="P357" s="102"/>
      <c r="Q357" s="102"/>
      <c r="R357" s="102"/>
      <c r="S357" s="102"/>
      <c r="T357" s="102"/>
      <c r="U357" s="102"/>
      <c r="V357" s="102"/>
      <c r="W357" s="102"/>
      <c r="X357" s="102"/>
      <c r="Y357" s="102"/>
      <c r="Z357" s="102"/>
    </row>
    <row r="358" spans="1:26" x14ac:dyDescent="0.3">
      <c r="A358" s="9"/>
      <c r="B358" s="9"/>
      <c r="C358" s="9" t="s">
        <v>3373</v>
      </c>
      <c r="D358" s="9"/>
      <c r="E358" s="9"/>
      <c r="F358" s="9"/>
      <c r="G358" s="9"/>
      <c r="H358" s="9"/>
      <c r="I358" s="108"/>
      <c r="J358" s="102"/>
      <c r="K358" s="102"/>
      <c r="L358" s="102"/>
      <c r="M358" s="102"/>
      <c r="N358" s="102"/>
      <c r="O358" s="102"/>
      <c r="P358" s="102"/>
      <c r="Q358" s="102"/>
      <c r="R358" s="102"/>
      <c r="S358" s="102"/>
      <c r="T358" s="102"/>
      <c r="U358" s="102"/>
      <c r="V358" s="102"/>
      <c r="W358" s="102"/>
      <c r="X358" s="102"/>
      <c r="Y358" s="102"/>
      <c r="Z358" s="102"/>
    </row>
    <row r="359" spans="1:26" x14ac:dyDescent="0.3">
      <c r="A359" s="11"/>
      <c r="B359" s="11"/>
      <c r="C359" s="11"/>
      <c r="D359" s="11"/>
      <c r="E359" s="11"/>
      <c r="F359" s="11"/>
      <c r="G359" s="11"/>
      <c r="H359" s="11"/>
      <c r="I359" s="91"/>
      <c r="J359" s="102"/>
      <c r="K359" s="102"/>
      <c r="L359" s="102"/>
      <c r="M359" s="102"/>
      <c r="N359" s="102"/>
      <c r="O359" s="102"/>
      <c r="P359" s="102"/>
      <c r="Q359" s="102"/>
      <c r="R359" s="102"/>
      <c r="S359" s="102"/>
      <c r="T359" s="102"/>
      <c r="U359" s="102"/>
      <c r="V359" s="102"/>
      <c r="W359" s="102"/>
      <c r="X359" s="102"/>
      <c r="Y359" s="102"/>
      <c r="Z359" s="102"/>
    </row>
    <row r="360" spans="1:26" x14ac:dyDescent="0.3">
      <c r="A360" s="10"/>
      <c r="B360" s="10"/>
      <c r="C360" s="9" t="s">
        <v>3374</v>
      </c>
      <c r="D360" s="10"/>
      <c r="E360" s="10"/>
      <c r="F360" s="10"/>
      <c r="G360" s="10"/>
      <c r="H360" s="10"/>
      <c r="I360" s="117"/>
      <c r="J360" s="102"/>
      <c r="K360" s="102"/>
      <c r="L360" s="102"/>
      <c r="M360" s="102"/>
      <c r="N360" s="102"/>
      <c r="O360" s="102"/>
      <c r="P360" s="102"/>
      <c r="Q360" s="102"/>
      <c r="R360" s="102"/>
      <c r="S360" s="102"/>
      <c r="T360" s="102"/>
      <c r="U360" s="102"/>
      <c r="V360" s="102"/>
      <c r="W360" s="102"/>
      <c r="X360" s="102"/>
      <c r="Y360" s="102"/>
      <c r="Z360" s="102"/>
    </row>
    <row r="361" spans="1:26" x14ac:dyDescent="0.3">
      <c r="A361" s="10"/>
      <c r="B361" s="10"/>
      <c r="C361" s="9" t="s">
        <v>3375</v>
      </c>
      <c r="D361" s="10"/>
      <c r="E361" s="10"/>
      <c r="F361" s="10"/>
      <c r="G361" s="10"/>
      <c r="H361" s="10"/>
      <c r="I361" s="117"/>
      <c r="J361" s="102"/>
      <c r="K361" s="102"/>
      <c r="L361" s="102"/>
      <c r="M361" s="102"/>
      <c r="N361" s="102"/>
      <c r="O361" s="102"/>
      <c r="P361" s="102"/>
      <c r="Q361" s="102"/>
      <c r="R361" s="102"/>
      <c r="S361" s="102"/>
      <c r="T361" s="102"/>
      <c r="U361" s="102"/>
      <c r="V361" s="102"/>
      <c r="W361" s="102"/>
      <c r="X361" s="102"/>
      <c r="Y361" s="102"/>
      <c r="Z361" s="102"/>
    </row>
    <row r="362" spans="1:26" x14ac:dyDescent="0.3">
      <c r="A362" s="9"/>
      <c r="B362" s="9"/>
      <c r="C362" s="96" t="s">
        <v>3376</v>
      </c>
      <c r="D362" s="9"/>
      <c r="E362" s="9"/>
      <c r="F362" s="9"/>
      <c r="G362" s="9"/>
      <c r="H362" s="9"/>
      <c r="I362" s="108"/>
      <c r="J362" s="102"/>
      <c r="K362" s="102"/>
      <c r="L362" s="102"/>
      <c r="M362" s="102"/>
      <c r="N362" s="102"/>
      <c r="O362" s="102"/>
      <c r="P362" s="102"/>
      <c r="Q362" s="102"/>
      <c r="R362" s="102"/>
      <c r="S362" s="102"/>
      <c r="T362" s="102"/>
      <c r="U362" s="102"/>
      <c r="V362" s="102"/>
      <c r="W362" s="102"/>
      <c r="X362" s="102"/>
      <c r="Y362" s="102"/>
      <c r="Z362" s="102"/>
    </row>
    <row r="363" spans="1:26" x14ac:dyDescent="0.3">
      <c r="A363" s="11"/>
      <c r="B363" s="11"/>
      <c r="C363" s="96" t="s">
        <v>3377</v>
      </c>
      <c r="D363" s="11"/>
      <c r="E363" s="11"/>
      <c r="F363" s="11"/>
      <c r="G363" s="11"/>
      <c r="H363" s="11"/>
      <c r="I363" s="91"/>
      <c r="J363" s="102"/>
      <c r="K363" s="102"/>
      <c r="L363" s="102"/>
      <c r="M363" s="102"/>
      <c r="N363" s="102"/>
      <c r="O363" s="102"/>
      <c r="P363" s="102"/>
      <c r="Q363" s="102"/>
      <c r="R363" s="102"/>
      <c r="S363" s="102"/>
      <c r="T363" s="102"/>
      <c r="U363" s="102"/>
      <c r="V363" s="102"/>
      <c r="W363" s="102"/>
      <c r="X363" s="102"/>
      <c r="Y363" s="102"/>
      <c r="Z363" s="102"/>
    </row>
    <row r="364" spans="1:26" x14ac:dyDescent="0.3">
      <c r="A364" s="9"/>
      <c r="B364" s="9"/>
      <c r="C364" s="9" t="s">
        <v>3378</v>
      </c>
      <c r="D364" s="9"/>
      <c r="E364" s="9"/>
      <c r="F364" s="9"/>
      <c r="G364" s="9"/>
      <c r="H364" s="9"/>
      <c r="I364" s="108"/>
      <c r="J364" s="102"/>
      <c r="K364" s="102"/>
      <c r="L364" s="102"/>
      <c r="M364" s="102"/>
      <c r="N364" s="102"/>
      <c r="O364" s="102"/>
      <c r="P364" s="102"/>
      <c r="Q364" s="102"/>
      <c r="R364" s="102"/>
      <c r="S364" s="102"/>
      <c r="T364" s="102"/>
      <c r="U364" s="102"/>
      <c r="V364" s="102"/>
      <c r="W364" s="102"/>
      <c r="X364" s="102"/>
      <c r="Y364" s="102"/>
      <c r="Z364" s="102"/>
    </row>
    <row r="365" spans="1:26" x14ac:dyDescent="0.3">
      <c r="A365" s="109">
        <v>6.1</v>
      </c>
      <c r="B365" s="95" t="s">
        <v>3379</v>
      </c>
      <c r="C365" s="9" t="s">
        <v>3380</v>
      </c>
      <c r="D365" s="95" t="s">
        <v>3381</v>
      </c>
      <c r="E365" s="111">
        <v>2</v>
      </c>
      <c r="F365" s="112"/>
      <c r="G365" s="112"/>
      <c r="H365" s="113">
        <f t="shared" ref="H365:H367" si="44">E365*F365</f>
        <v>0</v>
      </c>
      <c r="I365" s="113">
        <f t="shared" ref="I365:I367" si="45">E365*G365</f>
        <v>0</v>
      </c>
      <c r="J365" s="102"/>
      <c r="K365" s="102"/>
      <c r="L365" s="102"/>
      <c r="M365" s="102"/>
      <c r="N365" s="102"/>
      <c r="O365" s="102"/>
      <c r="P365" s="102"/>
      <c r="Q365" s="102"/>
      <c r="R365" s="102"/>
      <c r="S365" s="102"/>
      <c r="T365" s="102"/>
      <c r="U365" s="102"/>
      <c r="V365" s="102"/>
      <c r="W365" s="102"/>
      <c r="X365" s="102"/>
      <c r="Y365" s="102"/>
      <c r="Z365" s="102"/>
    </row>
    <row r="366" spans="1:26" x14ac:dyDescent="0.3">
      <c r="A366" s="109">
        <v>6.2</v>
      </c>
      <c r="B366" s="95" t="s">
        <v>3382</v>
      </c>
      <c r="C366" s="9" t="s">
        <v>3383</v>
      </c>
      <c r="D366" s="95" t="s">
        <v>3384</v>
      </c>
      <c r="E366" s="111">
        <v>2</v>
      </c>
      <c r="F366" s="112"/>
      <c r="G366" s="112"/>
      <c r="H366" s="113">
        <f t="shared" si="44"/>
        <v>0</v>
      </c>
      <c r="I366" s="113">
        <f t="shared" si="45"/>
        <v>0</v>
      </c>
      <c r="J366" s="102"/>
      <c r="K366" s="102"/>
      <c r="L366" s="102"/>
      <c r="M366" s="102"/>
      <c r="N366" s="102"/>
      <c r="O366" s="102"/>
      <c r="P366" s="102"/>
      <c r="Q366" s="102"/>
      <c r="R366" s="102"/>
      <c r="S366" s="102"/>
      <c r="T366" s="102"/>
      <c r="U366" s="102"/>
      <c r="V366" s="102"/>
      <c r="W366" s="102"/>
      <c r="X366" s="102"/>
      <c r="Y366" s="102"/>
      <c r="Z366" s="102"/>
    </row>
    <row r="367" spans="1:26" x14ac:dyDescent="0.3">
      <c r="A367" s="109">
        <v>6.3</v>
      </c>
      <c r="B367" s="95" t="s">
        <v>3385</v>
      </c>
      <c r="C367" s="9" t="s">
        <v>3386</v>
      </c>
      <c r="D367" s="95" t="s">
        <v>3387</v>
      </c>
      <c r="E367" s="111">
        <v>2</v>
      </c>
      <c r="F367" s="112"/>
      <c r="G367" s="112"/>
      <c r="H367" s="113">
        <f t="shared" si="44"/>
        <v>0</v>
      </c>
      <c r="I367" s="113">
        <f t="shared" si="45"/>
        <v>0</v>
      </c>
      <c r="J367" s="102"/>
      <c r="K367" s="102"/>
      <c r="L367" s="102"/>
      <c r="M367" s="102"/>
      <c r="N367" s="102"/>
      <c r="O367" s="102"/>
      <c r="P367" s="102"/>
      <c r="Q367" s="102"/>
      <c r="R367" s="102"/>
      <c r="S367" s="102"/>
      <c r="T367" s="102"/>
      <c r="U367" s="102"/>
      <c r="V367" s="102"/>
      <c r="W367" s="102"/>
      <c r="X367" s="102"/>
      <c r="Y367" s="102"/>
      <c r="Z367" s="102"/>
    </row>
    <row r="368" spans="1:26" x14ac:dyDescent="0.3">
      <c r="A368" s="11"/>
      <c r="B368" s="11"/>
      <c r="C368" s="11"/>
      <c r="D368" s="11"/>
      <c r="E368" s="11"/>
      <c r="F368" s="11"/>
      <c r="G368" s="11"/>
      <c r="H368" s="11"/>
      <c r="I368" s="91"/>
      <c r="J368" s="102"/>
      <c r="K368" s="102"/>
      <c r="L368" s="102"/>
      <c r="M368" s="102"/>
      <c r="N368" s="102"/>
      <c r="O368" s="102"/>
      <c r="P368" s="102"/>
      <c r="Q368" s="102"/>
      <c r="R368" s="102"/>
      <c r="S368" s="102"/>
      <c r="T368" s="102"/>
      <c r="U368" s="102"/>
      <c r="V368" s="102"/>
      <c r="W368" s="102"/>
      <c r="X368" s="102"/>
      <c r="Y368" s="102"/>
      <c r="Z368" s="102"/>
    </row>
    <row r="369" spans="1:26" x14ac:dyDescent="0.3">
      <c r="A369" s="106">
        <v>7</v>
      </c>
      <c r="B369" s="95" t="s">
        <v>3388</v>
      </c>
      <c r="C369" s="105" t="s">
        <v>3389</v>
      </c>
      <c r="D369" s="10"/>
      <c r="E369" s="10"/>
      <c r="F369" s="10"/>
      <c r="G369" s="10"/>
      <c r="H369" s="10"/>
      <c r="I369" s="117"/>
      <c r="J369" s="102"/>
      <c r="K369" s="102"/>
      <c r="L369" s="102"/>
      <c r="M369" s="102"/>
      <c r="N369" s="102"/>
      <c r="O369" s="102"/>
      <c r="P369" s="102"/>
      <c r="Q369" s="102"/>
      <c r="R369" s="102"/>
      <c r="S369" s="102"/>
      <c r="T369" s="102"/>
      <c r="U369" s="102"/>
      <c r="V369" s="102"/>
      <c r="W369" s="102"/>
      <c r="X369" s="102"/>
      <c r="Y369" s="102"/>
      <c r="Z369" s="102"/>
    </row>
    <row r="370" spans="1:26" x14ac:dyDescent="0.3">
      <c r="A370" s="9"/>
      <c r="B370" s="9"/>
      <c r="C370" s="9" t="s">
        <v>3390</v>
      </c>
      <c r="D370" s="9"/>
      <c r="E370" s="9"/>
      <c r="F370" s="9"/>
      <c r="G370" s="9"/>
      <c r="H370" s="9"/>
      <c r="I370" s="108"/>
      <c r="J370" s="102"/>
      <c r="K370" s="102"/>
      <c r="L370" s="102"/>
      <c r="M370" s="102"/>
      <c r="N370" s="102"/>
      <c r="O370" s="102"/>
      <c r="P370" s="102"/>
      <c r="Q370" s="102"/>
      <c r="R370" s="102"/>
      <c r="S370" s="102"/>
      <c r="T370" s="102"/>
      <c r="U370" s="102"/>
      <c r="V370" s="102"/>
      <c r="W370" s="102"/>
      <c r="X370" s="102"/>
      <c r="Y370" s="102"/>
      <c r="Z370" s="102"/>
    </row>
    <row r="371" spans="1:26" x14ac:dyDescent="0.3">
      <c r="A371" s="9"/>
      <c r="B371" s="9"/>
      <c r="C371" s="9" t="s">
        <v>3391</v>
      </c>
      <c r="D371" s="9"/>
      <c r="E371" s="9"/>
      <c r="F371" s="9"/>
      <c r="G371" s="9"/>
      <c r="H371" s="9"/>
      <c r="I371" s="108"/>
      <c r="J371" s="102"/>
      <c r="K371" s="102"/>
      <c r="L371" s="102"/>
      <c r="M371" s="102"/>
      <c r="N371" s="102"/>
      <c r="O371" s="102"/>
      <c r="P371" s="102"/>
      <c r="Q371" s="102"/>
      <c r="R371" s="102"/>
      <c r="S371" s="102"/>
      <c r="T371" s="102"/>
      <c r="U371" s="102"/>
      <c r="V371" s="102"/>
      <c r="W371" s="102"/>
      <c r="X371" s="102"/>
      <c r="Y371" s="102"/>
      <c r="Z371" s="102"/>
    </row>
    <row r="372" spans="1:26" x14ac:dyDescent="0.3">
      <c r="A372" s="109">
        <v>7.1</v>
      </c>
      <c r="B372" s="11"/>
      <c r="C372" s="96" t="s">
        <v>3392</v>
      </c>
      <c r="D372" s="95" t="s">
        <v>3393</v>
      </c>
      <c r="E372" s="111">
        <v>1</v>
      </c>
      <c r="F372" s="112"/>
      <c r="G372" s="112"/>
      <c r="H372" s="113">
        <f>E372*F372</f>
        <v>0</v>
      </c>
      <c r="I372" s="113">
        <f>E372*G372</f>
        <v>0</v>
      </c>
      <c r="J372" s="102"/>
      <c r="K372" s="102"/>
      <c r="L372" s="102"/>
      <c r="M372" s="102"/>
      <c r="N372" s="102"/>
      <c r="O372" s="102"/>
      <c r="P372" s="102"/>
      <c r="Q372" s="102"/>
      <c r="R372" s="102"/>
      <c r="S372" s="102"/>
      <c r="T372" s="102"/>
      <c r="U372" s="102"/>
      <c r="V372" s="102"/>
      <c r="W372" s="102"/>
      <c r="X372" s="102"/>
      <c r="Y372" s="102"/>
      <c r="Z372" s="102"/>
    </row>
    <row r="373" spans="1:26" x14ac:dyDescent="0.3">
      <c r="A373" s="11"/>
      <c r="B373" s="11"/>
      <c r="C373" s="11"/>
      <c r="D373" s="11"/>
      <c r="E373" s="11"/>
      <c r="F373" s="11"/>
      <c r="G373" s="11"/>
      <c r="H373" s="11"/>
      <c r="I373" s="91"/>
      <c r="J373" s="102"/>
      <c r="K373" s="102"/>
      <c r="L373" s="102"/>
      <c r="M373" s="102"/>
      <c r="N373" s="102"/>
      <c r="O373" s="102"/>
      <c r="P373" s="102"/>
      <c r="Q373" s="102"/>
      <c r="R373" s="102"/>
      <c r="S373" s="102"/>
      <c r="T373" s="102"/>
      <c r="U373" s="102"/>
      <c r="V373" s="102"/>
      <c r="W373" s="102"/>
      <c r="X373" s="102"/>
      <c r="Y373" s="102"/>
      <c r="Z373" s="102"/>
    </row>
    <row r="374" spans="1:26" x14ac:dyDescent="0.3">
      <c r="A374" s="106">
        <v>8</v>
      </c>
      <c r="B374" s="95" t="s">
        <v>3394</v>
      </c>
      <c r="C374" s="105" t="s">
        <v>3395</v>
      </c>
      <c r="D374" s="11"/>
      <c r="E374" s="11"/>
      <c r="F374" s="11"/>
      <c r="G374" s="11"/>
      <c r="H374" s="11"/>
      <c r="I374" s="91"/>
      <c r="J374" s="102"/>
      <c r="K374" s="102"/>
      <c r="L374" s="102"/>
      <c r="M374" s="102"/>
      <c r="N374" s="102"/>
      <c r="O374" s="102"/>
      <c r="P374" s="102"/>
      <c r="Q374" s="102"/>
      <c r="R374" s="102"/>
      <c r="S374" s="102"/>
      <c r="T374" s="102"/>
      <c r="U374" s="102"/>
      <c r="V374" s="102"/>
      <c r="W374" s="102"/>
      <c r="X374" s="102"/>
      <c r="Y374" s="102"/>
      <c r="Z374" s="102"/>
    </row>
    <row r="375" spans="1:26" x14ac:dyDescent="0.3">
      <c r="A375" s="9"/>
      <c r="B375" s="9"/>
      <c r="C375" s="9" t="s">
        <v>3396</v>
      </c>
      <c r="D375" s="9"/>
      <c r="E375" s="9"/>
      <c r="F375" s="9"/>
      <c r="G375" s="9"/>
      <c r="H375" s="9"/>
      <c r="I375" s="108"/>
      <c r="J375" s="102"/>
      <c r="K375" s="102"/>
      <c r="L375" s="102"/>
      <c r="M375" s="102"/>
      <c r="N375" s="102"/>
      <c r="O375" s="102"/>
      <c r="P375" s="102"/>
      <c r="Q375" s="102"/>
      <c r="R375" s="102"/>
      <c r="S375" s="102"/>
      <c r="T375" s="102"/>
      <c r="U375" s="102"/>
      <c r="V375" s="102"/>
      <c r="W375" s="102"/>
      <c r="X375" s="102"/>
      <c r="Y375" s="102"/>
      <c r="Z375" s="102"/>
    </row>
    <row r="376" spans="1:26" x14ac:dyDescent="0.3">
      <c r="A376" s="9"/>
      <c r="B376" s="9"/>
      <c r="C376" s="9" t="s">
        <v>3397</v>
      </c>
      <c r="D376" s="9"/>
      <c r="E376" s="9"/>
      <c r="F376" s="9"/>
      <c r="G376" s="9"/>
      <c r="H376" s="9"/>
      <c r="I376" s="108"/>
      <c r="J376" s="102"/>
      <c r="K376" s="102"/>
      <c r="L376" s="102"/>
      <c r="M376" s="102"/>
      <c r="N376" s="102"/>
      <c r="O376" s="102"/>
      <c r="P376" s="102"/>
      <c r="Q376" s="102"/>
      <c r="R376" s="102"/>
      <c r="S376" s="102"/>
      <c r="T376" s="102"/>
      <c r="U376" s="102"/>
      <c r="V376" s="102"/>
      <c r="W376" s="102"/>
      <c r="X376" s="102"/>
      <c r="Y376" s="102"/>
      <c r="Z376" s="102"/>
    </row>
    <row r="377" spans="1:26" x14ac:dyDescent="0.3">
      <c r="A377" s="11"/>
      <c r="B377" s="11"/>
      <c r="C377" s="11"/>
      <c r="D377" s="11"/>
      <c r="E377" s="11"/>
      <c r="F377" s="11"/>
      <c r="G377" s="11"/>
      <c r="H377" s="11"/>
      <c r="I377" s="91"/>
      <c r="J377" s="102"/>
      <c r="K377" s="102"/>
      <c r="L377" s="102"/>
      <c r="M377" s="102"/>
      <c r="N377" s="102"/>
      <c r="O377" s="102"/>
      <c r="P377" s="102"/>
      <c r="Q377" s="102"/>
      <c r="R377" s="102"/>
      <c r="S377" s="102"/>
      <c r="T377" s="102"/>
      <c r="U377" s="102"/>
      <c r="V377" s="102"/>
      <c r="W377" s="102"/>
      <c r="X377" s="102"/>
      <c r="Y377" s="102"/>
      <c r="Z377" s="102"/>
    </row>
    <row r="378" spans="1:26" x14ac:dyDescent="0.3">
      <c r="A378" s="109">
        <v>8.1</v>
      </c>
      <c r="B378" s="11"/>
      <c r="C378" s="96" t="s">
        <v>3398</v>
      </c>
      <c r="D378" s="96" t="s">
        <v>3399</v>
      </c>
      <c r="E378" s="111">
        <v>1</v>
      </c>
      <c r="F378" s="136">
        <v>600000</v>
      </c>
      <c r="G378" s="136">
        <v>50000</v>
      </c>
      <c r="H378" s="113">
        <f>E378*F378</f>
        <v>600000</v>
      </c>
      <c r="I378" s="113">
        <f>E378*G378</f>
        <v>50000</v>
      </c>
      <c r="J378" s="102"/>
      <c r="K378" s="102"/>
      <c r="L378" s="102"/>
      <c r="M378" s="102"/>
      <c r="N378" s="102"/>
      <c r="O378" s="102"/>
      <c r="P378" s="102"/>
      <c r="Q378" s="102"/>
      <c r="R378" s="102"/>
      <c r="S378" s="102"/>
      <c r="T378" s="102"/>
      <c r="U378" s="102"/>
      <c r="V378" s="102"/>
      <c r="W378" s="102"/>
      <c r="X378" s="102"/>
      <c r="Y378" s="102"/>
      <c r="Z378" s="102"/>
    </row>
    <row r="379" spans="1:26" x14ac:dyDescent="0.3">
      <c r="A379" s="11"/>
      <c r="B379" s="11"/>
      <c r="C379" s="11"/>
      <c r="D379" s="11"/>
      <c r="E379" s="11"/>
      <c r="F379" s="11"/>
      <c r="G379" s="11"/>
      <c r="H379" s="11"/>
      <c r="I379" s="91"/>
      <c r="J379" s="102"/>
      <c r="K379" s="102"/>
      <c r="L379" s="102"/>
      <c r="M379" s="102"/>
      <c r="N379" s="102"/>
      <c r="O379" s="102"/>
      <c r="P379" s="102"/>
      <c r="Q379" s="102"/>
      <c r="R379" s="102"/>
      <c r="S379" s="102"/>
      <c r="T379" s="102"/>
      <c r="U379" s="102"/>
      <c r="V379" s="102"/>
      <c r="W379" s="102"/>
      <c r="X379" s="102"/>
      <c r="Y379" s="102"/>
      <c r="Z379" s="102"/>
    </row>
    <row r="380" spans="1:26" x14ac:dyDescent="0.3">
      <c r="A380" s="106">
        <v>9</v>
      </c>
      <c r="B380" s="95" t="s">
        <v>3400</v>
      </c>
      <c r="C380" s="105" t="s">
        <v>3401</v>
      </c>
      <c r="D380" s="11"/>
      <c r="E380" s="11"/>
      <c r="F380" s="11"/>
      <c r="G380" s="11"/>
      <c r="H380" s="11"/>
      <c r="I380" s="91"/>
      <c r="J380" s="102"/>
      <c r="K380" s="102"/>
      <c r="L380" s="102"/>
      <c r="M380" s="102"/>
      <c r="N380" s="102"/>
      <c r="O380" s="102"/>
      <c r="P380" s="102"/>
      <c r="Q380" s="102"/>
      <c r="R380" s="102"/>
      <c r="S380" s="102"/>
      <c r="T380" s="102"/>
      <c r="U380" s="102"/>
      <c r="V380" s="102"/>
      <c r="W380" s="102"/>
      <c r="X380" s="102"/>
      <c r="Y380" s="102"/>
      <c r="Z380" s="102"/>
    </row>
    <row r="381" spans="1:26" x14ac:dyDescent="0.3">
      <c r="A381" s="9"/>
      <c r="B381" s="9"/>
      <c r="C381" s="96" t="s">
        <v>3402</v>
      </c>
      <c r="D381" s="9"/>
      <c r="E381" s="9"/>
      <c r="F381" s="9"/>
      <c r="G381" s="9"/>
      <c r="H381" s="9"/>
      <c r="I381" s="108"/>
      <c r="J381" s="102"/>
      <c r="K381" s="102"/>
      <c r="L381" s="102"/>
      <c r="M381" s="102"/>
      <c r="N381" s="102"/>
      <c r="O381" s="102"/>
      <c r="P381" s="102"/>
      <c r="Q381" s="102"/>
      <c r="R381" s="102"/>
      <c r="S381" s="102"/>
      <c r="T381" s="102"/>
      <c r="U381" s="102"/>
      <c r="V381" s="102"/>
      <c r="W381" s="102"/>
      <c r="X381" s="102"/>
      <c r="Y381" s="102"/>
      <c r="Z381" s="102"/>
    </row>
    <row r="382" spans="1:26" x14ac:dyDescent="0.3">
      <c r="A382" s="9"/>
      <c r="B382" s="9"/>
      <c r="C382" s="9" t="s">
        <v>3403</v>
      </c>
      <c r="D382" s="9"/>
      <c r="E382" s="9"/>
      <c r="F382" s="9"/>
      <c r="G382" s="9"/>
      <c r="H382" s="9"/>
      <c r="I382" s="108"/>
      <c r="J382" s="102"/>
      <c r="K382" s="102"/>
      <c r="L382" s="102"/>
      <c r="M382" s="102"/>
      <c r="N382" s="102"/>
      <c r="O382" s="102"/>
      <c r="P382" s="102"/>
      <c r="Q382" s="102"/>
      <c r="R382" s="102"/>
      <c r="S382" s="102"/>
      <c r="T382" s="102"/>
      <c r="U382" s="102"/>
      <c r="V382" s="102"/>
      <c r="W382" s="102"/>
      <c r="X382" s="102"/>
      <c r="Y382" s="102"/>
      <c r="Z382" s="102"/>
    </row>
    <row r="383" spans="1:26" x14ac:dyDescent="0.3">
      <c r="A383" s="109">
        <v>9.1</v>
      </c>
      <c r="B383" s="11"/>
      <c r="C383" s="96" t="s">
        <v>3404</v>
      </c>
      <c r="D383" s="96" t="s">
        <v>3405</v>
      </c>
      <c r="E383" s="111">
        <v>1</v>
      </c>
      <c r="F383" s="136"/>
      <c r="G383" s="136"/>
      <c r="H383" s="113">
        <f>E383*F383</f>
        <v>0</v>
      </c>
      <c r="I383" s="113">
        <f>E383*G383</f>
        <v>0</v>
      </c>
      <c r="J383" s="102"/>
      <c r="K383" s="102"/>
      <c r="L383" s="102"/>
      <c r="M383" s="102"/>
      <c r="N383" s="102"/>
      <c r="O383" s="102"/>
      <c r="P383" s="102"/>
      <c r="Q383" s="102"/>
      <c r="R383" s="102"/>
      <c r="S383" s="102"/>
      <c r="T383" s="102"/>
      <c r="U383" s="102"/>
      <c r="V383" s="102"/>
      <c r="W383" s="102"/>
      <c r="X383" s="102"/>
      <c r="Y383" s="102"/>
      <c r="Z383" s="102"/>
    </row>
    <row r="384" spans="1:26" x14ac:dyDescent="0.3">
      <c r="A384" s="11"/>
      <c r="B384" s="11"/>
      <c r="C384" s="11"/>
      <c r="D384" s="11"/>
      <c r="E384" s="11"/>
      <c r="F384" s="11"/>
      <c r="G384" s="11"/>
      <c r="H384" s="11"/>
      <c r="I384" s="91"/>
      <c r="J384" s="102"/>
      <c r="K384" s="102"/>
      <c r="L384" s="102"/>
      <c r="M384" s="102"/>
      <c r="N384" s="102"/>
      <c r="O384" s="102"/>
      <c r="P384" s="102"/>
      <c r="Q384" s="102"/>
      <c r="R384" s="102"/>
      <c r="S384" s="102"/>
      <c r="T384" s="102"/>
      <c r="U384" s="102"/>
      <c r="V384" s="102"/>
      <c r="W384" s="102"/>
      <c r="X384" s="102"/>
      <c r="Y384" s="102"/>
      <c r="Z384" s="102"/>
    </row>
    <row r="385" spans="1:26" x14ac:dyDescent="0.3">
      <c r="A385" s="106">
        <v>10</v>
      </c>
      <c r="B385" s="95" t="s">
        <v>3406</v>
      </c>
      <c r="C385" s="105" t="s">
        <v>3407</v>
      </c>
      <c r="D385" s="10"/>
      <c r="E385" s="10"/>
      <c r="F385" s="10"/>
      <c r="G385" s="10"/>
      <c r="H385" s="10"/>
      <c r="I385" s="117"/>
      <c r="J385" s="102"/>
      <c r="K385" s="102"/>
      <c r="L385" s="102"/>
      <c r="M385" s="102"/>
      <c r="N385" s="102"/>
      <c r="O385" s="102"/>
      <c r="P385" s="102"/>
      <c r="Q385" s="102"/>
      <c r="R385" s="102"/>
      <c r="S385" s="102"/>
      <c r="T385" s="102"/>
      <c r="U385" s="102"/>
      <c r="V385" s="102"/>
      <c r="W385" s="102"/>
      <c r="X385" s="102"/>
      <c r="Y385" s="102"/>
      <c r="Z385" s="102"/>
    </row>
    <row r="386" spans="1:26" x14ac:dyDescent="0.3">
      <c r="A386" s="9"/>
      <c r="B386" s="9"/>
      <c r="C386" s="9" t="s">
        <v>3408</v>
      </c>
      <c r="D386" s="9"/>
      <c r="E386" s="9"/>
      <c r="F386" s="9"/>
      <c r="G386" s="9"/>
      <c r="H386" s="9"/>
      <c r="I386" s="108"/>
      <c r="J386" s="102"/>
      <c r="K386" s="102"/>
      <c r="L386" s="102"/>
      <c r="M386" s="102"/>
      <c r="N386" s="102"/>
      <c r="O386" s="102"/>
      <c r="P386" s="102"/>
      <c r="Q386" s="102"/>
      <c r="R386" s="102"/>
      <c r="S386" s="102"/>
      <c r="T386" s="102"/>
      <c r="U386" s="102"/>
      <c r="V386" s="102"/>
      <c r="W386" s="102"/>
      <c r="X386" s="102"/>
      <c r="Y386" s="102"/>
      <c r="Z386" s="102"/>
    </row>
    <row r="387" spans="1:26" x14ac:dyDescent="0.3">
      <c r="A387" s="9"/>
      <c r="B387" s="9"/>
      <c r="C387" s="96" t="s">
        <v>3409</v>
      </c>
      <c r="D387" s="9"/>
      <c r="E387" s="9"/>
      <c r="F387" s="9"/>
      <c r="G387" s="9"/>
      <c r="H387" s="9"/>
      <c r="I387" s="108"/>
      <c r="J387" s="102"/>
      <c r="K387" s="102"/>
      <c r="L387" s="102"/>
      <c r="M387" s="102"/>
      <c r="N387" s="102"/>
      <c r="O387" s="102"/>
      <c r="P387" s="102"/>
      <c r="Q387" s="102"/>
      <c r="R387" s="102"/>
      <c r="S387" s="102"/>
      <c r="T387" s="102"/>
      <c r="U387" s="102"/>
      <c r="V387" s="102"/>
      <c r="W387" s="102"/>
      <c r="X387" s="102"/>
      <c r="Y387" s="102"/>
      <c r="Z387" s="102"/>
    </row>
    <row r="388" spans="1:26" x14ac:dyDescent="0.3">
      <c r="A388" s="11"/>
      <c r="B388" s="11"/>
      <c r="C388" s="96" t="s">
        <v>3410</v>
      </c>
      <c r="D388" s="11"/>
      <c r="E388" s="11"/>
      <c r="F388" s="11"/>
      <c r="G388" s="11"/>
      <c r="H388" s="11"/>
      <c r="I388" s="91"/>
      <c r="J388" s="102"/>
      <c r="K388" s="102"/>
      <c r="L388" s="102"/>
      <c r="M388" s="102"/>
      <c r="N388" s="102"/>
      <c r="O388" s="102"/>
      <c r="P388" s="102"/>
      <c r="Q388" s="102"/>
      <c r="R388" s="102"/>
      <c r="S388" s="102"/>
      <c r="T388" s="102"/>
      <c r="U388" s="102"/>
      <c r="V388" s="102"/>
      <c r="W388" s="102"/>
      <c r="X388" s="102"/>
      <c r="Y388" s="102"/>
      <c r="Z388" s="102"/>
    </row>
    <row r="389" spans="1:26" x14ac:dyDescent="0.3">
      <c r="A389" s="11"/>
      <c r="B389" s="11"/>
      <c r="C389" s="96" t="s">
        <v>3411</v>
      </c>
      <c r="D389" s="11"/>
      <c r="E389" s="11"/>
      <c r="F389" s="11"/>
      <c r="G389" s="11"/>
      <c r="H389" s="11"/>
      <c r="I389" s="91"/>
      <c r="J389" s="102"/>
      <c r="K389" s="102"/>
      <c r="L389" s="102"/>
      <c r="M389" s="102"/>
      <c r="N389" s="102"/>
      <c r="O389" s="102"/>
      <c r="P389" s="102"/>
      <c r="Q389" s="102"/>
      <c r="R389" s="102"/>
      <c r="S389" s="102"/>
      <c r="T389" s="102"/>
      <c r="U389" s="102"/>
      <c r="V389" s="102"/>
      <c r="W389" s="102"/>
      <c r="X389" s="102"/>
      <c r="Y389" s="102"/>
      <c r="Z389" s="102"/>
    </row>
    <row r="390" spans="1:26" x14ac:dyDescent="0.3">
      <c r="A390" s="11"/>
      <c r="B390" s="11"/>
      <c r="C390" s="96" t="s">
        <v>3412</v>
      </c>
      <c r="D390" s="11"/>
      <c r="E390" s="11"/>
      <c r="F390" s="11"/>
      <c r="G390" s="11"/>
      <c r="H390" s="11"/>
      <c r="I390" s="91"/>
      <c r="J390" s="102"/>
      <c r="K390" s="102"/>
      <c r="L390" s="102"/>
      <c r="M390" s="102"/>
      <c r="N390" s="102"/>
      <c r="O390" s="102"/>
      <c r="P390" s="102"/>
      <c r="Q390" s="102"/>
      <c r="R390" s="102"/>
      <c r="S390" s="102"/>
      <c r="T390" s="102"/>
      <c r="U390" s="102"/>
      <c r="V390" s="102"/>
      <c r="W390" s="102"/>
      <c r="X390" s="102"/>
      <c r="Y390" s="102"/>
      <c r="Z390" s="102"/>
    </row>
    <row r="391" spans="1:26" x14ac:dyDescent="0.3">
      <c r="A391" s="10"/>
      <c r="B391" s="10"/>
      <c r="C391" s="9" t="s">
        <v>3413</v>
      </c>
      <c r="D391" s="10"/>
      <c r="E391" s="10"/>
      <c r="F391" s="10"/>
      <c r="G391" s="10"/>
      <c r="H391" s="10"/>
      <c r="I391" s="117"/>
      <c r="J391" s="102"/>
      <c r="K391" s="102"/>
      <c r="L391" s="102"/>
      <c r="M391" s="102"/>
      <c r="N391" s="102"/>
      <c r="O391" s="102"/>
      <c r="P391" s="102"/>
      <c r="Q391" s="102"/>
      <c r="R391" s="102"/>
      <c r="S391" s="102"/>
      <c r="T391" s="102"/>
      <c r="U391" s="102"/>
      <c r="V391" s="102"/>
      <c r="W391" s="102"/>
      <c r="X391" s="102"/>
      <c r="Y391" s="102"/>
      <c r="Z391" s="102"/>
    </row>
    <row r="392" spans="1:26" x14ac:dyDescent="0.3">
      <c r="A392" s="11"/>
      <c r="B392" s="11"/>
      <c r="C392" s="96" t="s">
        <v>3414</v>
      </c>
      <c r="D392" s="11"/>
      <c r="E392" s="11"/>
      <c r="F392" s="11"/>
      <c r="G392" s="11"/>
      <c r="H392" s="11"/>
      <c r="I392" s="91"/>
      <c r="J392" s="102"/>
      <c r="K392" s="102"/>
      <c r="L392" s="102"/>
      <c r="M392" s="102"/>
      <c r="N392" s="102"/>
      <c r="O392" s="102"/>
      <c r="P392" s="102"/>
      <c r="Q392" s="102"/>
      <c r="R392" s="102"/>
      <c r="S392" s="102"/>
      <c r="T392" s="102"/>
      <c r="U392" s="102"/>
      <c r="V392" s="102"/>
      <c r="W392" s="102"/>
      <c r="X392" s="102"/>
      <c r="Y392" s="102"/>
      <c r="Z392" s="102"/>
    </row>
    <row r="393" spans="1:26" x14ac:dyDescent="0.3">
      <c r="A393" s="10"/>
      <c r="B393" s="10"/>
      <c r="C393" s="96" t="s">
        <v>3415</v>
      </c>
      <c r="D393" s="10"/>
      <c r="E393" s="10"/>
      <c r="F393" s="10"/>
      <c r="G393" s="10"/>
      <c r="H393" s="10"/>
      <c r="I393" s="117"/>
      <c r="J393" s="102"/>
      <c r="K393" s="102"/>
      <c r="L393" s="102"/>
      <c r="M393" s="102"/>
      <c r="N393" s="102"/>
      <c r="O393" s="102"/>
      <c r="P393" s="102"/>
      <c r="Q393" s="102"/>
      <c r="R393" s="102"/>
      <c r="S393" s="102"/>
      <c r="T393" s="102"/>
      <c r="U393" s="102"/>
      <c r="V393" s="102"/>
      <c r="W393" s="102"/>
      <c r="X393" s="102"/>
      <c r="Y393" s="102"/>
      <c r="Z393" s="102"/>
    </row>
    <row r="394" spans="1:26" x14ac:dyDescent="0.3">
      <c r="A394" s="11"/>
      <c r="B394" s="11"/>
      <c r="C394" s="96" t="s">
        <v>3416</v>
      </c>
      <c r="D394" s="11"/>
      <c r="E394" s="11"/>
      <c r="F394" s="11"/>
      <c r="G394" s="11"/>
      <c r="H394" s="11"/>
      <c r="I394" s="91"/>
      <c r="J394" s="102"/>
      <c r="K394" s="102"/>
      <c r="L394" s="102"/>
      <c r="M394" s="102"/>
      <c r="N394" s="102"/>
      <c r="O394" s="102"/>
      <c r="P394" s="102"/>
      <c r="Q394" s="102"/>
      <c r="R394" s="102"/>
      <c r="S394" s="102"/>
      <c r="T394" s="102"/>
      <c r="U394" s="102"/>
      <c r="V394" s="102"/>
      <c r="W394" s="102"/>
      <c r="X394" s="102"/>
      <c r="Y394" s="102"/>
      <c r="Z394" s="102"/>
    </row>
    <row r="395" spans="1:26" x14ac:dyDescent="0.3">
      <c r="A395" s="10"/>
      <c r="B395" s="10"/>
      <c r="C395" s="9" t="s">
        <v>3417</v>
      </c>
      <c r="D395" s="10"/>
      <c r="E395" s="10"/>
      <c r="F395" s="10"/>
      <c r="G395" s="10"/>
      <c r="H395" s="10"/>
      <c r="I395" s="117"/>
      <c r="J395" s="102"/>
      <c r="K395" s="102"/>
      <c r="L395" s="102"/>
      <c r="M395" s="102"/>
      <c r="N395" s="102"/>
      <c r="O395" s="102"/>
      <c r="P395" s="102"/>
      <c r="Q395" s="102"/>
      <c r="R395" s="102"/>
      <c r="S395" s="102"/>
      <c r="T395" s="102"/>
      <c r="U395" s="102"/>
      <c r="V395" s="102"/>
      <c r="W395" s="102"/>
      <c r="X395" s="102"/>
      <c r="Y395" s="102"/>
      <c r="Z395" s="102"/>
    </row>
    <row r="396" spans="1:26" x14ac:dyDescent="0.3">
      <c r="A396" s="10"/>
      <c r="B396" s="10"/>
      <c r="C396" s="96" t="s">
        <v>3418</v>
      </c>
      <c r="D396" s="10"/>
      <c r="E396" s="10"/>
      <c r="F396" s="10"/>
      <c r="G396" s="10"/>
      <c r="H396" s="10"/>
      <c r="I396" s="117"/>
      <c r="J396" s="102"/>
      <c r="K396" s="102"/>
      <c r="L396" s="102"/>
      <c r="M396" s="102"/>
      <c r="N396" s="102"/>
      <c r="O396" s="102"/>
      <c r="P396" s="102"/>
      <c r="Q396" s="102"/>
      <c r="R396" s="102"/>
      <c r="S396" s="102"/>
      <c r="T396" s="102"/>
      <c r="U396" s="102"/>
      <c r="V396" s="102"/>
      <c r="W396" s="102"/>
      <c r="X396" s="102"/>
      <c r="Y396" s="102"/>
      <c r="Z396" s="102"/>
    </row>
    <row r="397" spans="1:26" x14ac:dyDescent="0.3">
      <c r="A397" s="11"/>
      <c r="B397" s="11"/>
      <c r="C397" s="96" t="s">
        <v>3419</v>
      </c>
      <c r="D397" s="11"/>
      <c r="E397" s="11"/>
      <c r="F397" s="11"/>
      <c r="G397" s="11"/>
      <c r="H397" s="11"/>
      <c r="I397" s="91"/>
      <c r="J397" s="102"/>
      <c r="K397" s="102"/>
      <c r="L397" s="102"/>
      <c r="M397" s="102"/>
      <c r="N397" s="102"/>
      <c r="O397" s="102"/>
      <c r="P397" s="102"/>
      <c r="Q397" s="102"/>
      <c r="R397" s="102"/>
      <c r="S397" s="102"/>
      <c r="T397" s="102"/>
      <c r="U397" s="102"/>
      <c r="V397" s="102"/>
      <c r="W397" s="102"/>
      <c r="X397" s="102"/>
      <c r="Y397" s="102"/>
      <c r="Z397" s="102"/>
    </row>
    <row r="398" spans="1:26" x14ac:dyDescent="0.3">
      <c r="A398" s="107">
        <v>10.1</v>
      </c>
      <c r="B398" s="10"/>
      <c r="C398" s="9" t="s">
        <v>3420</v>
      </c>
      <c r="D398" s="115" t="s">
        <v>3421</v>
      </c>
      <c r="E398" s="111">
        <v>5</v>
      </c>
      <c r="F398" s="136"/>
      <c r="G398" s="136"/>
      <c r="H398" s="113">
        <f t="shared" ref="H398:H399" si="46">E398*F398</f>
        <v>0</v>
      </c>
      <c r="I398" s="113">
        <f t="shared" ref="I398:I399" si="47">E398*G398</f>
        <v>0</v>
      </c>
      <c r="J398" s="102"/>
      <c r="K398" s="102"/>
      <c r="L398" s="102"/>
      <c r="M398" s="102"/>
      <c r="N398" s="102"/>
      <c r="O398" s="102"/>
      <c r="P398" s="102"/>
      <c r="Q398" s="102"/>
      <c r="R398" s="102"/>
      <c r="S398" s="102"/>
      <c r="T398" s="102"/>
      <c r="U398" s="102"/>
      <c r="V398" s="102"/>
      <c r="W398" s="102"/>
      <c r="X398" s="102"/>
      <c r="Y398" s="102"/>
      <c r="Z398" s="102"/>
    </row>
    <row r="399" spans="1:26" x14ac:dyDescent="0.3">
      <c r="A399" s="109">
        <v>10.199999999999999</v>
      </c>
      <c r="B399" s="10"/>
      <c r="C399" s="9" t="s">
        <v>3422</v>
      </c>
      <c r="D399" s="95" t="s">
        <v>3423</v>
      </c>
      <c r="E399" s="111">
        <v>4</v>
      </c>
      <c r="F399" s="136"/>
      <c r="G399" s="136"/>
      <c r="H399" s="113">
        <f t="shared" si="46"/>
        <v>0</v>
      </c>
      <c r="I399" s="113">
        <f t="shared" si="47"/>
        <v>0</v>
      </c>
      <c r="J399" s="102"/>
      <c r="K399" s="102"/>
      <c r="L399" s="102"/>
      <c r="M399" s="102"/>
      <c r="N399" s="102"/>
      <c r="O399" s="102"/>
      <c r="P399" s="102"/>
      <c r="Q399" s="102"/>
      <c r="R399" s="102"/>
      <c r="S399" s="102"/>
      <c r="T399" s="102"/>
      <c r="U399" s="102"/>
      <c r="V399" s="102"/>
      <c r="W399" s="102"/>
      <c r="X399" s="102"/>
      <c r="Y399" s="102"/>
      <c r="Z399" s="102"/>
    </row>
    <row r="400" spans="1:26" x14ac:dyDescent="0.3">
      <c r="A400" s="11"/>
      <c r="B400" s="11"/>
      <c r="C400" s="11"/>
      <c r="D400" s="11"/>
      <c r="E400" s="11"/>
      <c r="F400" s="11"/>
      <c r="G400" s="11"/>
      <c r="H400" s="11"/>
      <c r="I400" s="91"/>
      <c r="J400" s="102"/>
      <c r="K400" s="102"/>
      <c r="L400" s="102"/>
      <c r="M400" s="102"/>
      <c r="N400" s="102"/>
      <c r="O400" s="102"/>
      <c r="P400" s="102"/>
      <c r="Q400" s="102"/>
      <c r="R400" s="102"/>
      <c r="S400" s="102"/>
      <c r="T400" s="102"/>
      <c r="U400" s="102"/>
      <c r="V400" s="102"/>
      <c r="W400" s="102"/>
      <c r="X400" s="102"/>
      <c r="Y400" s="102"/>
      <c r="Z400" s="102"/>
    </row>
    <row r="401" spans="1:26" x14ac:dyDescent="0.3">
      <c r="A401" s="11"/>
      <c r="B401" s="11"/>
      <c r="C401" s="96" t="s">
        <v>3424</v>
      </c>
      <c r="D401" s="11"/>
      <c r="E401" s="11"/>
      <c r="F401" s="11"/>
      <c r="G401" s="11"/>
      <c r="H401" s="11"/>
      <c r="I401" s="91"/>
      <c r="J401" s="102"/>
      <c r="K401" s="102"/>
      <c r="L401" s="102"/>
      <c r="M401" s="102"/>
      <c r="N401" s="102"/>
      <c r="O401" s="102"/>
      <c r="P401" s="102"/>
      <c r="Q401" s="102"/>
      <c r="R401" s="102"/>
      <c r="S401" s="102"/>
      <c r="T401" s="102"/>
      <c r="U401" s="102"/>
      <c r="V401" s="102"/>
      <c r="W401" s="102"/>
      <c r="X401" s="102"/>
      <c r="Y401" s="102"/>
      <c r="Z401" s="102"/>
    </row>
    <row r="402" spans="1:26" x14ac:dyDescent="0.3">
      <c r="A402" s="10"/>
      <c r="B402" s="10"/>
      <c r="C402" s="9" t="s">
        <v>3425</v>
      </c>
      <c r="D402" s="10"/>
      <c r="E402" s="10"/>
      <c r="F402" s="10"/>
      <c r="G402" s="10"/>
      <c r="H402" s="10"/>
      <c r="I402" s="117"/>
      <c r="J402" s="102"/>
      <c r="K402" s="102"/>
      <c r="L402" s="102"/>
      <c r="M402" s="102"/>
      <c r="N402" s="102"/>
      <c r="O402" s="102"/>
      <c r="P402" s="102"/>
      <c r="Q402" s="102"/>
      <c r="R402" s="102"/>
      <c r="S402" s="102"/>
      <c r="T402" s="102"/>
      <c r="U402" s="102"/>
      <c r="V402" s="102"/>
      <c r="W402" s="102"/>
      <c r="X402" s="102"/>
      <c r="Y402" s="102"/>
      <c r="Z402" s="102"/>
    </row>
    <row r="403" spans="1:26" x14ac:dyDescent="0.3">
      <c r="A403" s="9"/>
      <c r="B403" s="9"/>
      <c r="C403" s="96" t="s">
        <v>3426</v>
      </c>
      <c r="D403" s="9"/>
      <c r="E403" s="9"/>
      <c r="F403" s="9"/>
      <c r="G403" s="9"/>
      <c r="H403" s="9"/>
      <c r="I403" s="108"/>
      <c r="J403" s="102"/>
      <c r="K403" s="102"/>
      <c r="L403" s="102"/>
      <c r="M403" s="102"/>
      <c r="N403" s="102"/>
      <c r="O403" s="102"/>
      <c r="P403" s="102"/>
      <c r="Q403" s="102"/>
      <c r="R403" s="102"/>
      <c r="S403" s="102"/>
      <c r="T403" s="102"/>
      <c r="U403" s="102"/>
      <c r="V403" s="102"/>
      <c r="W403" s="102"/>
      <c r="X403" s="102"/>
      <c r="Y403" s="102"/>
      <c r="Z403" s="102"/>
    </row>
    <row r="404" spans="1:26" x14ac:dyDescent="0.3">
      <c r="A404" s="10"/>
      <c r="B404" s="10"/>
      <c r="C404" s="9" t="s">
        <v>3427</v>
      </c>
      <c r="D404" s="10"/>
      <c r="E404" s="10"/>
      <c r="F404" s="10"/>
      <c r="G404" s="10"/>
      <c r="H404" s="10"/>
      <c r="I404" s="117"/>
      <c r="J404" s="102"/>
      <c r="K404" s="102"/>
      <c r="L404" s="102"/>
      <c r="M404" s="102"/>
      <c r="N404" s="102"/>
      <c r="O404" s="102"/>
      <c r="P404" s="102"/>
      <c r="Q404" s="102"/>
      <c r="R404" s="102"/>
      <c r="S404" s="102"/>
      <c r="T404" s="102"/>
      <c r="U404" s="102"/>
      <c r="V404" s="102"/>
      <c r="W404" s="102"/>
      <c r="X404" s="102"/>
      <c r="Y404" s="102"/>
      <c r="Z404" s="102"/>
    </row>
    <row r="405" spans="1:26" x14ac:dyDescent="0.3">
      <c r="A405" s="10"/>
      <c r="B405" s="10"/>
      <c r="C405" s="9" t="s">
        <v>3428</v>
      </c>
      <c r="D405" s="10"/>
      <c r="E405" s="10"/>
      <c r="F405" s="10"/>
      <c r="G405" s="10"/>
      <c r="H405" s="10"/>
      <c r="I405" s="117"/>
      <c r="J405" s="102"/>
      <c r="K405" s="102"/>
      <c r="L405" s="102"/>
      <c r="M405" s="102"/>
      <c r="N405" s="102"/>
      <c r="O405" s="102"/>
      <c r="P405" s="102"/>
      <c r="Q405" s="102"/>
      <c r="R405" s="102"/>
      <c r="S405" s="102"/>
      <c r="T405" s="102"/>
      <c r="U405" s="102"/>
      <c r="V405" s="102"/>
      <c r="W405" s="102"/>
      <c r="X405" s="102"/>
      <c r="Y405" s="102"/>
      <c r="Z405" s="102"/>
    </row>
    <row r="406" spans="1:26" x14ac:dyDescent="0.3">
      <c r="A406" s="10"/>
      <c r="B406" s="10"/>
      <c r="C406" s="9" t="s">
        <v>3429</v>
      </c>
      <c r="D406" s="10"/>
      <c r="E406" s="10"/>
      <c r="F406" s="10"/>
      <c r="G406" s="10"/>
      <c r="H406" s="10"/>
      <c r="I406" s="117"/>
      <c r="J406" s="102"/>
      <c r="K406" s="102"/>
      <c r="L406" s="102"/>
      <c r="M406" s="102"/>
      <c r="N406" s="102"/>
      <c r="O406" s="102"/>
      <c r="P406" s="102"/>
      <c r="Q406" s="102"/>
      <c r="R406" s="102"/>
      <c r="S406" s="102"/>
      <c r="T406" s="102"/>
      <c r="U406" s="102"/>
      <c r="V406" s="102"/>
      <c r="W406" s="102"/>
      <c r="X406" s="102"/>
      <c r="Y406" s="102"/>
      <c r="Z406" s="102"/>
    </row>
    <row r="407" spans="1:26" x14ac:dyDescent="0.3">
      <c r="A407" s="10"/>
      <c r="B407" s="10"/>
      <c r="C407" s="9" t="s">
        <v>3430</v>
      </c>
      <c r="D407" s="10"/>
      <c r="E407" s="10"/>
      <c r="F407" s="10"/>
      <c r="G407" s="10"/>
      <c r="H407" s="10"/>
      <c r="I407" s="117"/>
      <c r="J407" s="102"/>
      <c r="K407" s="102"/>
      <c r="L407" s="102"/>
      <c r="M407" s="102"/>
      <c r="N407" s="102"/>
      <c r="O407" s="102"/>
      <c r="P407" s="102"/>
      <c r="Q407" s="102"/>
      <c r="R407" s="102"/>
      <c r="S407" s="102"/>
      <c r="T407" s="102"/>
      <c r="U407" s="102"/>
      <c r="V407" s="102"/>
      <c r="W407" s="102"/>
      <c r="X407" s="102"/>
      <c r="Y407" s="102"/>
      <c r="Z407" s="102"/>
    </row>
    <row r="408" spans="1:26" x14ac:dyDescent="0.3">
      <c r="A408" s="9"/>
      <c r="B408" s="9"/>
      <c r="C408" s="96" t="s">
        <v>3431</v>
      </c>
      <c r="D408" s="9"/>
      <c r="E408" s="9"/>
      <c r="F408" s="9"/>
      <c r="G408" s="9"/>
      <c r="H408" s="9"/>
      <c r="I408" s="108"/>
      <c r="J408" s="102"/>
      <c r="K408" s="102"/>
      <c r="L408" s="102"/>
      <c r="M408" s="102"/>
      <c r="N408" s="102"/>
      <c r="O408" s="102"/>
      <c r="P408" s="102"/>
      <c r="Q408" s="102"/>
      <c r="R408" s="102"/>
      <c r="S408" s="102"/>
      <c r="T408" s="102"/>
      <c r="U408" s="102"/>
      <c r="V408" s="102"/>
      <c r="W408" s="102"/>
      <c r="X408" s="102"/>
      <c r="Y408" s="102"/>
      <c r="Z408" s="102"/>
    </row>
    <row r="409" spans="1:26" x14ac:dyDescent="0.3">
      <c r="A409" s="10"/>
      <c r="B409" s="10"/>
      <c r="C409" s="9" t="s">
        <v>3432</v>
      </c>
      <c r="D409" s="10"/>
      <c r="E409" s="10"/>
      <c r="F409" s="10"/>
      <c r="G409" s="10"/>
      <c r="H409" s="10"/>
      <c r="I409" s="117"/>
      <c r="J409" s="102"/>
      <c r="K409" s="102"/>
      <c r="L409" s="102"/>
      <c r="M409" s="102"/>
      <c r="N409" s="102"/>
      <c r="O409" s="102"/>
      <c r="P409" s="102"/>
      <c r="Q409" s="102"/>
      <c r="R409" s="102"/>
      <c r="S409" s="102"/>
      <c r="T409" s="102"/>
      <c r="U409" s="102"/>
      <c r="V409" s="102"/>
      <c r="W409" s="102"/>
      <c r="X409" s="102"/>
      <c r="Y409" s="102"/>
      <c r="Z409" s="102"/>
    </row>
    <row r="410" spans="1:26" x14ac:dyDescent="0.3">
      <c r="A410" s="10"/>
      <c r="B410" s="10"/>
      <c r="C410" s="9" t="s">
        <v>3433</v>
      </c>
      <c r="D410" s="10"/>
      <c r="E410" s="10"/>
      <c r="F410" s="10"/>
      <c r="G410" s="10"/>
      <c r="H410" s="10"/>
      <c r="I410" s="117"/>
      <c r="J410" s="102"/>
      <c r="K410" s="102"/>
      <c r="L410" s="102"/>
      <c r="M410" s="102"/>
      <c r="N410" s="102"/>
      <c r="O410" s="102"/>
      <c r="P410" s="102"/>
      <c r="Q410" s="102"/>
      <c r="R410" s="102"/>
      <c r="S410" s="102"/>
      <c r="T410" s="102"/>
      <c r="U410" s="102"/>
      <c r="V410" s="102"/>
      <c r="W410" s="102"/>
      <c r="X410" s="102"/>
      <c r="Y410" s="102"/>
      <c r="Z410" s="102"/>
    </row>
    <row r="411" spans="1:26" x14ac:dyDescent="0.3">
      <c r="A411" s="10"/>
      <c r="B411" s="10"/>
      <c r="C411" s="96" t="s">
        <v>3434</v>
      </c>
      <c r="D411" s="10"/>
      <c r="E411" s="10"/>
      <c r="F411" s="10"/>
      <c r="G411" s="10"/>
      <c r="H411" s="10"/>
      <c r="I411" s="117"/>
      <c r="J411" s="102"/>
      <c r="K411" s="102"/>
      <c r="L411" s="102"/>
      <c r="M411" s="102"/>
      <c r="N411" s="102"/>
      <c r="O411" s="102"/>
      <c r="P411" s="102"/>
      <c r="Q411" s="102"/>
      <c r="R411" s="102"/>
      <c r="S411" s="102"/>
      <c r="T411" s="102"/>
      <c r="U411" s="102"/>
      <c r="V411" s="102"/>
      <c r="W411" s="102"/>
      <c r="X411" s="102"/>
      <c r="Y411" s="102"/>
      <c r="Z411" s="102"/>
    </row>
    <row r="412" spans="1:26" x14ac:dyDescent="0.3">
      <c r="A412" s="10"/>
      <c r="B412" s="10"/>
      <c r="C412" s="96" t="s">
        <v>3435</v>
      </c>
      <c r="D412" s="10"/>
      <c r="E412" s="10"/>
      <c r="F412" s="10"/>
      <c r="G412" s="10"/>
      <c r="H412" s="10"/>
      <c r="I412" s="117"/>
      <c r="J412" s="102"/>
      <c r="K412" s="102"/>
      <c r="L412" s="102"/>
      <c r="M412" s="102"/>
      <c r="N412" s="102"/>
      <c r="O412" s="102"/>
      <c r="P412" s="102"/>
      <c r="Q412" s="102"/>
      <c r="R412" s="102"/>
      <c r="S412" s="102"/>
      <c r="T412" s="102"/>
      <c r="U412" s="102"/>
      <c r="V412" s="102"/>
      <c r="W412" s="102"/>
      <c r="X412" s="102"/>
      <c r="Y412" s="102"/>
      <c r="Z412" s="102"/>
    </row>
    <row r="413" spans="1:26" x14ac:dyDescent="0.3">
      <c r="A413" s="10"/>
      <c r="B413" s="10"/>
      <c r="C413" s="96" t="s">
        <v>3436</v>
      </c>
      <c r="D413" s="10"/>
      <c r="E413" s="10"/>
      <c r="F413" s="10"/>
      <c r="G413" s="10"/>
      <c r="H413" s="10"/>
      <c r="I413" s="117"/>
      <c r="J413" s="102"/>
      <c r="K413" s="102"/>
      <c r="L413" s="102"/>
      <c r="M413" s="102"/>
      <c r="N413" s="102"/>
      <c r="O413" s="102"/>
      <c r="P413" s="102"/>
      <c r="Q413" s="102"/>
      <c r="R413" s="102"/>
      <c r="S413" s="102"/>
      <c r="T413" s="102"/>
      <c r="U413" s="102"/>
      <c r="V413" s="102"/>
      <c r="W413" s="102"/>
      <c r="X413" s="102"/>
      <c r="Y413" s="102"/>
      <c r="Z413" s="102"/>
    </row>
    <row r="414" spans="1:26" x14ac:dyDescent="0.3">
      <c r="A414" s="11"/>
      <c r="B414" s="11"/>
      <c r="C414" s="96" t="s">
        <v>3437</v>
      </c>
      <c r="D414" s="11"/>
      <c r="E414" s="11"/>
      <c r="F414" s="11"/>
      <c r="G414" s="11"/>
      <c r="H414" s="11"/>
      <c r="I414" s="91"/>
      <c r="J414" s="102"/>
      <c r="K414" s="102"/>
      <c r="L414" s="102"/>
      <c r="M414" s="102"/>
      <c r="N414" s="102"/>
      <c r="O414" s="102"/>
      <c r="P414" s="102"/>
      <c r="Q414" s="102"/>
      <c r="R414" s="102"/>
      <c r="S414" s="102"/>
      <c r="T414" s="102"/>
      <c r="U414" s="102"/>
      <c r="V414" s="102"/>
      <c r="W414" s="102"/>
      <c r="X414" s="102"/>
      <c r="Y414" s="102"/>
      <c r="Z414" s="102"/>
    </row>
    <row r="415" spans="1:26" x14ac:dyDescent="0.3">
      <c r="A415" s="10"/>
      <c r="B415" s="10"/>
      <c r="C415" s="9" t="s">
        <v>3438</v>
      </c>
      <c r="D415" s="10"/>
      <c r="E415" s="10"/>
      <c r="F415" s="10"/>
      <c r="G415" s="10"/>
      <c r="H415" s="10"/>
      <c r="I415" s="117"/>
      <c r="J415" s="102"/>
      <c r="K415" s="102"/>
      <c r="L415" s="102"/>
      <c r="M415" s="102"/>
      <c r="N415" s="102"/>
      <c r="O415" s="102"/>
      <c r="P415" s="102"/>
      <c r="Q415" s="102"/>
      <c r="R415" s="102"/>
      <c r="S415" s="102"/>
      <c r="T415" s="102"/>
      <c r="U415" s="102"/>
      <c r="V415" s="102"/>
      <c r="W415" s="102"/>
      <c r="X415" s="102"/>
      <c r="Y415" s="102"/>
      <c r="Z415" s="102"/>
    </row>
    <row r="416" spans="1:26" x14ac:dyDescent="0.3">
      <c r="A416" s="9"/>
      <c r="B416" s="9"/>
      <c r="C416" s="96" t="s">
        <v>3439</v>
      </c>
      <c r="D416" s="9"/>
      <c r="E416" s="9"/>
      <c r="F416" s="9"/>
      <c r="G416" s="9"/>
      <c r="H416" s="9"/>
      <c r="I416" s="108"/>
      <c r="J416" s="102"/>
      <c r="K416" s="102"/>
      <c r="L416" s="102"/>
      <c r="M416" s="102"/>
      <c r="N416" s="102"/>
      <c r="O416" s="102"/>
      <c r="P416" s="102"/>
      <c r="Q416" s="102"/>
      <c r="R416" s="102"/>
      <c r="S416" s="102"/>
      <c r="T416" s="102"/>
      <c r="U416" s="102"/>
      <c r="V416" s="102"/>
      <c r="W416" s="102"/>
      <c r="X416" s="102"/>
      <c r="Y416" s="102"/>
      <c r="Z416" s="102"/>
    </row>
    <row r="417" spans="1:26" x14ac:dyDescent="0.3">
      <c r="A417" s="10"/>
      <c r="B417" s="10"/>
      <c r="C417" s="9" t="s">
        <v>3440</v>
      </c>
      <c r="D417" s="10"/>
      <c r="E417" s="10"/>
      <c r="F417" s="10"/>
      <c r="G417" s="10"/>
      <c r="H417" s="10"/>
      <c r="I417" s="117"/>
      <c r="J417" s="102"/>
      <c r="K417" s="102"/>
      <c r="L417" s="102"/>
      <c r="M417" s="102"/>
      <c r="N417" s="102"/>
      <c r="O417" s="102"/>
      <c r="P417" s="102"/>
      <c r="Q417" s="102"/>
      <c r="R417" s="102"/>
      <c r="S417" s="102"/>
      <c r="T417" s="102"/>
      <c r="U417" s="102"/>
      <c r="V417" s="102"/>
      <c r="W417" s="102"/>
      <c r="X417" s="102"/>
      <c r="Y417" s="102"/>
      <c r="Z417" s="102"/>
    </row>
    <row r="418" spans="1:26" x14ac:dyDescent="0.3">
      <c r="A418" s="10"/>
      <c r="B418" s="10"/>
      <c r="C418" s="9" t="s">
        <v>3441</v>
      </c>
      <c r="D418" s="10"/>
      <c r="E418" s="10"/>
      <c r="F418" s="10"/>
      <c r="G418" s="10"/>
      <c r="H418" s="10"/>
      <c r="I418" s="117"/>
      <c r="J418" s="102"/>
      <c r="K418" s="102"/>
      <c r="L418" s="102"/>
      <c r="M418" s="102"/>
      <c r="N418" s="102"/>
      <c r="O418" s="102"/>
      <c r="P418" s="102"/>
      <c r="Q418" s="102"/>
      <c r="R418" s="102"/>
      <c r="S418" s="102"/>
      <c r="T418" s="102"/>
      <c r="U418" s="102"/>
      <c r="V418" s="102"/>
      <c r="W418" s="102"/>
      <c r="X418" s="102"/>
      <c r="Y418" s="102"/>
      <c r="Z418" s="102"/>
    </row>
    <row r="419" spans="1:26" x14ac:dyDescent="0.3">
      <c r="A419" s="10"/>
      <c r="B419" s="10"/>
      <c r="C419" s="9" t="s">
        <v>3442</v>
      </c>
      <c r="D419" s="10"/>
      <c r="E419" s="10"/>
      <c r="F419" s="10"/>
      <c r="G419" s="10"/>
      <c r="H419" s="10"/>
      <c r="I419" s="117"/>
      <c r="J419" s="102"/>
      <c r="K419" s="102"/>
      <c r="L419" s="102"/>
      <c r="M419" s="102"/>
      <c r="N419" s="102"/>
      <c r="O419" s="102"/>
      <c r="P419" s="102"/>
      <c r="Q419" s="102"/>
      <c r="R419" s="102"/>
      <c r="S419" s="102"/>
      <c r="T419" s="102"/>
      <c r="U419" s="102"/>
      <c r="V419" s="102"/>
      <c r="W419" s="102"/>
      <c r="X419" s="102"/>
      <c r="Y419" s="102"/>
      <c r="Z419" s="102"/>
    </row>
    <row r="420" spans="1:26" x14ac:dyDescent="0.3">
      <c r="A420" s="10"/>
      <c r="B420" s="10"/>
      <c r="C420" s="96" t="s">
        <v>3443</v>
      </c>
      <c r="D420" s="10"/>
      <c r="E420" s="10"/>
      <c r="F420" s="10"/>
      <c r="G420" s="10"/>
      <c r="H420" s="10"/>
      <c r="I420" s="117"/>
      <c r="J420" s="102"/>
      <c r="K420" s="102"/>
      <c r="L420" s="102"/>
      <c r="M420" s="102"/>
      <c r="N420" s="102"/>
      <c r="O420" s="102"/>
      <c r="P420" s="102"/>
      <c r="Q420" s="102"/>
      <c r="R420" s="102"/>
      <c r="S420" s="102"/>
      <c r="T420" s="102"/>
      <c r="U420" s="102"/>
      <c r="V420" s="102"/>
      <c r="W420" s="102"/>
      <c r="X420" s="102"/>
      <c r="Y420" s="102"/>
      <c r="Z420" s="102"/>
    </row>
    <row r="421" spans="1:26" x14ac:dyDescent="0.3">
      <c r="A421" s="10"/>
      <c r="B421" s="10"/>
      <c r="C421" s="9" t="s">
        <v>3444</v>
      </c>
      <c r="D421" s="10"/>
      <c r="E421" s="10"/>
      <c r="F421" s="10"/>
      <c r="G421" s="10"/>
      <c r="H421" s="10"/>
      <c r="I421" s="117"/>
      <c r="J421" s="102"/>
      <c r="K421" s="102"/>
      <c r="L421" s="102"/>
      <c r="M421" s="102"/>
      <c r="N421" s="102"/>
      <c r="O421" s="102"/>
      <c r="P421" s="102"/>
      <c r="Q421" s="102"/>
      <c r="R421" s="102"/>
      <c r="S421" s="102"/>
      <c r="T421" s="102"/>
      <c r="U421" s="102"/>
      <c r="V421" s="102"/>
      <c r="W421" s="102"/>
      <c r="X421" s="102"/>
      <c r="Y421" s="102"/>
      <c r="Z421" s="102"/>
    </row>
    <row r="422" spans="1:26" x14ac:dyDescent="0.3">
      <c r="A422" s="9"/>
      <c r="B422" s="9"/>
      <c r="C422" s="9" t="s">
        <v>3445</v>
      </c>
      <c r="D422" s="9"/>
      <c r="E422" s="9"/>
      <c r="F422" s="9"/>
      <c r="G422" s="9"/>
      <c r="H422" s="9"/>
      <c r="I422" s="108"/>
      <c r="J422" s="102"/>
      <c r="K422" s="102"/>
      <c r="L422" s="102"/>
      <c r="M422" s="102"/>
      <c r="N422" s="102"/>
      <c r="O422" s="102"/>
      <c r="P422" s="102"/>
      <c r="Q422" s="102"/>
      <c r="R422" s="102"/>
      <c r="S422" s="102"/>
      <c r="T422" s="102"/>
      <c r="U422" s="102"/>
      <c r="V422" s="102"/>
      <c r="W422" s="102"/>
      <c r="X422" s="102"/>
      <c r="Y422" s="102"/>
      <c r="Z422" s="102"/>
    </row>
    <row r="423" spans="1:26" x14ac:dyDescent="0.3">
      <c r="A423" s="11"/>
      <c r="B423" s="11"/>
      <c r="C423" s="11"/>
      <c r="D423" s="11"/>
      <c r="E423" s="11"/>
      <c r="F423" s="11"/>
      <c r="G423" s="11"/>
      <c r="H423" s="11"/>
      <c r="I423" s="91"/>
      <c r="J423" s="102"/>
      <c r="K423" s="102"/>
      <c r="L423" s="102"/>
      <c r="M423" s="102"/>
      <c r="N423" s="102"/>
      <c r="O423" s="102"/>
      <c r="P423" s="102"/>
      <c r="Q423" s="102"/>
      <c r="R423" s="102"/>
      <c r="S423" s="102"/>
      <c r="T423" s="102"/>
      <c r="U423" s="102"/>
      <c r="V423" s="102"/>
      <c r="W423" s="102"/>
      <c r="X423" s="102"/>
      <c r="Y423" s="102"/>
      <c r="Z423" s="102"/>
    </row>
    <row r="424" spans="1:26" x14ac:dyDescent="0.3">
      <c r="A424" s="109">
        <v>10.3</v>
      </c>
      <c r="B424" s="95" t="s">
        <v>3446</v>
      </c>
      <c r="C424" s="105" t="s">
        <v>3447</v>
      </c>
      <c r="D424" s="11"/>
      <c r="E424" s="11"/>
      <c r="F424" s="11"/>
      <c r="G424" s="11"/>
      <c r="H424" s="11"/>
      <c r="I424" s="91"/>
      <c r="J424" s="102"/>
      <c r="K424" s="102"/>
      <c r="L424" s="102"/>
      <c r="M424" s="102"/>
      <c r="N424" s="102"/>
      <c r="O424" s="102"/>
      <c r="P424" s="102"/>
      <c r="Q424" s="102"/>
      <c r="R424" s="102"/>
      <c r="S424" s="102"/>
      <c r="T424" s="102"/>
      <c r="U424" s="102"/>
      <c r="V424" s="102"/>
      <c r="W424" s="102"/>
      <c r="X424" s="102"/>
      <c r="Y424" s="102"/>
      <c r="Z424" s="102"/>
    </row>
    <row r="425" spans="1:26" x14ac:dyDescent="0.3">
      <c r="A425" s="10"/>
      <c r="B425" s="10"/>
      <c r="C425" s="96" t="s">
        <v>3448</v>
      </c>
      <c r="D425" s="10"/>
      <c r="E425" s="10"/>
      <c r="F425" s="10"/>
      <c r="G425" s="10"/>
      <c r="H425" s="10"/>
      <c r="I425" s="117"/>
      <c r="J425" s="102"/>
      <c r="K425" s="102"/>
      <c r="L425" s="102"/>
      <c r="M425" s="102"/>
      <c r="N425" s="102"/>
      <c r="O425" s="102"/>
      <c r="P425" s="102"/>
      <c r="Q425" s="102"/>
      <c r="R425" s="102"/>
      <c r="S425" s="102"/>
      <c r="T425" s="102"/>
      <c r="U425" s="102"/>
      <c r="V425" s="102"/>
      <c r="W425" s="102"/>
      <c r="X425" s="102"/>
      <c r="Y425" s="102"/>
      <c r="Z425" s="102"/>
    </row>
    <row r="426" spans="1:26" x14ac:dyDescent="0.3">
      <c r="A426" s="9"/>
      <c r="B426" s="9"/>
      <c r="C426" s="9" t="s">
        <v>3449</v>
      </c>
      <c r="D426" s="9"/>
      <c r="E426" s="9"/>
      <c r="F426" s="9"/>
      <c r="G426" s="9"/>
      <c r="H426" s="9"/>
      <c r="I426" s="108"/>
      <c r="J426" s="102"/>
      <c r="K426" s="102"/>
      <c r="L426" s="102"/>
      <c r="M426" s="102"/>
      <c r="N426" s="102"/>
      <c r="O426" s="102"/>
      <c r="P426" s="102"/>
      <c r="Q426" s="102"/>
      <c r="R426" s="102"/>
      <c r="S426" s="102"/>
      <c r="T426" s="102"/>
      <c r="U426" s="102"/>
      <c r="V426" s="102"/>
      <c r="W426" s="102"/>
      <c r="X426" s="102"/>
      <c r="Y426" s="102"/>
      <c r="Z426" s="102"/>
    </row>
    <row r="427" spans="1:26" x14ac:dyDescent="0.3">
      <c r="A427" s="11"/>
      <c r="B427" s="11"/>
      <c r="C427" s="96" t="s">
        <v>3450</v>
      </c>
      <c r="D427" s="11"/>
      <c r="E427" s="11"/>
      <c r="F427" s="11"/>
      <c r="G427" s="11"/>
      <c r="H427" s="11"/>
      <c r="I427" s="91"/>
      <c r="J427" s="102"/>
      <c r="K427" s="102"/>
      <c r="L427" s="102"/>
      <c r="M427" s="102"/>
      <c r="N427" s="102"/>
      <c r="O427" s="102"/>
      <c r="P427" s="102"/>
      <c r="Q427" s="102"/>
      <c r="R427" s="102"/>
      <c r="S427" s="102"/>
      <c r="T427" s="102"/>
      <c r="U427" s="102"/>
      <c r="V427" s="102"/>
      <c r="W427" s="102"/>
      <c r="X427" s="102"/>
      <c r="Y427" s="102"/>
      <c r="Z427" s="102"/>
    </row>
    <row r="428" spans="1:26" x14ac:dyDescent="0.3">
      <c r="A428" s="116">
        <v>40238</v>
      </c>
      <c r="B428" s="10"/>
      <c r="C428" s="96" t="s">
        <v>3451</v>
      </c>
      <c r="D428" s="115" t="s">
        <v>3452</v>
      </c>
      <c r="E428" s="111">
        <v>30</v>
      </c>
      <c r="F428" s="112"/>
      <c r="G428" s="112"/>
      <c r="H428" s="113">
        <f>E428*F428</f>
        <v>0</v>
      </c>
      <c r="I428" s="113">
        <f>E428*G428</f>
        <v>0</v>
      </c>
      <c r="J428" s="102"/>
      <c r="K428" s="102"/>
      <c r="L428" s="102"/>
      <c r="M428" s="102"/>
      <c r="N428" s="102"/>
      <c r="O428" s="102"/>
      <c r="P428" s="102"/>
      <c r="Q428" s="102"/>
      <c r="R428" s="102"/>
      <c r="S428" s="102"/>
      <c r="T428" s="102"/>
      <c r="U428" s="102"/>
      <c r="V428" s="102"/>
      <c r="W428" s="102"/>
      <c r="X428" s="102"/>
      <c r="Y428" s="102"/>
      <c r="Z428" s="102"/>
    </row>
    <row r="429" spans="1:26" x14ac:dyDescent="0.3">
      <c r="A429" s="11"/>
      <c r="B429" s="11"/>
      <c r="C429" s="11"/>
      <c r="D429" s="11"/>
      <c r="E429" s="11"/>
      <c r="F429" s="11"/>
      <c r="G429" s="11"/>
      <c r="H429" s="11"/>
      <c r="I429" s="91"/>
      <c r="J429" s="102"/>
      <c r="K429" s="102"/>
      <c r="L429" s="102"/>
      <c r="M429" s="102"/>
      <c r="N429" s="102"/>
      <c r="O429" s="102"/>
      <c r="P429" s="102"/>
      <c r="Q429" s="102"/>
      <c r="R429" s="102"/>
      <c r="S429" s="102"/>
      <c r="T429" s="102"/>
      <c r="U429" s="102"/>
      <c r="V429" s="102"/>
      <c r="W429" s="102"/>
      <c r="X429" s="102"/>
      <c r="Y429" s="102"/>
      <c r="Z429" s="102"/>
    </row>
    <row r="430" spans="1:26" x14ac:dyDescent="0.3">
      <c r="A430" s="109">
        <v>10.4</v>
      </c>
      <c r="B430" s="10"/>
      <c r="C430" s="9" t="s">
        <v>3453</v>
      </c>
      <c r="D430" s="10"/>
      <c r="E430" s="10"/>
      <c r="F430" s="10"/>
      <c r="G430" s="10"/>
      <c r="H430" s="10"/>
      <c r="I430" s="117"/>
      <c r="J430" s="102"/>
      <c r="K430" s="102"/>
      <c r="L430" s="102"/>
      <c r="M430" s="102"/>
      <c r="N430" s="102"/>
      <c r="O430" s="102"/>
      <c r="P430" s="102"/>
      <c r="Q430" s="102"/>
      <c r="R430" s="102"/>
      <c r="S430" s="102"/>
      <c r="T430" s="102"/>
      <c r="U430" s="102"/>
      <c r="V430" s="102"/>
      <c r="W430" s="102"/>
      <c r="X430" s="102"/>
      <c r="Y430" s="102"/>
      <c r="Z430" s="102"/>
    </row>
    <row r="431" spans="1:26" x14ac:dyDescent="0.3">
      <c r="A431" s="116">
        <v>40269</v>
      </c>
      <c r="B431" s="115" t="s">
        <v>3454</v>
      </c>
      <c r="C431" s="96" t="s">
        <v>3455</v>
      </c>
      <c r="D431" s="115" t="s">
        <v>3456</v>
      </c>
      <c r="E431" s="111">
        <v>1</v>
      </c>
      <c r="F431" s="136"/>
      <c r="G431" s="136"/>
      <c r="H431" s="113">
        <f t="shared" ref="H431:H432" si="48">E431*F431</f>
        <v>0</v>
      </c>
      <c r="I431" s="113">
        <f t="shared" ref="I431:I432" si="49">E431*G431</f>
        <v>0</v>
      </c>
      <c r="J431" s="102"/>
      <c r="K431" s="102"/>
      <c r="L431" s="102"/>
      <c r="M431" s="102"/>
      <c r="N431" s="102"/>
      <c r="O431" s="102"/>
      <c r="P431" s="102"/>
      <c r="Q431" s="102"/>
      <c r="R431" s="102"/>
      <c r="S431" s="102"/>
      <c r="T431" s="102"/>
      <c r="U431" s="102"/>
      <c r="V431" s="102"/>
      <c r="W431" s="102"/>
      <c r="X431" s="102"/>
      <c r="Y431" s="102"/>
      <c r="Z431" s="102"/>
    </row>
    <row r="432" spans="1:26" x14ac:dyDescent="0.3">
      <c r="A432" s="110">
        <v>40270</v>
      </c>
      <c r="B432" s="95" t="s">
        <v>3457</v>
      </c>
      <c r="C432" s="9" t="s">
        <v>3458</v>
      </c>
      <c r="D432" s="95" t="s">
        <v>3459</v>
      </c>
      <c r="E432" s="111">
        <v>15</v>
      </c>
      <c r="F432" s="136"/>
      <c r="G432" s="136"/>
      <c r="H432" s="113">
        <f t="shared" si="48"/>
        <v>0</v>
      </c>
      <c r="I432" s="113">
        <f t="shared" si="49"/>
        <v>0</v>
      </c>
      <c r="J432" s="102"/>
      <c r="K432" s="102"/>
      <c r="L432" s="102"/>
      <c r="M432" s="102"/>
      <c r="N432" s="102"/>
      <c r="O432" s="102"/>
      <c r="P432" s="102"/>
      <c r="Q432" s="102"/>
      <c r="R432" s="102"/>
      <c r="S432" s="102"/>
      <c r="T432" s="102"/>
      <c r="U432" s="102"/>
      <c r="V432" s="102"/>
      <c r="W432" s="102"/>
      <c r="X432" s="102"/>
      <c r="Y432" s="102"/>
      <c r="Z432" s="102"/>
    </row>
    <row r="433" spans="1:26" x14ac:dyDescent="0.3">
      <c r="A433" s="11"/>
      <c r="B433" s="11"/>
      <c r="C433" s="11"/>
      <c r="D433" s="11"/>
      <c r="E433" s="11"/>
      <c r="F433" s="11"/>
      <c r="G433" s="11"/>
      <c r="H433" s="11"/>
      <c r="I433" s="91"/>
      <c r="J433" s="102"/>
      <c r="K433" s="102"/>
      <c r="L433" s="102"/>
      <c r="M433" s="102"/>
      <c r="N433" s="102"/>
      <c r="O433" s="102"/>
      <c r="P433" s="102"/>
      <c r="Q433" s="102"/>
      <c r="R433" s="102"/>
      <c r="S433" s="102"/>
      <c r="T433" s="102"/>
      <c r="U433" s="102"/>
      <c r="V433" s="102"/>
      <c r="W433" s="102"/>
      <c r="X433" s="102"/>
      <c r="Y433" s="102"/>
      <c r="Z433" s="102"/>
    </row>
    <row r="434" spans="1:26" x14ac:dyDescent="0.3">
      <c r="A434" s="130">
        <v>11</v>
      </c>
      <c r="B434" s="11"/>
      <c r="C434" s="105" t="s">
        <v>3460</v>
      </c>
      <c r="D434" s="11"/>
      <c r="E434" s="11"/>
      <c r="F434" s="11"/>
      <c r="G434" s="11"/>
      <c r="H434" s="11"/>
      <c r="I434" s="91"/>
      <c r="J434" s="102"/>
      <c r="K434" s="102"/>
      <c r="L434" s="102"/>
      <c r="M434" s="102"/>
      <c r="N434" s="102"/>
      <c r="O434" s="102"/>
      <c r="P434" s="102"/>
      <c r="Q434" s="102"/>
      <c r="R434" s="102"/>
      <c r="S434" s="102"/>
      <c r="T434" s="102"/>
      <c r="U434" s="102"/>
      <c r="V434" s="102"/>
      <c r="W434" s="102"/>
      <c r="X434" s="102"/>
      <c r="Y434" s="102"/>
      <c r="Z434" s="102"/>
    </row>
    <row r="435" spans="1:26" x14ac:dyDescent="0.3">
      <c r="A435" s="9"/>
      <c r="B435" s="115" t="s">
        <v>3461</v>
      </c>
      <c r="C435" s="9" t="s">
        <v>3462</v>
      </c>
      <c r="D435" s="9"/>
      <c r="E435" s="9"/>
      <c r="F435" s="9"/>
      <c r="G435" s="9"/>
      <c r="H435" s="9"/>
      <c r="I435" s="108"/>
      <c r="J435" s="102"/>
      <c r="K435" s="102"/>
      <c r="L435" s="102"/>
      <c r="M435" s="102"/>
      <c r="N435" s="102"/>
      <c r="O435" s="102"/>
      <c r="P435" s="102"/>
      <c r="Q435" s="102"/>
      <c r="R435" s="102"/>
      <c r="S435" s="102"/>
      <c r="T435" s="102"/>
      <c r="U435" s="102"/>
      <c r="V435" s="102"/>
      <c r="W435" s="102"/>
      <c r="X435" s="102"/>
      <c r="Y435" s="102"/>
      <c r="Z435" s="102"/>
    </row>
    <row r="436" spans="1:26" x14ac:dyDescent="0.3">
      <c r="A436" s="109">
        <v>11.1</v>
      </c>
      <c r="B436" s="95" t="s">
        <v>3463</v>
      </c>
      <c r="C436" s="96" t="s">
        <v>3464</v>
      </c>
      <c r="D436" s="95" t="s">
        <v>3465</v>
      </c>
      <c r="E436" s="111">
        <v>1</v>
      </c>
      <c r="F436" s="136"/>
      <c r="G436" s="136"/>
      <c r="H436" s="113">
        <f t="shared" ref="H436:H437" si="50">E436*F436</f>
        <v>0</v>
      </c>
      <c r="I436" s="113">
        <f t="shared" ref="I436:I437" si="51">E436*G436</f>
        <v>0</v>
      </c>
      <c r="J436" s="102"/>
      <c r="K436" s="102"/>
      <c r="L436" s="102"/>
      <c r="M436" s="102"/>
      <c r="N436" s="102"/>
      <c r="O436" s="102"/>
      <c r="P436" s="102"/>
      <c r="Q436" s="102"/>
      <c r="R436" s="102"/>
      <c r="S436" s="102"/>
      <c r="T436" s="102"/>
      <c r="U436" s="102"/>
      <c r="V436" s="102"/>
      <c r="W436" s="102"/>
      <c r="X436" s="102"/>
      <c r="Y436" s="102"/>
      <c r="Z436" s="102"/>
    </row>
    <row r="437" spans="1:26" x14ac:dyDescent="0.3">
      <c r="A437" s="109">
        <v>11.2</v>
      </c>
      <c r="B437" s="95" t="s">
        <v>3466</v>
      </c>
      <c r="C437" s="96" t="s">
        <v>3467</v>
      </c>
      <c r="D437" s="95" t="s">
        <v>3468</v>
      </c>
      <c r="E437" s="111">
        <v>1</v>
      </c>
      <c r="F437" s="136"/>
      <c r="G437" s="136"/>
      <c r="H437" s="113">
        <f t="shared" si="50"/>
        <v>0</v>
      </c>
      <c r="I437" s="113">
        <f t="shared" si="51"/>
        <v>0</v>
      </c>
      <c r="J437" s="102"/>
      <c r="K437" s="102"/>
      <c r="L437" s="102"/>
      <c r="M437" s="102"/>
      <c r="N437" s="102"/>
      <c r="O437" s="102"/>
      <c r="P437" s="102"/>
      <c r="Q437" s="102"/>
      <c r="R437" s="102"/>
      <c r="S437" s="102"/>
      <c r="T437" s="102"/>
      <c r="U437" s="102"/>
      <c r="V437" s="102"/>
      <c r="W437" s="102"/>
      <c r="X437" s="102"/>
      <c r="Y437" s="102"/>
      <c r="Z437" s="102"/>
    </row>
    <row r="438" spans="1:26" x14ac:dyDescent="0.3">
      <c r="A438" s="11"/>
      <c r="B438" s="11"/>
      <c r="C438" s="11"/>
      <c r="D438" s="11"/>
      <c r="E438" s="11"/>
      <c r="F438" s="11"/>
      <c r="G438" s="11"/>
      <c r="H438" s="11"/>
      <c r="I438" s="91"/>
      <c r="J438" s="102"/>
      <c r="K438" s="102"/>
      <c r="L438" s="102"/>
      <c r="M438" s="102"/>
      <c r="N438" s="102"/>
      <c r="O438" s="102"/>
      <c r="P438" s="102"/>
      <c r="Q438" s="102"/>
      <c r="R438" s="102"/>
      <c r="S438" s="102"/>
      <c r="T438" s="102"/>
      <c r="U438" s="102"/>
      <c r="V438" s="102"/>
      <c r="W438" s="102"/>
      <c r="X438" s="102"/>
      <c r="Y438" s="102"/>
      <c r="Z438" s="102"/>
    </row>
    <row r="439" spans="1:26" x14ac:dyDescent="0.3">
      <c r="A439" s="106">
        <v>12</v>
      </c>
      <c r="B439" s="95" t="s">
        <v>3469</v>
      </c>
      <c r="C439" s="105" t="s">
        <v>3470</v>
      </c>
      <c r="D439" s="11"/>
      <c r="E439" s="11"/>
      <c r="F439" s="11"/>
      <c r="G439" s="11"/>
      <c r="H439" s="11"/>
      <c r="I439" s="91"/>
      <c r="J439" s="102"/>
      <c r="K439" s="102"/>
      <c r="L439" s="102"/>
      <c r="M439" s="102"/>
      <c r="N439" s="102"/>
      <c r="O439" s="102"/>
      <c r="P439" s="102"/>
      <c r="Q439" s="102"/>
      <c r="R439" s="102"/>
      <c r="S439" s="102"/>
      <c r="T439" s="102"/>
      <c r="U439" s="102"/>
      <c r="V439" s="102"/>
      <c r="W439" s="102"/>
      <c r="X439" s="102"/>
      <c r="Y439" s="102"/>
      <c r="Z439" s="102"/>
    </row>
    <row r="440" spans="1:26" x14ac:dyDescent="0.3">
      <c r="A440" s="9"/>
      <c r="B440" s="9"/>
      <c r="C440" s="9" t="s">
        <v>3471</v>
      </c>
      <c r="D440" s="95" t="s">
        <v>3472</v>
      </c>
      <c r="E440" s="111">
        <v>2</v>
      </c>
      <c r="F440" s="136"/>
      <c r="G440" s="136"/>
      <c r="H440" s="113">
        <f>E440*F440</f>
        <v>0</v>
      </c>
      <c r="I440" s="113">
        <f>E440*G440</f>
        <v>0</v>
      </c>
      <c r="J440" s="102"/>
      <c r="K440" s="102"/>
      <c r="L440" s="102"/>
      <c r="M440" s="102"/>
      <c r="N440" s="102"/>
      <c r="O440" s="102"/>
      <c r="P440" s="102"/>
      <c r="Q440" s="102"/>
      <c r="R440" s="102"/>
      <c r="S440" s="102"/>
      <c r="T440" s="102"/>
      <c r="U440" s="102"/>
      <c r="V440" s="102"/>
      <c r="W440" s="102"/>
      <c r="X440" s="102"/>
      <c r="Y440" s="102"/>
      <c r="Z440" s="102"/>
    </row>
    <row r="441" spans="1:26" x14ac:dyDescent="0.3">
      <c r="A441" s="106">
        <v>13</v>
      </c>
      <c r="B441" s="95" t="s">
        <v>3473</v>
      </c>
      <c r="C441" s="105" t="s">
        <v>3474</v>
      </c>
      <c r="D441" s="11"/>
      <c r="E441" s="11"/>
      <c r="F441" s="11"/>
      <c r="G441" s="11"/>
      <c r="H441" s="11"/>
      <c r="I441" s="91"/>
      <c r="J441" s="102"/>
      <c r="K441" s="102"/>
      <c r="L441" s="102"/>
      <c r="M441" s="102"/>
      <c r="N441" s="102"/>
      <c r="O441" s="102"/>
      <c r="P441" s="102"/>
      <c r="Q441" s="102"/>
      <c r="R441" s="102"/>
      <c r="S441" s="102"/>
      <c r="T441" s="102"/>
      <c r="U441" s="102"/>
      <c r="V441" s="102"/>
      <c r="W441" s="102"/>
      <c r="X441" s="102"/>
      <c r="Y441" s="102"/>
      <c r="Z441" s="102"/>
    </row>
    <row r="442" spans="1:26" x14ac:dyDescent="0.3">
      <c r="A442" s="9"/>
      <c r="B442" s="9"/>
      <c r="C442" s="9" t="s">
        <v>3475</v>
      </c>
      <c r="D442" s="95" t="s">
        <v>3476</v>
      </c>
      <c r="E442" s="111">
        <v>1</v>
      </c>
      <c r="F442" s="112"/>
      <c r="G442" s="112"/>
      <c r="H442" s="113">
        <f>E442*F442</f>
        <v>0</v>
      </c>
      <c r="I442" s="113">
        <f>E442*G442</f>
        <v>0</v>
      </c>
      <c r="J442" s="102"/>
      <c r="K442" s="102"/>
      <c r="L442" s="102"/>
      <c r="M442" s="102"/>
      <c r="N442" s="102"/>
      <c r="O442" s="102"/>
      <c r="P442" s="102"/>
      <c r="Q442" s="102"/>
      <c r="R442" s="102"/>
      <c r="S442" s="102"/>
      <c r="T442" s="102"/>
      <c r="U442" s="102"/>
      <c r="V442" s="102"/>
      <c r="W442" s="102"/>
      <c r="X442" s="102"/>
      <c r="Y442" s="102"/>
      <c r="Z442" s="102"/>
    </row>
    <row r="443" spans="1:26" x14ac:dyDescent="0.3">
      <c r="A443" s="11"/>
      <c r="B443" s="11"/>
      <c r="C443" s="11"/>
      <c r="D443" s="11"/>
      <c r="E443" s="11"/>
      <c r="F443" s="11"/>
      <c r="G443" s="11"/>
      <c r="H443" s="11"/>
      <c r="I443" s="91"/>
      <c r="J443" s="102"/>
      <c r="K443" s="102"/>
      <c r="L443" s="102"/>
      <c r="M443" s="102"/>
      <c r="N443" s="102"/>
      <c r="O443" s="102"/>
      <c r="P443" s="102"/>
      <c r="Q443" s="102"/>
      <c r="R443" s="102"/>
      <c r="S443" s="102"/>
      <c r="T443" s="102"/>
      <c r="U443" s="102"/>
      <c r="V443" s="102"/>
      <c r="W443" s="102"/>
      <c r="X443" s="102"/>
      <c r="Y443" s="102"/>
      <c r="Z443" s="102"/>
    </row>
    <row r="444" spans="1:26" x14ac:dyDescent="0.3">
      <c r="A444" s="106">
        <v>14</v>
      </c>
      <c r="B444" s="95" t="s">
        <v>3477</v>
      </c>
      <c r="C444" s="96" t="s">
        <v>3478</v>
      </c>
      <c r="D444" s="11"/>
      <c r="E444" s="11"/>
      <c r="F444" s="11"/>
      <c r="G444" s="11"/>
      <c r="H444" s="11"/>
      <c r="I444" s="91"/>
      <c r="J444" s="102"/>
      <c r="K444" s="102"/>
      <c r="L444" s="102"/>
      <c r="M444" s="102"/>
      <c r="N444" s="102"/>
      <c r="O444" s="102"/>
      <c r="P444" s="102"/>
      <c r="Q444" s="102"/>
      <c r="R444" s="102"/>
      <c r="S444" s="102"/>
      <c r="T444" s="102"/>
      <c r="U444" s="102"/>
      <c r="V444" s="102"/>
      <c r="W444" s="102"/>
      <c r="X444" s="102"/>
      <c r="Y444" s="102"/>
      <c r="Z444" s="102"/>
    </row>
    <row r="445" spans="1:26" x14ac:dyDescent="0.3">
      <c r="A445" s="9"/>
      <c r="B445" s="9"/>
      <c r="C445" s="9" t="s">
        <v>3479</v>
      </c>
      <c r="D445" s="95" t="s">
        <v>3480</v>
      </c>
      <c r="E445" s="111">
        <v>17</v>
      </c>
      <c r="F445" s="112"/>
      <c r="G445" s="112"/>
      <c r="H445" s="113">
        <f>E445*F445</f>
        <v>0</v>
      </c>
      <c r="I445" s="113">
        <f>E445*G445</f>
        <v>0</v>
      </c>
      <c r="J445" s="102"/>
      <c r="K445" s="102"/>
      <c r="L445" s="102"/>
      <c r="M445" s="102"/>
      <c r="N445" s="102"/>
      <c r="O445" s="102"/>
      <c r="P445" s="102"/>
      <c r="Q445" s="102"/>
      <c r="R445" s="102"/>
      <c r="S445" s="102"/>
      <c r="T445" s="102"/>
      <c r="U445" s="102"/>
      <c r="V445" s="102"/>
      <c r="W445" s="102"/>
      <c r="X445" s="102"/>
      <c r="Y445" s="102"/>
      <c r="Z445" s="102"/>
    </row>
    <row r="446" spans="1:26" x14ac:dyDescent="0.3">
      <c r="A446" s="11"/>
      <c r="B446" s="11"/>
      <c r="C446" s="11"/>
      <c r="D446" s="11"/>
      <c r="E446" s="11"/>
      <c r="F446" s="11"/>
      <c r="G446" s="11"/>
      <c r="H446" s="11"/>
      <c r="I446" s="91"/>
      <c r="J446" s="102"/>
      <c r="K446" s="102"/>
      <c r="L446" s="102"/>
      <c r="M446" s="102"/>
      <c r="N446" s="102"/>
      <c r="O446" s="102"/>
      <c r="P446" s="102"/>
      <c r="Q446" s="102"/>
      <c r="R446" s="102"/>
      <c r="S446" s="102"/>
      <c r="T446" s="102"/>
      <c r="U446" s="102"/>
      <c r="V446" s="102"/>
      <c r="W446" s="102"/>
      <c r="X446" s="102"/>
      <c r="Y446" s="102"/>
      <c r="Z446" s="102"/>
    </row>
    <row r="447" spans="1:26" x14ac:dyDescent="0.3">
      <c r="A447" s="106">
        <v>15</v>
      </c>
      <c r="B447" s="11"/>
      <c r="C447" s="105" t="s">
        <v>3481</v>
      </c>
      <c r="D447" s="11"/>
      <c r="E447" s="11"/>
      <c r="F447" s="11"/>
      <c r="G447" s="11"/>
      <c r="H447" s="11"/>
      <c r="I447" s="91"/>
      <c r="J447" s="102"/>
      <c r="K447" s="102"/>
      <c r="L447" s="102"/>
      <c r="M447" s="102"/>
      <c r="N447" s="102"/>
      <c r="O447" s="102"/>
      <c r="P447" s="102"/>
      <c r="Q447" s="102"/>
      <c r="R447" s="102"/>
      <c r="S447" s="102"/>
      <c r="T447" s="102"/>
      <c r="U447" s="102"/>
      <c r="V447" s="102"/>
      <c r="W447" s="102"/>
      <c r="X447" s="102"/>
      <c r="Y447" s="102"/>
      <c r="Z447" s="102"/>
    </row>
    <row r="448" spans="1:26" x14ac:dyDescent="0.3">
      <c r="A448" s="9"/>
      <c r="B448" s="9"/>
      <c r="C448" s="96" t="s">
        <v>3482</v>
      </c>
      <c r="D448" s="9"/>
      <c r="E448" s="9"/>
      <c r="F448" s="9"/>
      <c r="G448" s="9"/>
      <c r="H448" s="9"/>
      <c r="I448" s="108"/>
      <c r="J448" s="102"/>
      <c r="K448" s="102"/>
      <c r="L448" s="102"/>
      <c r="M448" s="102"/>
      <c r="N448" s="102"/>
      <c r="O448" s="102"/>
      <c r="P448" s="102"/>
      <c r="Q448" s="102"/>
      <c r="R448" s="102"/>
      <c r="S448" s="102"/>
      <c r="T448" s="102"/>
      <c r="U448" s="102"/>
      <c r="V448" s="102"/>
      <c r="W448" s="102"/>
      <c r="X448" s="102"/>
      <c r="Y448" s="102"/>
      <c r="Z448" s="102"/>
    </row>
    <row r="449" spans="1:26" x14ac:dyDescent="0.3">
      <c r="A449" s="11"/>
      <c r="B449" s="11"/>
      <c r="C449" s="11"/>
      <c r="D449" s="11"/>
      <c r="E449" s="11"/>
      <c r="F449" s="11"/>
      <c r="G449" s="11"/>
      <c r="H449" s="11"/>
      <c r="I449" s="91"/>
      <c r="J449" s="102"/>
      <c r="K449" s="102"/>
      <c r="L449" s="102"/>
      <c r="M449" s="102"/>
      <c r="N449" s="102"/>
      <c r="O449" s="102"/>
      <c r="P449" s="102"/>
      <c r="Q449" s="102"/>
      <c r="R449" s="102"/>
      <c r="S449" s="102"/>
      <c r="T449" s="102"/>
      <c r="U449" s="102"/>
      <c r="V449" s="102"/>
      <c r="W449" s="102"/>
      <c r="X449" s="102"/>
      <c r="Y449" s="102"/>
      <c r="Z449" s="102"/>
    </row>
    <row r="450" spans="1:26" x14ac:dyDescent="0.3">
      <c r="A450" s="11"/>
      <c r="B450" s="11"/>
      <c r="C450" s="105" t="s">
        <v>3483</v>
      </c>
      <c r="D450" s="11"/>
      <c r="E450" s="11"/>
      <c r="F450" s="11"/>
      <c r="G450" s="11"/>
      <c r="H450" s="11"/>
      <c r="I450" s="91"/>
      <c r="J450" s="102"/>
      <c r="K450" s="102"/>
      <c r="L450" s="102"/>
      <c r="M450" s="102"/>
      <c r="N450" s="102"/>
      <c r="O450" s="102"/>
      <c r="P450" s="102"/>
      <c r="Q450" s="102"/>
      <c r="R450" s="102"/>
      <c r="S450" s="102"/>
      <c r="T450" s="102"/>
      <c r="U450" s="102"/>
      <c r="V450" s="102"/>
      <c r="W450" s="102"/>
      <c r="X450" s="102"/>
      <c r="Y450" s="102"/>
      <c r="Z450" s="102"/>
    </row>
    <row r="451" spans="1:26" x14ac:dyDescent="0.3">
      <c r="A451" s="109">
        <v>15.1</v>
      </c>
      <c r="B451" s="95" t="s">
        <v>3484</v>
      </c>
      <c r="C451" s="96" t="s">
        <v>3485</v>
      </c>
      <c r="D451" s="95" t="s">
        <v>3486</v>
      </c>
      <c r="E451" s="111">
        <v>1</v>
      </c>
      <c r="F451" s="112"/>
      <c r="G451" s="112"/>
      <c r="H451" s="113">
        <f>E451*F451</f>
        <v>0</v>
      </c>
      <c r="I451" s="113">
        <f>E451*G451</f>
        <v>0</v>
      </c>
      <c r="J451" s="102"/>
      <c r="K451" s="102"/>
      <c r="L451" s="102"/>
      <c r="M451" s="102"/>
      <c r="N451" s="102"/>
      <c r="O451" s="102"/>
      <c r="P451" s="102"/>
      <c r="Q451" s="102"/>
      <c r="R451" s="102"/>
      <c r="S451" s="102"/>
      <c r="T451" s="102"/>
      <c r="U451" s="102"/>
      <c r="V451" s="102"/>
      <c r="W451" s="102"/>
      <c r="X451" s="102"/>
      <c r="Y451" s="102"/>
      <c r="Z451" s="102"/>
    </row>
    <row r="452" spans="1:26" x14ac:dyDescent="0.3">
      <c r="A452" s="109">
        <v>15.2</v>
      </c>
      <c r="B452" s="95" t="s">
        <v>3487</v>
      </c>
      <c r="C452" s="96" t="s">
        <v>3488</v>
      </c>
      <c r="D452" s="95" t="s">
        <v>3489</v>
      </c>
      <c r="E452" s="106">
        <v>0</v>
      </c>
      <c r="F452" s="11"/>
      <c r="G452" s="112"/>
      <c r="H452" s="11"/>
      <c r="I452" s="91"/>
      <c r="J452" s="102"/>
      <c r="K452" s="102"/>
      <c r="L452" s="102"/>
      <c r="M452" s="102"/>
      <c r="N452" s="102"/>
      <c r="O452" s="102"/>
      <c r="P452" s="102"/>
      <c r="Q452" s="102"/>
      <c r="R452" s="102"/>
      <c r="S452" s="102"/>
      <c r="T452" s="102"/>
      <c r="U452" s="102"/>
      <c r="V452" s="102"/>
      <c r="W452" s="102"/>
      <c r="X452" s="102"/>
      <c r="Y452" s="102"/>
      <c r="Z452" s="102"/>
    </row>
    <row r="453" spans="1:26" x14ac:dyDescent="0.3">
      <c r="A453" s="109">
        <v>15.3</v>
      </c>
      <c r="B453" s="95" t="s">
        <v>3490</v>
      </c>
      <c r="C453" s="96" t="s">
        <v>3491</v>
      </c>
      <c r="D453" s="95" t="s">
        <v>3492</v>
      </c>
      <c r="E453" s="106">
        <v>0</v>
      </c>
      <c r="F453" s="11"/>
      <c r="G453" s="112"/>
      <c r="H453" s="11"/>
      <c r="I453" s="91"/>
      <c r="J453" s="102"/>
      <c r="K453" s="102"/>
      <c r="L453" s="102"/>
      <c r="M453" s="102"/>
      <c r="N453" s="102"/>
      <c r="O453" s="102"/>
      <c r="P453" s="102"/>
      <c r="Q453" s="102"/>
      <c r="R453" s="102"/>
      <c r="S453" s="102"/>
      <c r="T453" s="102"/>
      <c r="U453" s="102"/>
      <c r="V453" s="102"/>
      <c r="W453" s="102"/>
      <c r="X453" s="102"/>
      <c r="Y453" s="102"/>
      <c r="Z453" s="102"/>
    </row>
    <row r="454" spans="1:26" x14ac:dyDescent="0.3">
      <c r="A454" s="109">
        <v>15.4</v>
      </c>
      <c r="B454" s="95" t="s">
        <v>3493</v>
      </c>
      <c r="C454" s="96" t="s">
        <v>3494</v>
      </c>
      <c r="D454" s="95" t="s">
        <v>3495</v>
      </c>
      <c r="E454" s="106">
        <v>0</v>
      </c>
      <c r="F454" s="11"/>
      <c r="G454" s="112"/>
      <c r="H454" s="11"/>
      <c r="I454" s="91"/>
      <c r="J454" s="102"/>
      <c r="K454" s="102"/>
      <c r="L454" s="102"/>
      <c r="M454" s="102"/>
      <c r="N454" s="102"/>
      <c r="O454" s="102"/>
      <c r="P454" s="102"/>
      <c r="Q454" s="102"/>
      <c r="R454" s="102"/>
      <c r="S454" s="102"/>
      <c r="T454" s="102"/>
      <c r="U454" s="102"/>
      <c r="V454" s="102"/>
      <c r="W454" s="102"/>
      <c r="X454" s="102"/>
      <c r="Y454" s="102"/>
      <c r="Z454" s="102"/>
    </row>
    <row r="455" spans="1:26" x14ac:dyDescent="0.3">
      <c r="A455" s="109">
        <v>15.5</v>
      </c>
      <c r="B455" s="95" t="s">
        <v>3496</v>
      </c>
      <c r="C455" s="96" t="s">
        <v>3497</v>
      </c>
      <c r="D455" s="95" t="s">
        <v>3498</v>
      </c>
      <c r="E455" s="106">
        <v>0</v>
      </c>
      <c r="F455" s="11"/>
      <c r="G455" s="112"/>
      <c r="H455" s="11"/>
      <c r="I455" s="91"/>
      <c r="J455" s="102"/>
      <c r="K455" s="102"/>
      <c r="L455" s="102"/>
      <c r="M455" s="102"/>
      <c r="N455" s="102"/>
      <c r="O455" s="102"/>
      <c r="P455" s="102"/>
      <c r="Q455" s="102"/>
      <c r="R455" s="102"/>
      <c r="S455" s="102"/>
      <c r="T455" s="102"/>
      <c r="U455" s="102"/>
      <c r="V455" s="102"/>
      <c r="W455" s="102"/>
      <c r="X455" s="102"/>
      <c r="Y455" s="102"/>
      <c r="Z455" s="102"/>
    </row>
    <row r="456" spans="1:26" x14ac:dyDescent="0.3">
      <c r="A456" s="109">
        <v>15.6</v>
      </c>
      <c r="B456" s="95" t="s">
        <v>3499</v>
      </c>
      <c r="C456" s="96" t="s">
        <v>3500</v>
      </c>
      <c r="D456" s="95" t="s">
        <v>3501</v>
      </c>
      <c r="E456" s="106">
        <v>0</v>
      </c>
      <c r="F456" s="11"/>
      <c r="G456" s="112"/>
      <c r="H456" s="11"/>
      <c r="I456" s="91"/>
      <c r="J456" s="102"/>
      <c r="K456" s="102"/>
      <c r="L456" s="102"/>
      <c r="M456" s="102"/>
      <c r="N456" s="102"/>
      <c r="O456" s="102"/>
      <c r="P456" s="102"/>
      <c r="Q456" s="102"/>
      <c r="R456" s="102"/>
      <c r="S456" s="102"/>
      <c r="T456" s="102"/>
      <c r="U456" s="102"/>
      <c r="V456" s="102"/>
      <c r="W456" s="102"/>
      <c r="X456" s="102"/>
      <c r="Y456" s="102"/>
      <c r="Z456" s="102"/>
    </row>
    <row r="457" spans="1:26" x14ac:dyDescent="0.3">
      <c r="A457" s="109">
        <v>15.7</v>
      </c>
      <c r="B457" s="95" t="s">
        <v>3502</v>
      </c>
      <c r="C457" s="96" t="s">
        <v>3503</v>
      </c>
      <c r="D457" s="95" t="s">
        <v>3504</v>
      </c>
      <c r="E457" s="111">
        <v>7</v>
      </c>
      <c r="F457" s="112"/>
      <c r="G457" s="112"/>
      <c r="H457" s="113">
        <f>E457*F457</f>
        <v>0</v>
      </c>
      <c r="I457" s="113">
        <f>E457*G457</f>
        <v>0</v>
      </c>
      <c r="J457" s="102"/>
      <c r="K457" s="102"/>
      <c r="L457" s="102"/>
      <c r="M457" s="102"/>
      <c r="N457" s="102"/>
      <c r="O457" s="102"/>
      <c r="P457" s="102"/>
      <c r="Q457" s="102"/>
      <c r="R457" s="102"/>
      <c r="S457" s="102"/>
      <c r="T457" s="102"/>
      <c r="U457" s="102"/>
      <c r="V457" s="102"/>
      <c r="W457" s="102"/>
      <c r="X457" s="102"/>
      <c r="Y457" s="102"/>
      <c r="Z457" s="102"/>
    </row>
    <row r="458" spans="1:26" x14ac:dyDescent="0.3">
      <c r="A458" s="109">
        <v>15.8</v>
      </c>
      <c r="B458" s="95" t="s">
        <v>3505</v>
      </c>
      <c r="C458" s="96" t="s">
        <v>3506</v>
      </c>
      <c r="D458" s="95" t="s">
        <v>3507</v>
      </c>
      <c r="E458" s="106">
        <v>0</v>
      </c>
      <c r="F458" s="11"/>
      <c r="G458" s="112"/>
      <c r="H458" s="11"/>
      <c r="I458" s="91"/>
      <c r="J458" s="102"/>
      <c r="K458" s="102"/>
      <c r="L458" s="102"/>
      <c r="M458" s="102"/>
      <c r="N458" s="102"/>
      <c r="O458" s="102"/>
      <c r="P458" s="102"/>
      <c r="Q458" s="102"/>
      <c r="R458" s="102"/>
      <c r="S458" s="102"/>
      <c r="T458" s="102"/>
      <c r="U458" s="102"/>
      <c r="V458" s="102"/>
      <c r="W458" s="102"/>
      <c r="X458" s="102"/>
      <c r="Y458" s="102"/>
      <c r="Z458" s="102"/>
    </row>
    <row r="459" spans="1:26" x14ac:dyDescent="0.3">
      <c r="A459" s="11"/>
      <c r="B459" s="11"/>
      <c r="C459" s="11"/>
      <c r="D459" s="11"/>
      <c r="E459" s="11"/>
      <c r="F459" s="11"/>
      <c r="G459" s="11"/>
      <c r="H459" s="11"/>
      <c r="I459" s="91"/>
      <c r="J459" s="102"/>
      <c r="K459" s="102"/>
      <c r="L459" s="102"/>
      <c r="M459" s="102"/>
      <c r="N459" s="102"/>
      <c r="O459" s="102"/>
      <c r="P459" s="102"/>
      <c r="Q459" s="102"/>
      <c r="R459" s="102"/>
      <c r="S459" s="102"/>
      <c r="T459" s="102"/>
      <c r="U459" s="102"/>
      <c r="V459" s="102"/>
      <c r="W459" s="102"/>
      <c r="X459" s="102"/>
      <c r="Y459" s="102"/>
      <c r="Z459" s="102"/>
    </row>
    <row r="460" spans="1:26" x14ac:dyDescent="0.3">
      <c r="A460" s="11"/>
      <c r="B460" s="11"/>
      <c r="C460" s="11"/>
      <c r="D460" s="11"/>
      <c r="E460" s="11"/>
      <c r="F460" s="11"/>
      <c r="G460" s="11"/>
      <c r="H460" s="11"/>
      <c r="I460" s="91"/>
      <c r="J460" s="102"/>
      <c r="K460" s="102"/>
      <c r="L460" s="102"/>
      <c r="M460" s="102"/>
      <c r="N460" s="102"/>
      <c r="O460" s="102"/>
      <c r="P460" s="102"/>
      <c r="Q460" s="102"/>
      <c r="R460" s="102"/>
      <c r="S460" s="102"/>
      <c r="T460" s="102"/>
      <c r="U460" s="102"/>
      <c r="V460" s="102"/>
      <c r="W460" s="102"/>
      <c r="X460" s="102"/>
      <c r="Y460" s="102"/>
      <c r="Z460" s="102"/>
    </row>
    <row r="461" spans="1:26" x14ac:dyDescent="0.3">
      <c r="A461" s="130">
        <v>17</v>
      </c>
      <c r="B461" s="131" t="s">
        <v>3508</v>
      </c>
      <c r="C461" s="105" t="s">
        <v>3509</v>
      </c>
      <c r="D461" s="11"/>
      <c r="E461" s="11"/>
      <c r="F461" s="11"/>
      <c r="G461" s="11"/>
      <c r="H461" s="11"/>
      <c r="I461" s="91"/>
      <c r="J461" s="102"/>
      <c r="K461" s="102"/>
      <c r="L461" s="102"/>
      <c r="M461" s="102"/>
      <c r="N461" s="102"/>
      <c r="O461" s="102"/>
      <c r="P461" s="102"/>
      <c r="Q461" s="102"/>
      <c r="R461" s="102"/>
      <c r="S461" s="102"/>
      <c r="T461" s="102"/>
      <c r="U461" s="102"/>
      <c r="V461" s="102"/>
      <c r="W461" s="102"/>
      <c r="X461" s="102"/>
      <c r="Y461" s="102"/>
      <c r="Z461" s="102"/>
    </row>
    <row r="462" spans="1:26" x14ac:dyDescent="0.3">
      <c r="A462" s="109">
        <v>17.100000000000001</v>
      </c>
      <c r="B462" s="131" t="s">
        <v>3510</v>
      </c>
      <c r="C462" s="96" t="s">
        <v>3511</v>
      </c>
      <c r="D462" s="95" t="s">
        <v>3512</v>
      </c>
      <c r="E462" s="111">
        <v>54</v>
      </c>
      <c r="F462" s="136"/>
      <c r="G462" s="136"/>
      <c r="H462" s="113">
        <f t="shared" ref="H462:H463" si="52">E462*F462</f>
        <v>0</v>
      </c>
      <c r="I462" s="113">
        <f t="shared" ref="I462:I463" si="53">E462*G462</f>
        <v>0</v>
      </c>
      <c r="J462" s="102"/>
      <c r="K462" s="102"/>
      <c r="L462" s="102"/>
      <c r="M462" s="102"/>
      <c r="N462" s="102"/>
      <c r="O462" s="102"/>
      <c r="P462" s="102"/>
      <c r="Q462" s="102"/>
      <c r="R462" s="102"/>
      <c r="S462" s="102"/>
      <c r="T462" s="102"/>
      <c r="U462" s="102"/>
      <c r="V462" s="102"/>
      <c r="W462" s="102"/>
      <c r="X462" s="102"/>
      <c r="Y462" s="102"/>
      <c r="Z462" s="102"/>
    </row>
    <row r="463" spans="1:26" x14ac:dyDescent="0.3">
      <c r="A463" s="109">
        <v>17.2</v>
      </c>
      <c r="B463" s="131" t="s">
        <v>3513</v>
      </c>
      <c r="C463" s="96" t="s">
        <v>3514</v>
      </c>
      <c r="D463" s="95" t="s">
        <v>3515</v>
      </c>
      <c r="E463" s="111">
        <v>2</v>
      </c>
      <c r="F463" s="112"/>
      <c r="G463" s="112"/>
      <c r="H463" s="113">
        <f t="shared" si="52"/>
        <v>0</v>
      </c>
      <c r="I463" s="113">
        <f t="shared" si="53"/>
        <v>0</v>
      </c>
      <c r="J463" s="102"/>
      <c r="K463" s="102"/>
      <c r="L463" s="102"/>
      <c r="M463" s="102"/>
      <c r="N463" s="102"/>
      <c r="O463" s="102"/>
      <c r="P463" s="102"/>
      <c r="Q463" s="102"/>
      <c r="R463" s="102"/>
      <c r="S463" s="102"/>
      <c r="T463" s="102"/>
      <c r="U463" s="102"/>
      <c r="V463" s="102"/>
      <c r="W463" s="102"/>
      <c r="X463" s="102"/>
      <c r="Y463" s="102"/>
      <c r="Z463" s="102"/>
    </row>
    <row r="464" spans="1:26" x14ac:dyDescent="0.3">
      <c r="A464" s="11"/>
      <c r="B464" s="109">
        <v>28.5</v>
      </c>
      <c r="C464" s="105" t="s">
        <v>3516</v>
      </c>
      <c r="D464" s="11"/>
      <c r="E464" s="11"/>
      <c r="F464" s="11"/>
      <c r="G464" s="11"/>
      <c r="H464" s="11"/>
      <c r="I464" s="91"/>
      <c r="J464" s="102"/>
      <c r="K464" s="102"/>
      <c r="L464" s="102"/>
      <c r="M464" s="102"/>
      <c r="N464" s="102"/>
      <c r="O464" s="102"/>
      <c r="P464" s="102"/>
      <c r="Q464" s="102"/>
      <c r="R464" s="102"/>
      <c r="S464" s="102"/>
      <c r="T464" s="102"/>
      <c r="U464" s="102"/>
      <c r="V464" s="102"/>
      <c r="W464" s="102"/>
      <c r="X464" s="102"/>
      <c r="Y464" s="102"/>
      <c r="Z464" s="102"/>
    </row>
    <row r="465" spans="1:26" x14ac:dyDescent="0.3">
      <c r="A465" s="137">
        <v>18</v>
      </c>
      <c r="B465" s="116">
        <v>46874</v>
      </c>
      <c r="C465" s="9" t="s">
        <v>3517</v>
      </c>
      <c r="D465" s="115" t="s">
        <v>3518</v>
      </c>
      <c r="E465" s="111">
        <v>4200</v>
      </c>
      <c r="F465" s="112"/>
      <c r="G465" s="112"/>
      <c r="H465" s="113">
        <f>E465*F465</f>
        <v>0</v>
      </c>
      <c r="I465" s="113">
        <f>E465*G465</f>
        <v>0</v>
      </c>
      <c r="J465" s="102"/>
      <c r="K465" s="102"/>
      <c r="L465" s="102"/>
      <c r="M465" s="102"/>
      <c r="N465" s="102"/>
      <c r="O465" s="102"/>
      <c r="P465" s="102"/>
      <c r="Q465" s="102"/>
      <c r="R465" s="102"/>
      <c r="S465" s="102"/>
      <c r="T465" s="102"/>
      <c r="U465" s="102"/>
      <c r="V465" s="102"/>
      <c r="W465" s="102"/>
      <c r="X465" s="102"/>
      <c r="Y465" s="102"/>
      <c r="Z465" s="102"/>
    </row>
    <row r="466" spans="1:26" x14ac:dyDescent="0.3">
      <c r="A466" s="11"/>
      <c r="B466" s="11"/>
      <c r="C466" s="11"/>
      <c r="D466" s="11"/>
      <c r="E466" s="11"/>
      <c r="F466" s="11"/>
      <c r="G466" s="11"/>
      <c r="H466" s="11"/>
      <c r="I466" s="91"/>
      <c r="J466" s="102"/>
      <c r="K466" s="102"/>
      <c r="L466" s="102"/>
      <c r="M466" s="102"/>
      <c r="N466" s="102"/>
      <c r="O466" s="102"/>
      <c r="P466" s="102"/>
      <c r="Q466" s="102"/>
      <c r="R466" s="102"/>
      <c r="S466" s="102"/>
      <c r="T466" s="102"/>
      <c r="U466" s="102"/>
      <c r="V466" s="102"/>
      <c r="W466" s="102"/>
      <c r="X466" s="102"/>
      <c r="Y466" s="102"/>
      <c r="Z466" s="102"/>
    </row>
    <row r="467" spans="1:26" x14ac:dyDescent="0.3">
      <c r="A467" s="11"/>
      <c r="B467" s="11"/>
      <c r="C467" s="11"/>
      <c r="D467" s="11"/>
      <c r="E467" s="11"/>
      <c r="F467" s="11"/>
      <c r="G467" s="11"/>
      <c r="H467" s="11"/>
      <c r="I467" s="91"/>
      <c r="J467" s="102"/>
      <c r="K467" s="102"/>
      <c r="L467" s="102"/>
      <c r="M467" s="102"/>
      <c r="N467" s="102"/>
      <c r="O467" s="102"/>
      <c r="P467" s="102"/>
      <c r="Q467" s="102"/>
      <c r="R467" s="102"/>
      <c r="S467" s="102"/>
      <c r="T467" s="102"/>
      <c r="U467" s="102"/>
      <c r="V467" s="102"/>
      <c r="W467" s="102"/>
      <c r="X467" s="102"/>
      <c r="Y467" s="102"/>
      <c r="Z467" s="102"/>
    </row>
    <row r="468" spans="1:26" x14ac:dyDescent="0.3">
      <c r="A468" s="121"/>
      <c r="B468" s="121"/>
      <c r="C468" s="122" t="s">
        <v>3519</v>
      </c>
      <c r="D468" s="121"/>
      <c r="E468" s="121"/>
      <c r="F468" s="121"/>
      <c r="G468" s="121"/>
      <c r="H468" s="123"/>
      <c r="I468" s="124"/>
      <c r="J468" s="102"/>
      <c r="K468" s="102"/>
      <c r="L468" s="102"/>
      <c r="M468" s="102"/>
      <c r="N468" s="102"/>
      <c r="O468" s="102"/>
      <c r="P468" s="102"/>
      <c r="Q468" s="102"/>
      <c r="R468" s="102"/>
      <c r="S468" s="102"/>
      <c r="T468" s="102"/>
      <c r="U468" s="102"/>
      <c r="V468" s="102"/>
      <c r="W468" s="102"/>
      <c r="X468" s="102"/>
      <c r="Y468" s="102"/>
      <c r="Z468" s="102"/>
    </row>
    <row r="469" spans="1:26" x14ac:dyDescent="0.3">
      <c r="A469" s="11"/>
      <c r="B469" s="11"/>
      <c r="C469" s="11"/>
      <c r="D469" s="11"/>
      <c r="E469" s="11"/>
      <c r="F469" s="11"/>
      <c r="G469" s="11"/>
      <c r="H469" s="11"/>
      <c r="I469" s="91"/>
      <c r="J469" s="102"/>
      <c r="K469" s="102"/>
      <c r="L469" s="102"/>
      <c r="M469" s="102"/>
      <c r="N469" s="102"/>
      <c r="O469" s="102"/>
      <c r="P469" s="102"/>
      <c r="Q469" s="102"/>
      <c r="R469" s="102"/>
      <c r="S469" s="102"/>
      <c r="T469" s="102"/>
      <c r="U469" s="102"/>
      <c r="V469" s="102"/>
      <c r="W469" s="102"/>
      <c r="X469" s="102"/>
      <c r="Y469" s="102"/>
      <c r="Z469" s="102"/>
    </row>
    <row r="470" spans="1:26" x14ac:dyDescent="0.3">
      <c r="A470" s="243" t="s">
        <v>3520</v>
      </c>
      <c r="B470" s="221"/>
      <c r="C470" s="105" t="s">
        <v>3521</v>
      </c>
      <c r="D470" s="11"/>
      <c r="E470" s="11"/>
      <c r="F470" s="11"/>
      <c r="G470" s="11"/>
      <c r="H470" s="11"/>
      <c r="I470" s="91"/>
      <c r="J470" s="102"/>
      <c r="K470" s="102"/>
      <c r="L470" s="102"/>
      <c r="M470" s="102"/>
      <c r="N470" s="102"/>
      <c r="O470" s="102"/>
      <c r="P470" s="102"/>
      <c r="Q470" s="102"/>
      <c r="R470" s="102"/>
      <c r="S470" s="102"/>
      <c r="T470" s="102"/>
      <c r="U470" s="102"/>
      <c r="V470" s="102"/>
      <c r="W470" s="102"/>
      <c r="X470" s="102"/>
      <c r="Y470" s="102"/>
      <c r="Z470" s="102"/>
    </row>
    <row r="471" spans="1:26" x14ac:dyDescent="0.3">
      <c r="A471" s="11"/>
      <c r="B471" s="11"/>
      <c r="C471" s="11"/>
      <c r="D471" s="11"/>
      <c r="E471" s="11"/>
      <c r="F471" s="11"/>
      <c r="G471" s="11"/>
      <c r="H471" s="11"/>
      <c r="I471" s="91"/>
      <c r="J471" s="102"/>
      <c r="K471" s="102"/>
      <c r="L471" s="102"/>
      <c r="M471" s="102"/>
      <c r="N471" s="102"/>
      <c r="O471" s="102"/>
      <c r="P471" s="102"/>
      <c r="Q471" s="102"/>
      <c r="R471" s="102"/>
      <c r="S471" s="102"/>
      <c r="T471" s="102"/>
      <c r="U471" s="102"/>
      <c r="V471" s="102"/>
      <c r="W471" s="102"/>
      <c r="X471" s="102"/>
      <c r="Y471" s="102"/>
      <c r="Z471" s="102"/>
    </row>
    <row r="472" spans="1:26" x14ac:dyDescent="0.3">
      <c r="A472" s="106">
        <v>1</v>
      </c>
      <c r="B472" s="109">
        <v>33.299999999999997</v>
      </c>
      <c r="C472" s="105" t="s">
        <v>3522</v>
      </c>
      <c r="D472" s="11"/>
      <c r="E472" s="11"/>
      <c r="F472" s="11"/>
      <c r="G472" s="11"/>
      <c r="H472" s="11"/>
      <c r="I472" s="91"/>
      <c r="J472" s="102"/>
      <c r="K472" s="102"/>
      <c r="L472" s="102"/>
      <c r="M472" s="102"/>
      <c r="N472" s="102"/>
      <c r="O472" s="102"/>
      <c r="P472" s="102"/>
      <c r="Q472" s="102"/>
      <c r="R472" s="102"/>
      <c r="S472" s="102"/>
      <c r="T472" s="102"/>
      <c r="U472" s="102"/>
      <c r="V472" s="102"/>
      <c r="W472" s="102"/>
      <c r="X472" s="102"/>
      <c r="Y472" s="102"/>
      <c r="Z472" s="102"/>
    </row>
    <row r="473" spans="1:26" x14ac:dyDescent="0.3">
      <c r="A473" s="9"/>
      <c r="B473" s="9"/>
      <c r="C473" s="96" t="s">
        <v>3523</v>
      </c>
      <c r="D473" s="9"/>
      <c r="E473" s="9"/>
      <c r="F473" s="9"/>
      <c r="G473" s="9"/>
      <c r="H473" s="9"/>
      <c r="I473" s="108"/>
      <c r="J473" s="102"/>
      <c r="K473" s="102"/>
      <c r="L473" s="102"/>
      <c r="M473" s="102"/>
      <c r="N473" s="102"/>
      <c r="O473" s="102"/>
      <c r="P473" s="102"/>
      <c r="Q473" s="102"/>
      <c r="R473" s="102"/>
      <c r="S473" s="102"/>
      <c r="T473" s="102"/>
      <c r="U473" s="102"/>
      <c r="V473" s="102"/>
      <c r="W473" s="102"/>
      <c r="X473" s="102"/>
      <c r="Y473" s="102"/>
      <c r="Z473" s="102"/>
    </row>
    <row r="474" spans="1:26" x14ac:dyDescent="0.3">
      <c r="A474" s="9"/>
      <c r="B474" s="9"/>
      <c r="C474" s="96" t="s">
        <v>3524</v>
      </c>
      <c r="D474" s="9"/>
      <c r="E474" s="9"/>
      <c r="F474" s="9"/>
      <c r="G474" s="9"/>
      <c r="H474" s="9"/>
      <c r="I474" s="108"/>
      <c r="J474" s="102"/>
      <c r="K474" s="102"/>
      <c r="L474" s="102"/>
      <c r="M474" s="102"/>
      <c r="N474" s="102"/>
      <c r="O474" s="102"/>
      <c r="P474" s="102"/>
      <c r="Q474" s="102"/>
      <c r="R474" s="102"/>
      <c r="S474" s="102"/>
      <c r="T474" s="102"/>
      <c r="U474" s="102"/>
      <c r="V474" s="102"/>
      <c r="W474" s="102"/>
      <c r="X474" s="102"/>
      <c r="Y474" s="102"/>
      <c r="Z474" s="102"/>
    </row>
    <row r="475" spans="1:26" x14ac:dyDescent="0.3">
      <c r="A475" s="11"/>
      <c r="B475" s="11"/>
      <c r="C475" s="96" t="s">
        <v>3525</v>
      </c>
      <c r="D475" s="11"/>
      <c r="E475" s="11"/>
      <c r="F475" s="11"/>
      <c r="G475" s="11"/>
      <c r="H475" s="11"/>
      <c r="I475" s="91"/>
      <c r="J475" s="102"/>
      <c r="K475" s="102"/>
      <c r="L475" s="102"/>
      <c r="M475" s="102"/>
      <c r="N475" s="102"/>
      <c r="O475" s="102"/>
      <c r="P475" s="102"/>
      <c r="Q475" s="102"/>
      <c r="R475" s="102"/>
      <c r="S475" s="102"/>
      <c r="T475" s="102"/>
      <c r="U475" s="102"/>
      <c r="V475" s="102"/>
      <c r="W475" s="102"/>
      <c r="X475" s="102"/>
      <c r="Y475" s="102"/>
      <c r="Z475" s="102"/>
    </row>
    <row r="476" spans="1:26" x14ac:dyDescent="0.3">
      <c r="A476" s="11"/>
      <c r="B476" s="11"/>
      <c r="C476" s="96" t="s">
        <v>3526</v>
      </c>
      <c r="D476" s="11"/>
      <c r="E476" s="11"/>
      <c r="F476" s="11"/>
      <c r="G476" s="11"/>
      <c r="H476" s="11"/>
      <c r="I476" s="91"/>
      <c r="J476" s="102"/>
      <c r="K476" s="102"/>
      <c r="L476" s="102"/>
      <c r="M476" s="102"/>
      <c r="N476" s="102"/>
      <c r="O476" s="102"/>
      <c r="P476" s="102"/>
      <c r="Q476" s="102"/>
      <c r="R476" s="102"/>
      <c r="S476" s="102"/>
      <c r="T476" s="102"/>
      <c r="U476" s="102"/>
      <c r="V476" s="102"/>
      <c r="W476" s="102"/>
      <c r="X476" s="102"/>
      <c r="Y476" s="102"/>
      <c r="Z476" s="102"/>
    </row>
    <row r="477" spans="1:26" x14ac:dyDescent="0.3">
      <c r="A477" s="11"/>
      <c r="B477" s="11"/>
      <c r="C477" s="96" t="s">
        <v>3527</v>
      </c>
      <c r="D477" s="11"/>
      <c r="E477" s="11"/>
      <c r="F477" s="11"/>
      <c r="G477" s="11"/>
      <c r="H477" s="11"/>
      <c r="I477" s="91"/>
      <c r="J477" s="102"/>
      <c r="K477" s="102"/>
      <c r="L477" s="102"/>
      <c r="M477" s="102"/>
      <c r="N477" s="102"/>
      <c r="O477" s="102"/>
      <c r="P477" s="102"/>
      <c r="Q477" s="102"/>
      <c r="R477" s="102"/>
      <c r="S477" s="102"/>
      <c r="T477" s="102"/>
      <c r="U477" s="102"/>
      <c r="V477" s="102"/>
      <c r="W477" s="102"/>
      <c r="X477" s="102"/>
      <c r="Y477" s="102"/>
      <c r="Z477" s="102"/>
    </row>
    <row r="478" spans="1:26" x14ac:dyDescent="0.3">
      <c r="A478" s="11"/>
      <c r="B478" s="11"/>
      <c r="C478" s="96" t="s">
        <v>3528</v>
      </c>
      <c r="D478" s="11"/>
      <c r="E478" s="11"/>
      <c r="F478" s="11"/>
      <c r="G478" s="11"/>
      <c r="H478" s="11"/>
      <c r="I478" s="91"/>
      <c r="J478" s="102"/>
      <c r="K478" s="102"/>
      <c r="L478" s="102"/>
      <c r="M478" s="102"/>
      <c r="N478" s="102"/>
      <c r="O478" s="102"/>
      <c r="P478" s="102"/>
      <c r="Q478" s="102"/>
      <c r="R478" s="102"/>
      <c r="S478" s="102"/>
      <c r="T478" s="102"/>
      <c r="U478" s="102"/>
      <c r="V478" s="102"/>
      <c r="W478" s="102"/>
      <c r="X478" s="102"/>
      <c r="Y478" s="102"/>
      <c r="Z478" s="102"/>
    </row>
    <row r="479" spans="1:26" x14ac:dyDescent="0.3">
      <c r="A479" s="10"/>
      <c r="B479" s="10"/>
      <c r="C479" s="9" t="s">
        <v>3529</v>
      </c>
      <c r="D479" s="10"/>
      <c r="E479" s="10"/>
      <c r="F479" s="10"/>
      <c r="G479" s="10"/>
      <c r="H479" s="10"/>
      <c r="I479" s="117"/>
      <c r="J479" s="102"/>
      <c r="K479" s="102"/>
      <c r="L479" s="102"/>
      <c r="M479" s="102"/>
      <c r="N479" s="102"/>
      <c r="O479" s="102"/>
      <c r="P479" s="102"/>
      <c r="Q479" s="102"/>
      <c r="R479" s="102"/>
      <c r="S479" s="102"/>
      <c r="T479" s="102"/>
      <c r="U479" s="102"/>
      <c r="V479" s="102"/>
      <c r="W479" s="102"/>
      <c r="X479" s="102"/>
      <c r="Y479" s="102"/>
      <c r="Z479" s="102"/>
    </row>
    <row r="480" spans="1:26" x14ac:dyDescent="0.3">
      <c r="A480" s="9"/>
      <c r="B480" s="9"/>
      <c r="C480" s="9" t="s">
        <v>3530</v>
      </c>
      <c r="D480" s="9"/>
      <c r="E480" s="9"/>
      <c r="F480" s="9"/>
      <c r="G480" s="9"/>
      <c r="H480" s="9"/>
      <c r="I480" s="108"/>
      <c r="J480" s="102"/>
      <c r="K480" s="102"/>
      <c r="L480" s="102"/>
      <c r="M480" s="102"/>
      <c r="N480" s="102"/>
      <c r="O480" s="102"/>
      <c r="P480" s="102"/>
      <c r="Q480" s="102"/>
      <c r="R480" s="102"/>
      <c r="S480" s="102"/>
      <c r="T480" s="102"/>
      <c r="U480" s="102"/>
      <c r="V480" s="102"/>
      <c r="W480" s="102"/>
      <c r="X480" s="102"/>
      <c r="Y480" s="102"/>
      <c r="Z480" s="102"/>
    </row>
    <row r="481" spans="1:26" x14ac:dyDescent="0.3">
      <c r="A481" s="11"/>
      <c r="B481" s="11"/>
      <c r="C481" s="11"/>
      <c r="D481" s="11"/>
      <c r="E481" s="11"/>
      <c r="F481" s="11"/>
      <c r="G481" s="11"/>
      <c r="H481" s="11"/>
      <c r="I481" s="91"/>
      <c r="J481" s="102"/>
      <c r="K481" s="102"/>
      <c r="L481" s="102"/>
      <c r="M481" s="102"/>
      <c r="N481" s="102"/>
      <c r="O481" s="102"/>
      <c r="P481" s="102"/>
      <c r="Q481" s="102"/>
      <c r="R481" s="102"/>
      <c r="S481" s="102"/>
      <c r="T481" s="102"/>
      <c r="U481" s="102"/>
      <c r="V481" s="102"/>
      <c r="W481" s="102"/>
      <c r="X481" s="102"/>
      <c r="Y481" s="102"/>
      <c r="Z481" s="102"/>
    </row>
    <row r="482" spans="1:26" x14ac:dyDescent="0.3">
      <c r="A482" s="109">
        <v>1.1000000000000001</v>
      </c>
      <c r="B482" s="110">
        <v>48640</v>
      </c>
      <c r="C482" s="96" t="s">
        <v>3531</v>
      </c>
      <c r="D482" s="96" t="s">
        <v>3532</v>
      </c>
      <c r="E482" s="111">
        <v>240</v>
      </c>
      <c r="F482" s="112"/>
      <c r="G482" s="112"/>
      <c r="H482" s="113">
        <f>E482*F482</f>
        <v>0</v>
      </c>
      <c r="I482" s="113">
        <f>E482*G482</f>
        <v>0</v>
      </c>
      <c r="J482" s="102"/>
      <c r="K482" s="102"/>
      <c r="L482" s="102"/>
      <c r="M482" s="102"/>
      <c r="N482" s="102"/>
      <c r="O482" s="102"/>
      <c r="P482" s="102"/>
      <c r="Q482" s="102"/>
      <c r="R482" s="102"/>
      <c r="S482" s="102"/>
      <c r="T482" s="102"/>
      <c r="U482" s="102"/>
      <c r="V482" s="102"/>
      <c r="W482" s="102"/>
      <c r="X482" s="102"/>
      <c r="Y482" s="102"/>
      <c r="Z482" s="102"/>
    </row>
    <row r="483" spans="1:26" x14ac:dyDescent="0.3">
      <c r="A483" s="11"/>
      <c r="B483" s="11"/>
      <c r="C483" s="11"/>
      <c r="D483" s="11"/>
      <c r="E483" s="11"/>
      <c r="F483" s="11"/>
      <c r="G483" s="11"/>
      <c r="H483" s="11"/>
      <c r="I483" s="91"/>
      <c r="J483" s="102"/>
      <c r="K483" s="102"/>
      <c r="L483" s="102"/>
      <c r="M483" s="102"/>
      <c r="N483" s="102"/>
      <c r="O483" s="102"/>
      <c r="P483" s="102"/>
      <c r="Q483" s="102"/>
      <c r="R483" s="102"/>
      <c r="S483" s="102"/>
      <c r="T483" s="102"/>
      <c r="U483" s="102"/>
      <c r="V483" s="102"/>
      <c r="W483" s="102"/>
      <c r="X483" s="102"/>
      <c r="Y483" s="102"/>
      <c r="Z483" s="102"/>
    </row>
    <row r="484" spans="1:26" x14ac:dyDescent="0.3">
      <c r="A484" s="106">
        <v>2</v>
      </c>
      <c r="B484" s="95" t="s">
        <v>3533</v>
      </c>
      <c r="C484" s="105" t="s">
        <v>3534</v>
      </c>
      <c r="D484" s="11"/>
      <c r="E484" s="11"/>
      <c r="F484" s="11"/>
      <c r="G484" s="11"/>
      <c r="H484" s="11"/>
      <c r="I484" s="91"/>
      <c r="J484" s="102"/>
      <c r="K484" s="102"/>
      <c r="L484" s="102"/>
      <c r="M484" s="102"/>
      <c r="N484" s="102"/>
      <c r="O484" s="102"/>
      <c r="P484" s="102"/>
      <c r="Q484" s="102"/>
      <c r="R484" s="102"/>
      <c r="S484" s="102"/>
      <c r="T484" s="102"/>
      <c r="U484" s="102"/>
      <c r="V484" s="102"/>
      <c r="W484" s="102"/>
      <c r="X484" s="102"/>
      <c r="Y484" s="102"/>
      <c r="Z484" s="102"/>
    </row>
    <row r="485" spans="1:26" x14ac:dyDescent="0.3">
      <c r="A485" s="9"/>
      <c r="B485" s="9"/>
      <c r="C485" s="96" t="s">
        <v>3535</v>
      </c>
      <c r="D485" s="9"/>
      <c r="E485" s="9"/>
      <c r="F485" s="9"/>
      <c r="G485" s="9"/>
      <c r="H485" s="9"/>
      <c r="I485" s="108"/>
      <c r="J485" s="102"/>
      <c r="K485" s="102"/>
      <c r="L485" s="102"/>
      <c r="M485" s="102"/>
      <c r="N485" s="102"/>
      <c r="O485" s="102"/>
      <c r="P485" s="102"/>
      <c r="Q485" s="102"/>
      <c r="R485" s="102"/>
      <c r="S485" s="102"/>
      <c r="T485" s="102"/>
      <c r="U485" s="102"/>
      <c r="V485" s="102"/>
      <c r="W485" s="102"/>
      <c r="X485" s="102"/>
      <c r="Y485" s="102"/>
      <c r="Z485" s="102"/>
    </row>
    <row r="486" spans="1:26" x14ac:dyDescent="0.3">
      <c r="A486" s="9"/>
      <c r="B486" s="9"/>
      <c r="C486" s="9" t="s">
        <v>3536</v>
      </c>
      <c r="D486" s="9"/>
      <c r="E486" s="9"/>
      <c r="F486" s="9"/>
      <c r="G486" s="9"/>
      <c r="H486" s="9"/>
      <c r="I486" s="108"/>
      <c r="J486" s="102"/>
      <c r="K486" s="102"/>
      <c r="L486" s="102"/>
      <c r="M486" s="102"/>
      <c r="N486" s="102"/>
      <c r="O486" s="102"/>
      <c r="P486" s="102"/>
      <c r="Q486" s="102"/>
      <c r="R486" s="102"/>
      <c r="S486" s="102"/>
      <c r="T486" s="102"/>
      <c r="U486" s="102"/>
      <c r="V486" s="102"/>
      <c r="W486" s="102"/>
      <c r="X486" s="102"/>
      <c r="Y486" s="102"/>
      <c r="Z486" s="102"/>
    </row>
    <row r="487" spans="1:26" x14ac:dyDescent="0.3">
      <c r="A487" s="10"/>
      <c r="B487" s="10"/>
      <c r="C487" s="9" t="s">
        <v>3537</v>
      </c>
      <c r="D487" s="10"/>
      <c r="E487" s="10"/>
      <c r="F487" s="10"/>
      <c r="G487" s="10"/>
      <c r="H487" s="10"/>
      <c r="I487" s="117"/>
      <c r="J487" s="102"/>
      <c r="K487" s="102"/>
      <c r="L487" s="102"/>
      <c r="M487" s="102"/>
      <c r="N487" s="102"/>
      <c r="O487" s="102"/>
      <c r="P487" s="102"/>
      <c r="Q487" s="102"/>
      <c r="R487" s="102"/>
      <c r="S487" s="102"/>
      <c r="T487" s="102"/>
      <c r="U487" s="102"/>
      <c r="V487" s="102"/>
      <c r="W487" s="102"/>
      <c r="X487" s="102"/>
      <c r="Y487" s="102"/>
      <c r="Z487" s="102"/>
    </row>
    <row r="488" spans="1:26" x14ac:dyDescent="0.3">
      <c r="A488" s="11"/>
      <c r="B488" s="11"/>
      <c r="C488" s="96" t="s">
        <v>3538</v>
      </c>
      <c r="D488" s="11"/>
      <c r="E488" s="11"/>
      <c r="F488" s="11"/>
      <c r="G488" s="11"/>
      <c r="H488" s="11"/>
      <c r="I488" s="91"/>
      <c r="J488" s="102"/>
      <c r="K488" s="102"/>
      <c r="L488" s="102"/>
      <c r="M488" s="102"/>
      <c r="N488" s="102"/>
      <c r="O488" s="102"/>
      <c r="P488" s="102"/>
      <c r="Q488" s="102"/>
      <c r="R488" s="102"/>
      <c r="S488" s="102"/>
      <c r="T488" s="102"/>
      <c r="U488" s="102"/>
      <c r="V488" s="102"/>
      <c r="W488" s="102"/>
      <c r="X488" s="102"/>
      <c r="Y488" s="102"/>
      <c r="Z488" s="102"/>
    </row>
    <row r="489" spans="1:26" x14ac:dyDescent="0.3">
      <c r="A489" s="11"/>
      <c r="B489" s="11"/>
      <c r="C489" s="96" t="s">
        <v>3539</v>
      </c>
      <c r="D489" s="11"/>
      <c r="E489" s="11"/>
      <c r="F489" s="11"/>
      <c r="G489" s="11"/>
      <c r="H489" s="11"/>
      <c r="I489" s="91"/>
      <c r="J489" s="102"/>
      <c r="K489" s="102"/>
      <c r="L489" s="102"/>
      <c r="M489" s="102"/>
      <c r="N489" s="102"/>
      <c r="O489" s="102"/>
      <c r="P489" s="102"/>
      <c r="Q489" s="102"/>
      <c r="R489" s="102"/>
      <c r="S489" s="102"/>
      <c r="T489" s="102"/>
      <c r="U489" s="102"/>
      <c r="V489" s="102"/>
      <c r="W489" s="102"/>
      <c r="X489" s="102"/>
      <c r="Y489" s="102"/>
      <c r="Z489" s="102"/>
    </row>
    <row r="490" spans="1:26" x14ac:dyDescent="0.3">
      <c r="A490" s="10"/>
      <c r="B490" s="10"/>
      <c r="C490" s="96" t="s">
        <v>3540</v>
      </c>
      <c r="D490" s="10"/>
      <c r="E490" s="10"/>
      <c r="F490" s="10"/>
      <c r="G490" s="10"/>
      <c r="H490" s="10"/>
      <c r="I490" s="117"/>
      <c r="J490" s="102"/>
      <c r="K490" s="102"/>
      <c r="L490" s="102"/>
      <c r="M490" s="102"/>
      <c r="N490" s="102"/>
      <c r="O490" s="102"/>
      <c r="P490" s="102"/>
      <c r="Q490" s="102"/>
      <c r="R490" s="102"/>
      <c r="S490" s="102"/>
      <c r="T490" s="102"/>
      <c r="U490" s="102"/>
      <c r="V490" s="102"/>
      <c r="W490" s="102"/>
      <c r="X490" s="102"/>
      <c r="Y490" s="102"/>
      <c r="Z490" s="102"/>
    </row>
    <row r="491" spans="1:26" x14ac:dyDescent="0.3">
      <c r="A491" s="11"/>
      <c r="B491" s="11"/>
      <c r="C491" s="96" t="s">
        <v>3541</v>
      </c>
      <c r="D491" s="11"/>
      <c r="E491" s="11"/>
      <c r="F491" s="11"/>
      <c r="G491" s="11"/>
      <c r="H491" s="11"/>
      <c r="I491" s="91"/>
      <c r="J491" s="102"/>
      <c r="K491" s="102"/>
      <c r="L491" s="102"/>
      <c r="M491" s="102"/>
      <c r="N491" s="102"/>
      <c r="O491" s="102"/>
      <c r="P491" s="102"/>
      <c r="Q491" s="102"/>
      <c r="R491" s="102"/>
      <c r="S491" s="102"/>
      <c r="T491" s="102"/>
      <c r="U491" s="102"/>
      <c r="V491" s="102"/>
      <c r="W491" s="102"/>
      <c r="X491" s="102"/>
      <c r="Y491" s="102"/>
      <c r="Z491" s="102"/>
    </row>
    <row r="492" spans="1:26" x14ac:dyDescent="0.3">
      <c r="A492" s="11"/>
      <c r="B492" s="11"/>
      <c r="C492" s="96" t="s">
        <v>3542</v>
      </c>
      <c r="D492" s="11"/>
      <c r="E492" s="11"/>
      <c r="F492" s="11"/>
      <c r="G492" s="11"/>
      <c r="H492" s="11"/>
      <c r="I492" s="91"/>
      <c r="J492" s="102"/>
      <c r="K492" s="102"/>
      <c r="L492" s="102"/>
      <c r="M492" s="102"/>
      <c r="N492" s="102"/>
      <c r="O492" s="102"/>
      <c r="P492" s="102"/>
      <c r="Q492" s="102"/>
      <c r="R492" s="102"/>
      <c r="S492" s="102"/>
      <c r="T492" s="102"/>
      <c r="U492" s="102"/>
      <c r="V492" s="102"/>
      <c r="W492" s="102"/>
      <c r="X492" s="102"/>
      <c r="Y492" s="102"/>
      <c r="Z492" s="102"/>
    </row>
    <row r="493" spans="1:26" x14ac:dyDescent="0.3">
      <c r="A493" s="10"/>
      <c r="B493" s="10"/>
      <c r="C493" s="9" t="s">
        <v>3543</v>
      </c>
      <c r="D493" s="10"/>
      <c r="E493" s="10"/>
      <c r="F493" s="10"/>
      <c r="G493" s="10"/>
      <c r="H493" s="10"/>
      <c r="I493" s="117"/>
      <c r="J493" s="102"/>
      <c r="K493" s="102"/>
      <c r="L493" s="102"/>
      <c r="M493" s="102"/>
      <c r="N493" s="102"/>
      <c r="O493" s="102"/>
      <c r="P493" s="102"/>
      <c r="Q493" s="102"/>
      <c r="R493" s="102"/>
      <c r="S493" s="102"/>
      <c r="T493" s="102"/>
      <c r="U493" s="102"/>
      <c r="V493" s="102"/>
      <c r="W493" s="102"/>
      <c r="X493" s="102"/>
      <c r="Y493" s="102"/>
      <c r="Z493" s="102"/>
    </row>
    <row r="494" spans="1:26" x14ac:dyDescent="0.3">
      <c r="A494" s="10"/>
      <c r="B494" s="10"/>
      <c r="C494" s="9" t="s">
        <v>3544</v>
      </c>
      <c r="D494" s="10"/>
      <c r="E494" s="10"/>
      <c r="F494" s="10"/>
      <c r="G494" s="10"/>
      <c r="H494" s="10"/>
      <c r="I494" s="117"/>
      <c r="J494" s="102"/>
      <c r="K494" s="102"/>
      <c r="L494" s="102"/>
      <c r="M494" s="102"/>
      <c r="N494" s="102"/>
      <c r="O494" s="102"/>
      <c r="P494" s="102"/>
      <c r="Q494" s="102"/>
      <c r="R494" s="102"/>
      <c r="S494" s="102"/>
      <c r="T494" s="102"/>
      <c r="U494" s="102"/>
      <c r="V494" s="102"/>
      <c r="W494" s="102"/>
      <c r="X494" s="102"/>
      <c r="Y494" s="102"/>
      <c r="Z494" s="102"/>
    </row>
    <row r="495" spans="1:26" x14ac:dyDescent="0.3">
      <c r="A495" s="10"/>
      <c r="B495" s="10"/>
      <c r="C495" s="9" t="s">
        <v>3545</v>
      </c>
      <c r="D495" s="10"/>
      <c r="E495" s="10"/>
      <c r="F495" s="10"/>
      <c r="G495" s="10"/>
      <c r="H495" s="10"/>
      <c r="I495" s="117"/>
      <c r="J495" s="102"/>
      <c r="K495" s="102"/>
      <c r="L495" s="102"/>
      <c r="M495" s="102"/>
      <c r="N495" s="102"/>
      <c r="O495" s="102"/>
      <c r="P495" s="102"/>
      <c r="Q495" s="102"/>
      <c r="R495" s="102"/>
      <c r="S495" s="102"/>
      <c r="T495" s="102"/>
      <c r="U495" s="102"/>
      <c r="V495" s="102"/>
      <c r="W495" s="102"/>
      <c r="X495" s="102"/>
      <c r="Y495" s="102"/>
      <c r="Z495" s="102"/>
    </row>
    <row r="496" spans="1:26" x14ac:dyDescent="0.3">
      <c r="A496" s="9"/>
      <c r="B496" s="9"/>
      <c r="C496" s="96" t="s">
        <v>3546</v>
      </c>
      <c r="D496" s="9"/>
      <c r="E496" s="9"/>
      <c r="F496" s="9"/>
      <c r="G496" s="9"/>
      <c r="H496" s="9"/>
      <c r="I496" s="108"/>
      <c r="J496" s="102"/>
      <c r="K496" s="102"/>
      <c r="L496" s="102"/>
      <c r="M496" s="102"/>
      <c r="N496" s="102"/>
      <c r="O496" s="102"/>
      <c r="P496" s="102"/>
      <c r="Q496" s="102"/>
      <c r="R496" s="102"/>
      <c r="S496" s="102"/>
      <c r="T496" s="102"/>
      <c r="U496" s="102"/>
      <c r="V496" s="102"/>
      <c r="W496" s="102"/>
      <c r="X496" s="102"/>
      <c r="Y496" s="102"/>
      <c r="Z496" s="102"/>
    </row>
    <row r="497" spans="1:26" x14ac:dyDescent="0.3">
      <c r="A497" s="11"/>
      <c r="B497" s="11"/>
      <c r="C497" s="11"/>
      <c r="D497" s="11"/>
      <c r="E497" s="11"/>
      <c r="F497" s="11"/>
      <c r="G497" s="11"/>
      <c r="H497" s="11"/>
      <c r="I497" s="91"/>
      <c r="J497" s="102"/>
      <c r="K497" s="102"/>
      <c r="L497" s="102"/>
      <c r="M497" s="102"/>
      <c r="N497" s="102"/>
      <c r="O497" s="102"/>
      <c r="P497" s="102"/>
      <c r="Q497" s="102"/>
      <c r="R497" s="102"/>
      <c r="S497" s="102"/>
      <c r="T497" s="102"/>
      <c r="U497" s="102"/>
      <c r="V497" s="102"/>
      <c r="W497" s="102"/>
      <c r="X497" s="102"/>
      <c r="Y497" s="102"/>
      <c r="Z497" s="102"/>
    </row>
    <row r="498" spans="1:26" x14ac:dyDescent="0.3">
      <c r="A498" s="11"/>
      <c r="B498" s="11"/>
      <c r="C498" s="105" t="s">
        <v>3547</v>
      </c>
      <c r="D498" s="11"/>
      <c r="E498" s="11"/>
      <c r="F498" s="11"/>
      <c r="G498" s="11"/>
      <c r="H498" s="11"/>
      <c r="I498" s="91"/>
      <c r="J498" s="102"/>
      <c r="K498" s="102"/>
      <c r="L498" s="102"/>
      <c r="M498" s="102"/>
      <c r="N498" s="102"/>
      <c r="O498" s="102"/>
      <c r="P498" s="102"/>
      <c r="Q498" s="102"/>
      <c r="R498" s="102"/>
      <c r="S498" s="102"/>
      <c r="T498" s="102"/>
      <c r="U498" s="102"/>
      <c r="V498" s="102"/>
      <c r="W498" s="102"/>
      <c r="X498" s="102"/>
      <c r="Y498" s="102"/>
      <c r="Z498" s="102"/>
    </row>
    <row r="499" spans="1:26" x14ac:dyDescent="0.3">
      <c r="A499" s="10"/>
      <c r="B499" s="10"/>
      <c r="C499" s="96" t="s">
        <v>3548</v>
      </c>
      <c r="D499" s="10"/>
      <c r="E499" s="10"/>
      <c r="F499" s="10"/>
      <c r="G499" s="10"/>
      <c r="H499" s="10"/>
      <c r="I499" s="117"/>
      <c r="J499" s="102"/>
      <c r="K499" s="102"/>
      <c r="L499" s="102"/>
      <c r="M499" s="102"/>
      <c r="N499" s="102"/>
      <c r="O499" s="102"/>
      <c r="P499" s="102"/>
      <c r="Q499" s="102"/>
      <c r="R499" s="102"/>
      <c r="S499" s="102"/>
      <c r="T499" s="102"/>
      <c r="U499" s="102"/>
      <c r="V499" s="102"/>
      <c r="W499" s="102"/>
      <c r="X499" s="102"/>
      <c r="Y499" s="102"/>
      <c r="Z499" s="102"/>
    </row>
    <row r="500" spans="1:26" x14ac:dyDescent="0.3">
      <c r="A500" s="10"/>
      <c r="B500" s="10"/>
      <c r="C500" s="9" t="s">
        <v>3549</v>
      </c>
      <c r="D500" s="10"/>
      <c r="E500" s="10"/>
      <c r="F500" s="10"/>
      <c r="G500" s="10"/>
      <c r="H500" s="10"/>
      <c r="I500" s="117"/>
      <c r="J500" s="102"/>
      <c r="K500" s="102"/>
      <c r="L500" s="102"/>
      <c r="M500" s="102"/>
      <c r="N500" s="102"/>
      <c r="O500" s="102"/>
      <c r="P500" s="102"/>
      <c r="Q500" s="102"/>
      <c r="R500" s="102"/>
      <c r="S500" s="102"/>
      <c r="T500" s="102"/>
      <c r="U500" s="102"/>
      <c r="V500" s="102"/>
      <c r="W500" s="102"/>
      <c r="X500" s="102"/>
      <c r="Y500" s="102"/>
      <c r="Z500" s="102"/>
    </row>
    <row r="501" spans="1:26" x14ac:dyDescent="0.3">
      <c r="A501" s="9"/>
      <c r="B501" s="9"/>
      <c r="C501" s="96" t="s">
        <v>3550</v>
      </c>
      <c r="D501" s="9"/>
      <c r="E501" s="9"/>
      <c r="F501" s="9"/>
      <c r="G501" s="9"/>
      <c r="H501" s="9"/>
      <c r="I501" s="108"/>
      <c r="J501" s="102"/>
      <c r="K501" s="102"/>
      <c r="L501" s="102"/>
      <c r="M501" s="102"/>
      <c r="N501" s="102"/>
      <c r="O501" s="102"/>
      <c r="P501" s="102"/>
      <c r="Q501" s="102"/>
      <c r="R501" s="102"/>
      <c r="S501" s="102"/>
      <c r="T501" s="102"/>
      <c r="U501" s="102"/>
      <c r="V501" s="102"/>
      <c r="W501" s="102"/>
      <c r="X501" s="102"/>
      <c r="Y501" s="102"/>
      <c r="Z501" s="102"/>
    </row>
    <row r="502" spans="1:26" x14ac:dyDescent="0.3">
      <c r="A502" s="10"/>
      <c r="B502" s="10"/>
      <c r="C502" s="9" t="s">
        <v>3551</v>
      </c>
      <c r="D502" s="10"/>
      <c r="E502" s="10"/>
      <c r="F502" s="10"/>
      <c r="G502" s="10"/>
      <c r="H502" s="10"/>
      <c r="I502" s="117"/>
      <c r="J502" s="102"/>
      <c r="K502" s="102"/>
      <c r="L502" s="102"/>
      <c r="M502" s="102"/>
      <c r="N502" s="102"/>
      <c r="O502" s="102"/>
      <c r="P502" s="102"/>
      <c r="Q502" s="102"/>
      <c r="R502" s="102"/>
      <c r="S502" s="102"/>
      <c r="T502" s="102"/>
      <c r="U502" s="102"/>
      <c r="V502" s="102"/>
      <c r="W502" s="102"/>
      <c r="X502" s="102"/>
      <c r="Y502" s="102"/>
      <c r="Z502" s="102"/>
    </row>
    <row r="503" spans="1:26" x14ac:dyDescent="0.3">
      <c r="A503" s="10"/>
      <c r="B503" s="10"/>
      <c r="C503" s="96" t="s">
        <v>3552</v>
      </c>
      <c r="D503" s="10"/>
      <c r="E503" s="10"/>
      <c r="F503" s="10"/>
      <c r="G503" s="10"/>
      <c r="H503" s="10"/>
      <c r="I503" s="117"/>
      <c r="J503" s="102"/>
      <c r="K503" s="102"/>
      <c r="L503" s="102"/>
      <c r="M503" s="102"/>
      <c r="N503" s="102"/>
      <c r="O503" s="102"/>
      <c r="P503" s="102"/>
      <c r="Q503" s="102"/>
      <c r="R503" s="102"/>
      <c r="S503" s="102"/>
      <c r="T503" s="102"/>
      <c r="U503" s="102"/>
      <c r="V503" s="102"/>
      <c r="W503" s="102"/>
      <c r="X503" s="102"/>
      <c r="Y503" s="102"/>
      <c r="Z503" s="102"/>
    </row>
    <row r="504" spans="1:26" x14ac:dyDescent="0.3">
      <c r="A504" s="11"/>
      <c r="B504" s="11"/>
      <c r="C504" s="96" t="s">
        <v>3553</v>
      </c>
      <c r="D504" s="11"/>
      <c r="E504" s="11"/>
      <c r="F504" s="11"/>
      <c r="G504" s="11"/>
      <c r="H504" s="11"/>
      <c r="I504" s="91"/>
      <c r="J504" s="102"/>
      <c r="K504" s="102"/>
      <c r="L504" s="102"/>
      <c r="M504" s="102"/>
      <c r="N504" s="102"/>
      <c r="O504" s="102"/>
      <c r="P504" s="102"/>
      <c r="Q504" s="102"/>
      <c r="R504" s="102"/>
      <c r="S504" s="102"/>
      <c r="T504" s="102"/>
      <c r="U504" s="102"/>
      <c r="V504" s="102"/>
      <c r="W504" s="102"/>
      <c r="X504" s="102"/>
      <c r="Y504" s="102"/>
      <c r="Z504" s="102"/>
    </row>
    <row r="505" spans="1:26" x14ac:dyDescent="0.3">
      <c r="A505" s="10"/>
      <c r="B505" s="10"/>
      <c r="C505" s="9" t="s">
        <v>3554</v>
      </c>
      <c r="D505" s="10"/>
      <c r="E505" s="10"/>
      <c r="F505" s="10"/>
      <c r="G505" s="10"/>
      <c r="H505" s="10"/>
      <c r="I505" s="117"/>
      <c r="J505" s="102"/>
      <c r="K505" s="102"/>
      <c r="L505" s="102"/>
      <c r="M505" s="102"/>
      <c r="N505" s="102"/>
      <c r="O505" s="102"/>
      <c r="P505" s="102"/>
      <c r="Q505" s="102"/>
      <c r="R505" s="102"/>
      <c r="S505" s="102"/>
      <c r="T505" s="102"/>
      <c r="U505" s="102"/>
      <c r="V505" s="102"/>
      <c r="W505" s="102"/>
      <c r="X505" s="102"/>
      <c r="Y505" s="102"/>
      <c r="Z505" s="102"/>
    </row>
    <row r="506" spans="1:26" x14ac:dyDescent="0.3">
      <c r="A506" s="11"/>
      <c r="B506" s="11"/>
      <c r="C506" s="96" t="s">
        <v>3555</v>
      </c>
      <c r="D506" s="11"/>
      <c r="E506" s="11"/>
      <c r="F506" s="11"/>
      <c r="G506" s="11"/>
      <c r="H506" s="11"/>
      <c r="I506" s="91"/>
      <c r="J506" s="102"/>
      <c r="K506" s="102"/>
      <c r="L506" s="102"/>
      <c r="M506" s="102"/>
      <c r="N506" s="102"/>
      <c r="O506" s="102"/>
      <c r="P506" s="102"/>
      <c r="Q506" s="102"/>
      <c r="R506" s="102"/>
      <c r="S506" s="102"/>
      <c r="T506" s="102"/>
      <c r="U506" s="102"/>
      <c r="V506" s="102"/>
      <c r="W506" s="102"/>
      <c r="X506" s="102"/>
      <c r="Y506" s="102"/>
      <c r="Z506" s="102"/>
    </row>
    <row r="507" spans="1:26" x14ac:dyDescent="0.3">
      <c r="A507" s="11"/>
      <c r="B507" s="11"/>
      <c r="C507" s="11"/>
      <c r="D507" s="11"/>
      <c r="E507" s="11"/>
      <c r="F507" s="11"/>
      <c r="G507" s="11"/>
      <c r="H507" s="11"/>
      <c r="I507" s="91"/>
      <c r="J507" s="102"/>
      <c r="K507" s="102"/>
      <c r="L507" s="102"/>
      <c r="M507" s="102"/>
      <c r="N507" s="102"/>
      <c r="O507" s="102"/>
      <c r="P507" s="102"/>
      <c r="Q507" s="102"/>
      <c r="R507" s="102"/>
      <c r="S507" s="102"/>
      <c r="T507" s="102"/>
      <c r="U507" s="102"/>
      <c r="V507" s="102"/>
      <c r="W507" s="102"/>
      <c r="X507" s="102"/>
      <c r="Y507" s="102"/>
      <c r="Z507" s="102"/>
    </row>
    <row r="508" spans="1:26" x14ac:dyDescent="0.3">
      <c r="A508" s="10"/>
      <c r="B508" s="10"/>
      <c r="C508" s="9" t="s">
        <v>3556</v>
      </c>
      <c r="D508" s="96" t="s">
        <v>3557</v>
      </c>
      <c r="E508" s="111">
        <v>1</v>
      </c>
      <c r="F508" s="112"/>
      <c r="G508" s="112"/>
      <c r="H508" s="113">
        <f>E508*F508</f>
        <v>0</v>
      </c>
      <c r="I508" s="113">
        <f>E508*G508</f>
        <v>0</v>
      </c>
      <c r="J508" s="102"/>
      <c r="K508" s="102"/>
      <c r="L508" s="102"/>
      <c r="M508" s="102"/>
      <c r="N508" s="102"/>
      <c r="O508" s="102"/>
      <c r="P508" s="102"/>
      <c r="Q508" s="102"/>
      <c r="R508" s="102"/>
      <c r="S508" s="102"/>
      <c r="T508" s="102"/>
      <c r="U508" s="102"/>
      <c r="V508" s="102"/>
      <c r="W508" s="102"/>
      <c r="X508" s="102"/>
      <c r="Y508" s="102"/>
      <c r="Z508" s="102"/>
    </row>
    <row r="509" spans="1:26" x14ac:dyDescent="0.3">
      <c r="A509" s="9"/>
      <c r="B509" s="9"/>
      <c r="C509" s="9" t="s">
        <v>3558</v>
      </c>
      <c r="D509" s="9"/>
      <c r="E509" s="9"/>
      <c r="F509" s="9"/>
      <c r="G509" s="9"/>
      <c r="H509" s="9"/>
      <c r="I509" s="108"/>
      <c r="J509" s="102"/>
      <c r="K509" s="102"/>
      <c r="L509" s="102"/>
      <c r="M509" s="102"/>
      <c r="N509" s="102"/>
      <c r="O509" s="102"/>
      <c r="P509" s="102"/>
      <c r="Q509" s="102"/>
      <c r="R509" s="102"/>
      <c r="S509" s="102"/>
      <c r="T509" s="102"/>
      <c r="U509" s="102"/>
      <c r="V509" s="102"/>
      <c r="W509" s="102"/>
      <c r="X509" s="102"/>
      <c r="Y509" s="102"/>
      <c r="Z509" s="102"/>
    </row>
    <row r="510" spans="1:26" x14ac:dyDescent="0.3">
      <c r="A510" s="11"/>
      <c r="B510" s="11"/>
      <c r="C510" s="11"/>
      <c r="D510" s="11"/>
      <c r="E510" s="11"/>
      <c r="F510" s="11"/>
      <c r="G510" s="11"/>
      <c r="H510" s="11"/>
      <c r="I510" s="91"/>
      <c r="J510" s="102"/>
      <c r="K510" s="102"/>
      <c r="L510" s="102"/>
      <c r="M510" s="102"/>
      <c r="N510" s="102"/>
      <c r="O510" s="102"/>
      <c r="P510" s="102"/>
      <c r="Q510" s="102"/>
      <c r="R510" s="102"/>
      <c r="S510" s="102"/>
      <c r="T510" s="102"/>
      <c r="U510" s="102"/>
      <c r="V510" s="102"/>
      <c r="W510" s="102"/>
      <c r="X510" s="102"/>
      <c r="Y510" s="102"/>
      <c r="Z510" s="102"/>
    </row>
    <row r="511" spans="1:26" x14ac:dyDescent="0.3">
      <c r="A511" s="121"/>
      <c r="B511" s="121"/>
      <c r="C511" s="122" t="s">
        <v>3559</v>
      </c>
      <c r="D511" s="121"/>
      <c r="E511" s="121"/>
      <c r="F511" s="121"/>
      <c r="G511" s="121"/>
      <c r="H511" s="133"/>
      <c r="I511" s="124"/>
      <c r="J511" s="102"/>
      <c r="K511" s="102"/>
      <c r="L511" s="102"/>
      <c r="M511" s="102"/>
      <c r="N511" s="102"/>
      <c r="O511" s="102"/>
      <c r="P511" s="102"/>
      <c r="Q511" s="102"/>
      <c r="R511" s="102"/>
      <c r="S511" s="102"/>
      <c r="T511" s="102"/>
      <c r="U511" s="102"/>
      <c r="V511" s="102"/>
      <c r="W511" s="102"/>
      <c r="X511" s="102"/>
      <c r="Y511" s="102"/>
      <c r="Z511" s="102"/>
    </row>
    <row r="512" spans="1:26" x14ac:dyDescent="0.3">
      <c r="A512" s="11"/>
      <c r="B512" s="11"/>
      <c r="C512" s="11"/>
      <c r="D512" s="11"/>
      <c r="E512" s="11"/>
      <c r="F512" s="11"/>
      <c r="G512" s="11"/>
      <c r="H512" s="11"/>
      <c r="I512" s="91"/>
      <c r="J512" s="102"/>
      <c r="K512" s="102"/>
      <c r="L512" s="102"/>
      <c r="M512" s="102"/>
      <c r="N512" s="102"/>
      <c r="O512" s="102"/>
      <c r="P512" s="102"/>
      <c r="Q512" s="102"/>
      <c r="R512" s="102"/>
      <c r="S512" s="102"/>
      <c r="T512" s="102"/>
      <c r="U512" s="102"/>
      <c r="V512" s="102"/>
      <c r="W512" s="102"/>
      <c r="X512" s="102"/>
      <c r="Y512" s="102"/>
      <c r="Z512" s="102"/>
    </row>
    <row r="513" spans="1:26" x14ac:dyDescent="0.3">
      <c r="A513" s="243" t="s">
        <v>3560</v>
      </c>
      <c r="B513" s="221"/>
      <c r="C513" s="105" t="s">
        <v>3561</v>
      </c>
      <c r="D513" s="11"/>
      <c r="E513" s="11"/>
      <c r="F513" s="11"/>
      <c r="G513" s="11"/>
      <c r="H513" s="11"/>
      <c r="I513" s="91"/>
      <c r="J513" s="102"/>
      <c r="K513" s="102"/>
      <c r="L513" s="102"/>
      <c r="M513" s="102"/>
      <c r="N513" s="102"/>
      <c r="O513" s="102"/>
      <c r="P513" s="102"/>
      <c r="Q513" s="102"/>
      <c r="R513" s="102"/>
      <c r="S513" s="102"/>
      <c r="T513" s="102"/>
      <c r="U513" s="102"/>
      <c r="V513" s="102"/>
      <c r="W513" s="102"/>
      <c r="X513" s="102"/>
      <c r="Y513" s="102"/>
      <c r="Z513" s="102"/>
    </row>
    <row r="514" spans="1:26" x14ac:dyDescent="0.3">
      <c r="A514" s="11"/>
      <c r="B514" s="11"/>
      <c r="C514" s="11"/>
      <c r="D514" s="11"/>
      <c r="E514" s="11"/>
      <c r="F514" s="11"/>
      <c r="G514" s="11"/>
      <c r="H514" s="11"/>
      <c r="I514" s="91"/>
      <c r="J514" s="102"/>
      <c r="K514" s="102"/>
      <c r="L514" s="102"/>
      <c r="M514" s="102"/>
      <c r="N514" s="102"/>
      <c r="O514" s="102"/>
      <c r="P514" s="102"/>
      <c r="Q514" s="102"/>
      <c r="R514" s="102"/>
      <c r="S514" s="102"/>
      <c r="T514" s="102"/>
      <c r="U514" s="102"/>
      <c r="V514" s="102"/>
      <c r="W514" s="102"/>
      <c r="X514" s="102"/>
      <c r="Y514" s="102"/>
      <c r="Z514" s="102"/>
    </row>
    <row r="515" spans="1:26" x14ac:dyDescent="0.3">
      <c r="A515" s="106">
        <v>1</v>
      </c>
      <c r="B515" s="109">
        <v>35.1</v>
      </c>
      <c r="C515" s="96" t="s">
        <v>3562</v>
      </c>
      <c r="D515" s="11"/>
      <c r="E515" s="11"/>
      <c r="F515" s="11"/>
      <c r="G515" s="11"/>
      <c r="H515" s="11"/>
      <c r="I515" s="11"/>
      <c r="J515" s="102"/>
      <c r="K515" s="102"/>
      <c r="L515" s="102"/>
      <c r="M515" s="102"/>
      <c r="N515" s="102"/>
      <c r="O515" s="102"/>
      <c r="P515" s="102"/>
      <c r="Q515" s="102"/>
      <c r="R515" s="102"/>
      <c r="S515" s="102"/>
      <c r="T515" s="102"/>
      <c r="U515" s="102"/>
      <c r="V515" s="102"/>
      <c r="W515" s="102"/>
      <c r="X515" s="102"/>
      <c r="Y515" s="102"/>
      <c r="Z515" s="102"/>
    </row>
    <row r="516" spans="1:26" x14ac:dyDescent="0.3">
      <c r="A516" s="9"/>
      <c r="B516" s="9"/>
      <c r="C516" s="96" t="s">
        <v>3563</v>
      </c>
      <c r="D516" s="9"/>
      <c r="E516" s="9"/>
      <c r="F516" s="9"/>
      <c r="G516" s="9"/>
      <c r="H516" s="9"/>
      <c r="I516" s="9"/>
      <c r="J516" s="102"/>
      <c r="K516" s="102"/>
      <c r="L516" s="102"/>
      <c r="M516" s="102"/>
      <c r="N516" s="102"/>
      <c r="O516" s="102"/>
      <c r="P516" s="102"/>
      <c r="Q516" s="102"/>
      <c r="R516" s="102"/>
      <c r="S516" s="102"/>
      <c r="T516" s="102"/>
      <c r="U516" s="102"/>
      <c r="V516" s="102"/>
      <c r="W516" s="102"/>
      <c r="X516" s="102"/>
      <c r="Y516" s="102"/>
      <c r="Z516" s="102"/>
    </row>
    <row r="517" spans="1:26" x14ac:dyDescent="0.3">
      <c r="A517" s="11"/>
      <c r="B517" s="11"/>
      <c r="C517" s="11"/>
      <c r="D517" s="11"/>
      <c r="E517" s="11"/>
      <c r="F517" s="11"/>
      <c r="G517" s="11"/>
      <c r="H517" s="11"/>
      <c r="I517" s="11"/>
      <c r="J517" s="102"/>
      <c r="K517" s="102"/>
      <c r="L517" s="102"/>
      <c r="M517" s="102"/>
      <c r="N517" s="102"/>
      <c r="O517" s="102"/>
      <c r="P517" s="102"/>
      <c r="Q517" s="102"/>
      <c r="R517" s="102"/>
      <c r="S517" s="102"/>
      <c r="T517" s="102"/>
      <c r="U517" s="102"/>
      <c r="V517" s="102"/>
      <c r="W517" s="102"/>
      <c r="X517" s="102"/>
      <c r="Y517" s="102"/>
      <c r="Z517" s="102"/>
    </row>
    <row r="518" spans="1:26" x14ac:dyDescent="0.3">
      <c r="A518" s="109">
        <v>1.1000000000000001</v>
      </c>
      <c r="B518" s="110">
        <v>49310</v>
      </c>
      <c r="C518" s="96" t="s">
        <v>3564</v>
      </c>
      <c r="D518" s="95" t="s">
        <v>3565</v>
      </c>
      <c r="E518" s="111">
        <v>1</v>
      </c>
      <c r="F518" s="112"/>
      <c r="G518" s="112"/>
      <c r="H518" s="113">
        <f t="shared" ref="H518:H524" si="54">E518*F518</f>
        <v>0</v>
      </c>
      <c r="I518" s="113">
        <f t="shared" ref="I518:I524" si="55">E518*G518</f>
        <v>0</v>
      </c>
      <c r="J518" s="102"/>
      <c r="K518" s="102"/>
      <c r="L518" s="102"/>
      <c r="M518" s="102"/>
      <c r="N518" s="102"/>
      <c r="O518" s="102"/>
      <c r="P518" s="102"/>
      <c r="Q518" s="102"/>
      <c r="R518" s="102"/>
      <c r="S518" s="102"/>
      <c r="T518" s="102"/>
      <c r="U518" s="102"/>
      <c r="V518" s="102"/>
      <c r="W518" s="102"/>
      <c r="X518" s="102"/>
      <c r="Y518" s="102"/>
      <c r="Z518" s="102"/>
    </row>
    <row r="519" spans="1:26" x14ac:dyDescent="0.3">
      <c r="A519" s="109">
        <v>1.2</v>
      </c>
      <c r="B519" s="110">
        <v>49311</v>
      </c>
      <c r="C519" s="96" t="s">
        <v>3566</v>
      </c>
      <c r="D519" s="95" t="s">
        <v>3567</v>
      </c>
      <c r="E519" s="111">
        <v>3</v>
      </c>
      <c r="F519" s="112"/>
      <c r="G519" s="112"/>
      <c r="H519" s="113">
        <f t="shared" si="54"/>
        <v>0</v>
      </c>
      <c r="I519" s="113">
        <f t="shared" si="55"/>
        <v>0</v>
      </c>
      <c r="J519" s="102"/>
      <c r="K519" s="102"/>
      <c r="L519" s="102"/>
      <c r="M519" s="102"/>
      <c r="N519" s="102"/>
      <c r="O519" s="102"/>
      <c r="P519" s="102"/>
      <c r="Q519" s="102"/>
      <c r="R519" s="102"/>
      <c r="S519" s="102"/>
      <c r="T519" s="102"/>
      <c r="U519" s="102"/>
      <c r="V519" s="102"/>
      <c r="W519" s="102"/>
      <c r="X519" s="102"/>
      <c r="Y519" s="102"/>
      <c r="Z519" s="102"/>
    </row>
    <row r="520" spans="1:26" x14ac:dyDescent="0.3">
      <c r="A520" s="109">
        <v>1.3</v>
      </c>
      <c r="B520" s="110">
        <v>49312</v>
      </c>
      <c r="C520" s="96" t="s">
        <v>3568</v>
      </c>
      <c r="D520" s="95" t="s">
        <v>3569</v>
      </c>
      <c r="E520" s="111">
        <v>1</v>
      </c>
      <c r="F520" s="112"/>
      <c r="G520" s="112"/>
      <c r="H520" s="113">
        <f t="shared" si="54"/>
        <v>0</v>
      </c>
      <c r="I520" s="113">
        <f t="shared" si="55"/>
        <v>0</v>
      </c>
      <c r="J520" s="102"/>
      <c r="K520" s="102"/>
      <c r="L520" s="102"/>
      <c r="M520" s="102"/>
      <c r="N520" s="102"/>
      <c r="O520" s="102"/>
      <c r="P520" s="102"/>
      <c r="Q520" s="102"/>
      <c r="R520" s="102"/>
      <c r="S520" s="102"/>
      <c r="T520" s="102"/>
      <c r="U520" s="102"/>
      <c r="V520" s="102"/>
      <c r="W520" s="102"/>
      <c r="X520" s="102"/>
      <c r="Y520" s="102"/>
      <c r="Z520" s="102"/>
    </row>
    <row r="521" spans="1:26" x14ac:dyDescent="0.3">
      <c r="A521" s="109">
        <v>1.4</v>
      </c>
      <c r="B521" s="110">
        <v>49313</v>
      </c>
      <c r="C521" s="96" t="s">
        <v>3570</v>
      </c>
      <c r="D521" s="95" t="s">
        <v>3571</v>
      </c>
      <c r="E521" s="111">
        <v>6</v>
      </c>
      <c r="F521" s="112"/>
      <c r="G521" s="112"/>
      <c r="H521" s="113">
        <f t="shared" si="54"/>
        <v>0</v>
      </c>
      <c r="I521" s="113">
        <f t="shared" si="55"/>
        <v>0</v>
      </c>
      <c r="J521" s="102"/>
      <c r="K521" s="102"/>
      <c r="L521" s="102"/>
      <c r="M521" s="102"/>
      <c r="N521" s="102"/>
      <c r="O521" s="102"/>
      <c r="P521" s="102"/>
      <c r="Q521" s="102"/>
      <c r="R521" s="102"/>
      <c r="S521" s="102"/>
      <c r="T521" s="102"/>
      <c r="U521" s="102"/>
      <c r="V521" s="102"/>
      <c r="W521" s="102"/>
      <c r="X521" s="102"/>
      <c r="Y521" s="102"/>
      <c r="Z521" s="102"/>
    </row>
    <row r="522" spans="1:26" x14ac:dyDescent="0.3">
      <c r="A522" s="109">
        <v>1.5</v>
      </c>
      <c r="B522" s="110">
        <v>49314</v>
      </c>
      <c r="C522" s="96" t="s">
        <v>3572</v>
      </c>
      <c r="D522" s="95" t="s">
        <v>3573</v>
      </c>
      <c r="E522" s="111">
        <v>22</v>
      </c>
      <c r="F522" s="112"/>
      <c r="G522" s="112"/>
      <c r="H522" s="113">
        <f t="shared" si="54"/>
        <v>0</v>
      </c>
      <c r="I522" s="113">
        <f t="shared" si="55"/>
        <v>0</v>
      </c>
      <c r="J522" s="102"/>
      <c r="K522" s="102"/>
      <c r="L522" s="102"/>
      <c r="M522" s="102"/>
      <c r="N522" s="102"/>
      <c r="O522" s="102"/>
      <c r="P522" s="102"/>
      <c r="Q522" s="102"/>
      <c r="R522" s="102"/>
      <c r="S522" s="102"/>
      <c r="T522" s="102"/>
      <c r="U522" s="102"/>
      <c r="V522" s="102"/>
      <c r="W522" s="102"/>
      <c r="X522" s="102"/>
      <c r="Y522" s="102"/>
      <c r="Z522" s="102"/>
    </row>
    <row r="523" spans="1:26" x14ac:dyDescent="0.3">
      <c r="A523" s="109">
        <v>1.6</v>
      </c>
      <c r="B523" s="110">
        <v>49315</v>
      </c>
      <c r="C523" s="96" t="s">
        <v>3574</v>
      </c>
      <c r="D523" s="95" t="s">
        <v>3575</v>
      </c>
      <c r="E523" s="111">
        <v>2</v>
      </c>
      <c r="F523" s="112"/>
      <c r="G523" s="112"/>
      <c r="H523" s="113">
        <f t="shared" si="54"/>
        <v>0</v>
      </c>
      <c r="I523" s="113">
        <f t="shared" si="55"/>
        <v>0</v>
      </c>
      <c r="J523" s="102"/>
      <c r="K523" s="102"/>
      <c r="L523" s="102"/>
      <c r="M523" s="102"/>
      <c r="N523" s="102"/>
      <c r="O523" s="102"/>
      <c r="P523" s="102"/>
      <c r="Q523" s="102"/>
      <c r="R523" s="102"/>
      <c r="S523" s="102"/>
      <c r="T523" s="102"/>
      <c r="U523" s="102"/>
      <c r="V523" s="102"/>
      <c r="W523" s="102"/>
      <c r="X523" s="102"/>
      <c r="Y523" s="102"/>
      <c r="Z523" s="102"/>
    </row>
    <row r="524" spans="1:26" x14ac:dyDescent="0.3">
      <c r="A524" s="109">
        <v>1.7</v>
      </c>
      <c r="B524" s="110">
        <v>49316</v>
      </c>
      <c r="C524" s="96" t="s">
        <v>3576</v>
      </c>
      <c r="D524" s="95" t="s">
        <v>3577</v>
      </c>
      <c r="E524" s="111">
        <v>2</v>
      </c>
      <c r="F524" s="112"/>
      <c r="G524" s="112"/>
      <c r="H524" s="113">
        <f t="shared" si="54"/>
        <v>0</v>
      </c>
      <c r="I524" s="113">
        <f t="shared" si="55"/>
        <v>0</v>
      </c>
      <c r="J524" s="102"/>
      <c r="K524" s="102"/>
      <c r="L524" s="102"/>
      <c r="M524" s="102"/>
      <c r="N524" s="102"/>
      <c r="O524" s="102"/>
      <c r="P524" s="102"/>
      <c r="Q524" s="102"/>
      <c r="R524" s="102"/>
      <c r="S524" s="102"/>
      <c r="T524" s="102"/>
      <c r="U524" s="102"/>
      <c r="V524" s="102"/>
      <c r="W524" s="102"/>
      <c r="X524" s="102"/>
      <c r="Y524" s="102"/>
      <c r="Z524" s="102"/>
    </row>
    <row r="525" spans="1:26" x14ac:dyDescent="0.3">
      <c r="A525" s="109">
        <v>1.8</v>
      </c>
      <c r="B525" s="110">
        <v>49317</v>
      </c>
      <c r="C525" s="96" t="s">
        <v>3578</v>
      </c>
      <c r="D525" s="95" t="s">
        <v>3579</v>
      </c>
      <c r="E525" s="106">
        <v>0</v>
      </c>
      <c r="F525" s="112"/>
      <c r="G525" s="11"/>
      <c r="H525" s="11"/>
      <c r="I525" s="91"/>
      <c r="J525" s="102"/>
      <c r="K525" s="102"/>
      <c r="L525" s="102"/>
      <c r="M525" s="102"/>
      <c r="N525" s="102"/>
      <c r="O525" s="102"/>
      <c r="P525" s="102"/>
      <c r="Q525" s="102"/>
      <c r="R525" s="102"/>
      <c r="S525" s="102"/>
      <c r="T525" s="102"/>
      <c r="U525" s="102"/>
      <c r="V525" s="102"/>
      <c r="W525" s="102"/>
      <c r="X525" s="102"/>
      <c r="Y525" s="102"/>
      <c r="Z525" s="102"/>
    </row>
    <row r="526" spans="1:26" x14ac:dyDescent="0.3">
      <c r="A526" s="11"/>
      <c r="B526" s="11"/>
      <c r="C526" s="11"/>
      <c r="D526" s="11"/>
      <c r="E526" s="11"/>
      <c r="F526" s="11"/>
      <c r="G526" s="11"/>
      <c r="H526" s="11"/>
      <c r="I526" s="91"/>
      <c r="J526" s="102"/>
      <c r="K526" s="102"/>
      <c r="L526" s="102"/>
      <c r="M526" s="102"/>
      <c r="N526" s="102"/>
      <c r="O526" s="102"/>
      <c r="P526" s="102"/>
      <c r="Q526" s="102"/>
      <c r="R526" s="102"/>
      <c r="S526" s="102"/>
      <c r="T526" s="102"/>
      <c r="U526" s="102"/>
      <c r="V526" s="102"/>
      <c r="W526" s="102"/>
      <c r="X526" s="102"/>
      <c r="Y526" s="102"/>
      <c r="Z526" s="102"/>
    </row>
    <row r="527" spans="1:26" x14ac:dyDescent="0.3">
      <c r="A527" s="111">
        <v>2</v>
      </c>
      <c r="B527" s="115" t="s">
        <v>3580</v>
      </c>
      <c r="C527" s="9" t="s">
        <v>3581</v>
      </c>
      <c r="D527" s="10"/>
      <c r="E527" s="10"/>
      <c r="F527" s="10"/>
      <c r="G527" s="10"/>
      <c r="H527" s="10"/>
      <c r="I527" s="117"/>
      <c r="J527" s="102"/>
      <c r="K527" s="102"/>
      <c r="L527" s="102"/>
      <c r="M527" s="102"/>
      <c r="N527" s="102"/>
      <c r="O527" s="102"/>
      <c r="P527" s="102"/>
      <c r="Q527" s="102"/>
      <c r="R527" s="102"/>
      <c r="S527" s="102"/>
      <c r="T527" s="102"/>
      <c r="U527" s="102"/>
      <c r="V527" s="102"/>
      <c r="W527" s="102"/>
      <c r="X527" s="102"/>
      <c r="Y527" s="102"/>
      <c r="Z527" s="102"/>
    </row>
    <row r="528" spans="1:26" x14ac:dyDescent="0.3">
      <c r="A528" s="9"/>
      <c r="B528" s="9"/>
      <c r="C528" s="9" t="s">
        <v>3582</v>
      </c>
      <c r="D528" s="9"/>
      <c r="E528" s="9"/>
      <c r="F528" s="9"/>
      <c r="G528" s="9"/>
      <c r="H528" s="9"/>
      <c r="I528" s="108"/>
      <c r="J528" s="102"/>
      <c r="K528" s="102"/>
      <c r="L528" s="102"/>
      <c r="M528" s="102"/>
      <c r="N528" s="102"/>
      <c r="O528" s="102"/>
      <c r="P528" s="102"/>
      <c r="Q528" s="102"/>
      <c r="R528" s="102"/>
      <c r="S528" s="102"/>
      <c r="T528" s="102"/>
      <c r="U528" s="102"/>
      <c r="V528" s="102"/>
      <c r="W528" s="102"/>
      <c r="X528" s="102"/>
      <c r="Y528" s="102"/>
      <c r="Z528" s="102"/>
    </row>
    <row r="529" spans="1:26" x14ac:dyDescent="0.3">
      <c r="A529" s="9"/>
      <c r="B529" s="9"/>
      <c r="C529" s="9" t="s">
        <v>3583</v>
      </c>
      <c r="D529" s="9"/>
      <c r="E529" s="9"/>
      <c r="F529" s="9"/>
      <c r="G529" s="9"/>
      <c r="H529" s="9"/>
      <c r="I529" s="108"/>
      <c r="J529" s="102"/>
      <c r="K529" s="102"/>
      <c r="L529" s="102"/>
      <c r="M529" s="102"/>
      <c r="N529" s="102"/>
      <c r="O529" s="102"/>
      <c r="P529" s="102"/>
      <c r="Q529" s="102"/>
      <c r="R529" s="102"/>
      <c r="S529" s="102"/>
      <c r="T529" s="102"/>
      <c r="U529" s="102"/>
      <c r="V529" s="102"/>
      <c r="W529" s="102"/>
      <c r="X529" s="102"/>
      <c r="Y529" s="102"/>
      <c r="Z529" s="102"/>
    </row>
    <row r="530" spans="1:26" x14ac:dyDescent="0.3">
      <c r="A530" s="11"/>
      <c r="B530" s="11"/>
      <c r="C530" s="96" t="s">
        <v>3584</v>
      </c>
      <c r="D530" s="11"/>
      <c r="E530" s="11"/>
      <c r="F530" s="11"/>
      <c r="G530" s="11"/>
      <c r="H530" s="11"/>
      <c r="I530" s="91"/>
      <c r="J530" s="102"/>
      <c r="K530" s="102"/>
      <c r="L530" s="102"/>
      <c r="M530" s="102"/>
      <c r="N530" s="102"/>
      <c r="O530" s="102"/>
      <c r="P530" s="102"/>
      <c r="Q530" s="102"/>
      <c r="R530" s="102"/>
      <c r="S530" s="102"/>
      <c r="T530" s="102"/>
      <c r="U530" s="102"/>
      <c r="V530" s="102"/>
      <c r="W530" s="102"/>
      <c r="X530" s="102"/>
      <c r="Y530" s="102"/>
      <c r="Z530" s="102"/>
    </row>
    <row r="531" spans="1:26" x14ac:dyDescent="0.3">
      <c r="A531" s="10"/>
      <c r="B531" s="10"/>
      <c r="C531" s="9" t="s">
        <v>3585</v>
      </c>
      <c r="D531" s="10"/>
      <c r="E531" s="10"/>
      <c r="F531" s="10"/>
      <c r="G531" s="10"/>
      <c r="H531" s="10"/>
      <c r="I531" s="117"/>
      <c r="J531" s="102"/>
      <c r="K531" s="102"/>
      <c r="L531" s="102"/>
      <c r="M531" s="102"/>
      <c r="N531" s="102"/>
      <c r="O531" s="102"/>
      <c r="P531" s="102"/>
      <c r="Q531" s="102"/>
      <c r="R531" s="102"/>
      <c r="S531" s="102"/>
      <c r="T531" s="102"/>
      <c r="U531" s="102"/>
      <c r="V531" s="102"/>
      <c r="W531" s="102"/>
      <c r="X531" s="102"/>
      <c r="Y531" s="102"/>
      <c r="Z531" s="102"/>
    </row>
    <row r="532" spans="1:26" x14ac:dyDescent="0.3">
      <c r="A532" s="109">
        <v>2.1</v>
      </c>
      <c r="B532" s="95" t="s">
        <v>3586</v>
      </c>
      <c r="C532" s="96" t="s">
        <v>3587</v>
      </c>
      <c r="D532" s="95" t="s">
        <v>3588</v>
      </c>
      <c r="E532" s="111">
        <v>2</v>
      </c>
      <c r="F532" s="112"/>
      <c r="G532" s="112"/>
      <c r="H532" s="113">
        <f t="shared" ref="H532:H534" si="56">E532*F532</f>
        <v>0</v>
      </c>
      <c r="I532" s="113">
        <f t="shared" ref="I532:I534" si="57">E532*G532</f>
        <v>0</v>
      </c>
      <c r="J532" s="102"/>
      <c r="K532" s="102"/>
      <c r="L532" s="102"/>
      <c r="M532" s="102"/>
      <c r="N532" s="102"/>
      <c r="O532" s="102"/>
      <c r="P532" s="102"/>
      <c r="Q532" s="102"/>
      <c r="R532" s="102"/>
      <c r="S532" s="102"/>
      <c r="T532" s="102"/>
      <c r="U532" s="102"/>
      <c r="V532" s="102"/>
      <c r="W532" s="102"/>
      <c r="X532" s="102"/>
      <c r="Y532" s="102"/>
      <c r="Z532" s="102"/>
    </row>
    <row r="533" spans="1:26" x14ac:dyDescent="0.3">
      <c r="A533" s="109">
        <v>2.2000000000000002</v>
      </c>
      <c r="B533" s="95" t="s">
        <v>3589</v>
      </c>
      <c r="C533" s="96" t="s">
        <v>3590</v>
      </c>
      <c r="D533" s="95" t="s">
        <v>3591</v>
      </c>
      <c r="E533" s="111">
        <v>2</v>
      </c>
      <c r="F533" s="112"/>
      <c r="G533" s="112"/>
      <c r="H533" s="113">
        <f t="shared" si="56"/>
        <v>0</v>
      </c>
      <c r="I533" s="113">
        <f t="shared" si="57"/>
        <v>0</v>
      </c>
      <c r="J533" s="102"/>
      <c r="K533" s="102"/>
      <c r="L533" s="102"/>
      <c r="M533" s="102"/>
      <c r="N533" s="102"/>
      <c r="O533" s="102"/>
      <c r="P533" s="102"/>
      <c r="Q533" s="102"/>
      <c r="R533" s="102"/>
      <c r="S533" s="102"/>
      <c r="T533" s="102"/>
      <c r="U533" s="102"/>
      <c r="V533" s="102"/>
      <c r="W533" s="102"/>
      <c r="X533" s="102"/>
      <c r="Y533" s="102"/>
      <c r="Z533" s="102"/>
    </row>
    <row r="534" spans="1:26" x14ac:dyDescent="0.3">
      <c r="A534" s="109">
        <v>2.2999999999999998</v>
      </c>
      <c r="B534" s="95" t="s">
        <v>3592</v>
      </c>
      <c r="C534" s="96" t="s">
        <v>3593</v>
      </c>
      <c r="D534" s="95" t="s">
        <v>3594</v>
      </c>
      <c r="E534" s="111">
        <v>1</v>
      </c>
      <c r="F534" s="112"/>
      <c r="G534" s="112"/>
      <c r="H534" s="113">
        <f t="shared" si="56"/>
        <v>0</v>
      </c>
      <c r="I534" s="113">
        <f t="shared" si="57"/>
        <v>0</v>
      </c>
      <c r="J534" s="102"/>
      <c r="K534" s="102"/>
      <c r="L534" s="102"/>
      <c r="M534" s="102"/>
      <c r="N534" s="102"/>
      <c r="O534" s="102"/>
      <c r="P534" s="102"/>
      <c r="Q534" s="102"/>
      <c r="R534" s="102"/>
      <c r="S534" s="102"/>
      <c r="T534" s="102"/>
      <c r="U534" s="102"/>
      <c r="V534" s="102"/>
      <c r="W534" s="102"/>
      <c r="X534" s="102"/>
      <c r="Y534" s="102"/>
      <c r="Z534" s="102"/>
    </row>
    <row r="535" spans="1:26" x14ac:dyDescent="0.3">
      <c r="A535" s="11"/>
      <c r="B535" s="11"/>
      <c r="C535" s="96" t="s">
        <v>3595</v>
      </c>
      <c r="D535" s="11"/>
      <c r="E535" s="11"/>
      <c r="F535" s="11"/>
      <c r="G535" s="11"/>
      <c r="H535" s="11"/>
      <c r="I535" s="91"/>
      <c r="J535" s="102"/>
      <c r="K535" s="102"/>
      <c r="L535" s="102"/>
      <c r="M535" s="102"/>
      <c r="N535" s="102"/>
      <c r="O535" s="102"/>
      <c r="P535" s="102"/>
      <c r="Q535" s="102"/>
      <c r="R535" s="102"/>
      <c r="S535" s="102"/>
      <c r="T535" s="102"/>
      <c r="U535" s="102"/>
      <c r="V535" s="102"/>
      <c r="W535" s="102"/>
      <c r="X535" s="102"/>
      <c r="Y535" s="102"/>
      <c r="Z535" s="102"/>
    </row>
    <row r="536" spans="1:26" x14ac:dyDescent="0.3">
      <c r="A536" s="9"/>
      <c r="B536" s="9"/>
      <c r="C536" s="96" t="s">
        <v>3596</v>
      </c>
      <c r="D536" s="9"/>
      <c r="E536" s="9"/>
      <c r="F536" s="9"/>
      <c r="G536" s="9"/>
      <c r="H536" s="9"/>
      <c r="I536" s="108"/>
      <c r="J536" s="102"/>
      <c r="K536" s="102"/>
      <c r="L536" s="102"/>
      <c r="M536" s="102"/>
      <c r="N536" s="102"/>
      <c r="O536" s="102"/>
      <c r="P536" s="102"/>
      <c r="Q536" s="102"/>
      <c r="R536" s="102"/>
      <c r="S536" s="102"/>
      <c r="T536" s="102"/>
      <c r="U536" s="102"/>
      <c r="V536" s="102"/>
      <c r="W536" s="102"/>
      <c r="X536" s="102"/>
      <c r="Y536" s="102"/>
      <c r="Z536" s="102"/>
    </row>
    <row r="537" spans="1:26" x14ac:dyDescent="0.3">
      <c r="A537" s="10"/>
      <c r="B537" s="10"/>
      <c r="C537" s="9" t="s">
        <v>3597</v>
      </c>
      <c r="D537" s="10"/>
      <c r="E537" s="10"/>
      <c r="F537" s="10"/>
      <c r="G537" s="10"/>
      <c r="H537" s="10"/>
      <c r="I537" s="117"/>
      <c r="J537" s="102"/>
      <c r="K537" s="102"/>
      <c r="L537" s="102"/>
      <c r="M537" s="102"/>
      <c r="N537" s="102"/>
      <c r="O537" s="102"/>
      <c r="P537" s="102"/>
      <c r="Q537" s="102"/>
      <c r="R537" s="102"/>
      <c r="S537" s="102"/>
      <c r="T537" s="102"/>
      <c r="U537" s="102"/>
      <c r="V537" s="102"/>
      <c r="W537" s="102"/>
      <c r="X537" s="102"/>
      <c r="Y537" s="102"/>
      <c r="Z537" s="102"/>
    </row>
    <row r="538" spans="1:26" x14ac:dyDescent="0.3">
      <c r="A538" s="11"/>
      <c r="B538" s="11"/>
      <c r="C538" s="11"/>
      <c r="D538" s="11"/>
      <c r="E538" s="11"/>
      <c r="F538" s="11"/>
      <c r="G538" s="11"/>
      <c r="H538" s="11"/>
      <c r="I538" s="91"/>
      <c r="J538" s="102"/>
      <c r="K538" s="102"/>
      <c r="L538" s="102"/>
      <c r="M538" s="102"/>
      <c r="N538" s="102"/>
      <c r="O538" s="102"/>
      <c r="P538" s="102"/>
      <c r="Q538" s="102"/>
      <c r="R538" s="102"/>
      <c r="S538" s="102"/>
      <c r="T538" s="102"/>
      <c r="U538" s="102"/>
      <c r="V538" s="102"/>
      <c r="W538" s="102"/>
      <c r="X538" s="102"/>
      <c r="Y538" s="102"/>
      <c r="Z538" s="102"/>
    </row>
    <row r="539" spans="1:26" x14ac:dyDescent="0.3">
      <c r="A539" s="106">
        <v>3</v>
      </c>
      <c r="B539" s="95" t="s">
        <v>3598</v>
      </c>
      <c r="C539" s="96" t="s">
        <v>3599</v>
      </c>
      <c r="D539" s="11"/>
      <c r="E539" s="11"/>
      <c r="F539" s="11"/>
      <c r="G539" s="11"/>
      <c r="H539" s="11"/>
      <c r="I539" s="91"/>
      <c r="J539" s="102"/>
      <c r="K539" s="102"/>
      <c r="L539" s="102"/>
      <c r="M539" s="102"/>
      <c r="N539" s="102"/>
      <c r="O539" s="102"/>
      <c r="P539" s="102"/>
      <c r="Q539" s="102"/>
      <c r="R539" s="102"/>
      <c r="S539" s="102"/>
      <c r="T539" s="102"/>
      <c r="U539" s="102"/>
      <c r="V539" s="102"/>
      <c r="W539" s="102"/>
      <c r="X539" s="102"/>
      <c r="Y539" s="102"/>
      <c r="Z539" s="102"/>
    </row>
    <row r="540" spans="1:26" x14ac:dyDescent="0.3">
      <c r="A540" s="9"/>
      <c r="B540" s="9"/>
      <c r="C540" s="9" t="s">
        <v>3600</v>
      </c>
      <c r="D540" s="9"/>
      <c r="E540" s="9"/>
      <c r="F540" s="9"/>
      <c r="G540" s="9"/>
      <c r="H540" s="9"/>
      <c r="I540" s="108"/>
      <c r="J540" s="102"/>
      <c r="K540" s="102"/>
      <c r="L540" s="102"/>
      <c r="M540" s="102"/>
      <c r="N540" s="102"/>
      <c r="O540" s="102"/>
      <c r="P540" s="102"/>
      <c r="Q540" s="102"/>
      <c r="R540" s="102"/>
      <c r="S540" s="102"/>
      <c r="T540" s="102"/>
      <c r="U540" s="102"/>
      <c r="V540" s="102"/>
      <c r="W540" s="102"/>
      <c r="X540" s="102"/>
      <c r="Y540" s="102"/>
      <c r="Z540" s="102"/>
    </row>
    <row r="541" spans="1:26" x14ac:dyDescent="0.3">
      <c r="A541" s="11"/>
      <c r="B541" s="11"/>
      <c r="C541" s="11"/>
      <c r="D541" s="11"/>
      <c r="E541" s="11"/>
      <c r="F541" s="11"/>
      <c r="G541" s="11"/>
      <c r="H541" s="11"/>
      <c r="I541" s="91"/>
      <c r="J541" s="102"/>
      <c r="K541" s="102"/>
      <c r="L541" s="102"/>
      <c r="M541" s="102"/>
      <c r="N541" s="102"/>
      <c r="O541" s="102"/>
      <c r="P541" s="102"/>
      <c r="Q541" s="102"/>
      <c r="R541" s="102"/>
      <c r="S541" s="102"/>
      <c r="T541" s="102"/>
      <c r="U541" s="102"/>
      <c r="V541" s="102"/>
      <c r="W541" s="102"/>
      <c r="X541" s="102"/>
      <c r="Y541" s="102"/>
      <c r="Z541" s="102"/>
    </row>
    <row r="542" spans="1:26" x14ac:dyDescent="0.3">
      <c r="A542" s="10"/>
      <c r="B542" s="10"/>
      <c r="C542" s="138" t="s">
        <v>3601</v>
      </c>
      <c r="D542" s="10"/>
      <c r="E542" s="10"/>
      <c r="F542" s="10"/>
      <c r="G542" s="10"/>
      <c r="H542" s="10"/>
      <c r="I542" s="117"/>
      <c r="J542" s="102"/>
      <c r="K542" s="102"/>
      <c r="L542" s="102"/>
      <c r="M542" s="102"/>
      <c r="N542" s="102"/>
      <c r="O542" s="102"/>
      <c r="P542" s="102"/>
      <c r="Q542" s="102"/>
      <c r="R542" s="102"/>
      <c r="S542" s="102"/>
      <c r="T542" s="102"/>
      <c r="U542" s="102"/>
      <c r="V542" s="102"/>
      <c r="W542" s="102"/>
      <c r="X542" s="102"/>
      <c r="Y542" s="102"/>
      <c r="Z542" s="102"/>
    </row>
    <row r="543" spans="1:26" x14ac:dyDescent="0.3">
      <c r="A543" s="109">
        <v>3.1</v>
      </c>
      <c r="B543" s="11"/>
      <c r="C543" s="96" t="s">
        <v>3602</v>
      </c>
      <c r="D543" s="96" t="s">
        <v>3603</v>
      </c>
      <c r="E543" s="111">
        <v>1</v>
      </c>
      <c r="F543" s="112"/>
      <c r="G543" s="112"/>
      <c r="H543" s="113">
        <f>E543*F543</f>
        <v>0</v>
      </c>
      <c r="I543" s="113">
        <f>E543*G543</f>
        <v>0</v>
      </c>
      <c r="J543" s="102"/>
      <c r="K543" s="102"/>
      <c r="L543" s="102"/>
      <c r="M543" s="102"/>
      <c r="N543" s="102"/>
      <c r="O543" s="102"/>
      <c r="P543" s="102"/>
      <c r="Q543" s="102"/>
      <c r="R543" s="102"/>
      <c r="S543" s="102"/>
      <c r="T543" s="102"/>
      <c r="U543" s="102"/>
      <c r="V543" s="102"/>
      <c r="W543" s="102"/>
      <c r="X543" s="102"/>
      <c r="Y543" s="102"/>
      <c r="Z543" s="102"/>
    </row>
    <row r="544" spans="1:26" x14ac:dyDescent="0.3">
      <c r="A544" s="11"/>
      <c r="B544" s="11"/>
      <c r="C544" s="11"/>
      <c r="D544" s="11"/>
      <c r="E544" s="11"/>
      <c r="F544" s="11"/>
      <c r="G544" s="11"/>
      <c r="H544" s="11"/>
      <c r="I544" s="91"/>
      <c r="J544" s="102"/>
      <c r="K544" s="102"/>
      <c r="L544" s="102"/>
      <c r="M544" s="102"/>
      <c r="N544" s="102"/>
      <c r="O544" s="102"/>
      <c r="P544" s="102"/>
      <c r="Q544" s="102"/>
      <c r="R544" s="102"/>
      <c r="S544" s="102"/>
      <c r="T544" s="102"/>
      <c r="U544" s="102"/>
      <c r="V544" s="102"/>
      <c r="W544" s="102"/>
      <c r="X544" s="102"/>
      <c r="Y544" s="102"/>
      <c r="Z544" s="102"/>
    </row>
    <row r="545" spans="1:26" x14ac:dyDescent="0.3">
      <c r="A545" s="130">
        <v>4</v>
      </c>
      <c r="B545" s="131" t="s">
        <v>3604</v>
      </c>
      <c r="C545" s="105" t="s">
        <v>3605</v>
      </c>
      <c r="D545" s="11"/>
      <c r="E545" s="11"/>
      <c r="F545" s="11"/>
      <c r="G545" s="11"/>
      <c r="H545" s="11"/>
      <c r="I545" s="91"/>
      <c r="J545" s="102"/>
      <c r="K545" s="102"/>
      <c r="L545" s="102"/>
      <c r="M545" s="102"/>
      <c r="N545" s="102"/>
      <c r="O545" s="102"/>
      <c r="P545" s="102"/>
      <c r="Q545" s="102"/>
      <c r="R545" s="102"/>
      <c r="S545" s="102"/>
      <c r="T545" s="102"/>
      <c r="U545" s="102"/>
      <c r="V545" s="102"/>
      <c r="W545" s="102"/>
      <c r="X545" s="102"/>
      <c r="Y545" s="102"/>
      <c r="Z545" s="102"/>
    </row>
    <row r="546" spans="1:26" x14ac:dyDescent="0.3">
      <c r="A546" s="9"/>
      <c r="B546" s="9"/>
      <c r="C546" s="9" t="s">
        <v>3606</v>
      </c>
      <c r="D546" s="9"/>
      <c r="E546" s="9"/>
      <c r="F546" s="9"/>
      <c r="G546" s="9"/>
      <c r="H546" s="9"/>
      <c r="I546" s="108"/>
      <c r="J546" s="102"/>
      <c r="K546" s="102"/>
      <c r="L546" s="102"/>
      <c r="M546" s="102"/>
      <c r="N546" s="102"/>
      <c r="O546" s="102"/>
      <c r="P546" s="102"/>
      <c r="Q546" s="102"/>
      <c r="R546" s="102"/>
      <c r="S546" s="102"/>
      <c r="T546" s="102"/>
      <c r="U546" s="102"/>
      <c r="V546" s="102"/>
      <c r="W546" s="102"/>
      <c r="X546" s="102"/>
      <c r="Y546" s="102"/>
      <c r="Z546" s="102"/>
    </row>
    <row r="547" spans="1:26" x14ac:dyDescent="0.3">
      <c r="A547" s="11"/>
      <c r="B547" s="11"/>
      <c r="C547" s="11"/>
      <c r="D547" s="11"/>
      <c r="E547" s="11"/>
      <c r="F547" s="11"/>
      <c r="G547" s="11"/>
      <c r="H547" s="11"/>
      <c r="I547" s="91"/>
      <c r="J547" s="102"/>
      <c r="K547" s="102"/>
      <c r="L547" s="102"/>
      <c r="M547" s="102"/>
      <c r="N547" s="102"/>
      <c r="O547" s="102"/>
      <c r="P547" s="102"/>
      <c r="Q547" s="102"/>
      <c r="R547" s="102"/>
      <c r="S547" s="102"/>
      <c r="T547" s="102"/>
      <c r="U547" s="102"/>
      <c r="V547" s="102"/>
      <c r="W547" s="102"/>
      <c r="X547" s="102"/>
      <c r="Y547" s="102"/>
      <c r="Z547" s="102"/>
    </row>
    <row r="548" spans="1:26" x14ac:dyDescent="0.3">
      <c r="A548" s="10"/>
      <c r="B548" s="10"/>
      <c r="C548" s="138" t="s">
        <v>3607</v>
      </c>
      <c r="D548" s="10"/>
      <c r="E548" s="10"/>
      <c r="F548" s="10"/>
      <c r="G548" s="10"/>
      <c r="H548" s="10"/>
      <c r="I548" s="117"/>
      <c r="J548" s="102"/>
      <c r="K548" s="102"/>
      <c r="L548" s="102"/>
      <c r="M548" s="102"/>
      <c r="N548" s="102"/>
      <c r="O548" s="102"/>
      <c r="P548" s="102"/>
      <c r="Q548" s="102"/>
      <c r="R548" s="102"/>
      <c r="S548" s="102"/>
      <c r="T548" s="102"/>
      <c r="U548" s="102"/>
      <c r="V548" s="102"/>
      <c r="W548" s="102"/>
      <c r="X548" s="102"/>
      <c r="Y548" s="102"/>
      <c r="Z548" s="102"/>
    </row>
    <row r="549" spans="1:26" x14ac:dyDescent="0.3">
      <c r="A549" s="11"/>
      <c r="B549" s="11"/>
      <c r="C549" s="96" t="s">
        <v>3608</v>
      </c>
      <c r="D549" s="11"/>
      <c r="E549" s="11"/>
      <c r="F549" s="11"/>
      <c r="G549" s="11"/>
      <c r="H549" s="11"/>
      <c r="I549" s="91"/>
      <c r="J549" s="102"/>
      <c r="K549" s="102"/>
      <c r="L549" s="102"/>
      <c r="M549" s="102"/>
      <c r="N549" s="102"/>
      <c r="O549" s="102"/>
      <c r="P549" s="102"/>
      <c r="Q549" s="102"/>
      <c r="R549" s="102"/>
      <c r="S549" s="102"/>
      <c r="T549" s="102"/>
      <c r="U549" s="102"/>
      <c r="V549" s="102"/>
      <c r="W549" s="102"/>
      <c r="X549" s="102"/>
      <c r="Y549" s="102"/>
      <c r="Z549" s="102"/>
    </row>
    <row r="550" spans="1:26" x14ac:dyDescent="0.3">
      <c r="A550" s="109">
        <v>4.0999999999999996</v>
      </c>
      <c r="B550" s="11"/>
      <c r="C550" s="96" t="s">
        <v>3609</v>
      </c>
      <c r="D550" s="95" t="s">
        <v>3610</v>
      </c>
      <c r="E550" s="111">
        <v>1</v>
      </c>
      <c r="F550" s="112"/>
      <c r="G550" s="112"/>
      <c r="H550" s="113">
        <f>E550*F550</f>
        <v>0</v>
      </c>
      <c r="I550" s="113">
        <f>E550*G550</f>
        <v>0</v>
      </c>
      <c r="J550" s="102"/>
      <c r="K550" s="102"/>
      <c r="L550" s="102"/>
      <c r="M550" s="102"/>
      <c r="N550" s="102"/>
      <c r="O550" s="102"/>
      <c r="P550" s="102"/>
      <c r="Q550" s="102"/>
      <c r="R550" s="102"/>
      <c r="S550" s="102"/>
      <c r="T550" s="102"/>
      <c r="U550" s="102"/>
      <c r="V550" s="102"/>
      <c r="W550" s="102"/>
      <c r="X550" s="102"/>
      <c r="Y550" s="102"/>
      <c r="Z550" s="102"/>
    </row>
    <row r="551" spans="1:26" x14ac:dyDescent="0.3">
      <c r="A551" s="11"/>
      <c r="B551" s="11"/>
      <c r="C551" s="96" t="s">
        <v>3611</v>
      </c>
      <c r="D551" s="11"/>
      <c r="E551" s="11"/>
      <c r="F551" s="11"/>
      <c r="G551" s="11"/>
      <c r="H551" s="11"/>
      <c r="I551" s="91"/>
      <c r="J551" s="102"/>
      <c r="K551" s="102"/>
      <c r="L551" s="102"/>
      <c r="M551" s="102"/>
      <c r="N551" s="102"/>
      <c r="O551" s="102"/>
      <c r="P551" s="102"/>
      <c r="Q551" s="102"/>
      <c r="R551" s="102"/>
      <c r="S551" s="102"/>
      <c r="T551" s="102"/>
      <c r="U551" s="102"/>
      <c r="V551" s="102"/>
      <c r="W551" s="102"/>
      <c r="X551" s="102"/>
      <c r="Y551" s="102"/>
      <c r="Z551" s="102"/>
    </row>
    <row r="552" spans="1:26" x14ac:dyDescent="0.3">
      <c r="A552" s="109">
        <v>4.2</v>
      </c>
      <c r="B552" s="11"/>
      <c r="C552" s="96" t="s">
        <v>3612</v>
      </c>
      <c r="D552" s="95" t="s">
        <v>3613</v>
      </c>
      <c r="E552" s="111">
        <v>1</v>
      </c>
      <c r="F552" s="112"/>
      <c r="G552" s="112"/>
      <c r="H552" s="113">
        <f t="shared" ref="H552:H554" si="58">E552*F552</f>
        <v>0</v>
      </c>
      <c r="I552" s="113">
        <f t="shared" ref="I552:I554" si="59">E552*G552</f>
        <v>0</v>
      </c>
      <c r="J552" s="102"/>
      <c r="K552" s="102"/>
      <c r="L552" s="102"/>
      <c r="M552" s="102"/>
      <c r="N552" s="102"/>
      <c r="O552" s="102"/>
      <c r="P552" s="102"/>
      <c r="Q552" s="102"/>
      <c r="R552" s="102"/>
      <c r="S552" s="102"/>
      <c r="T552" s="102"/>
      <c r="U552" s="102"/>
      <c r="V552" s="102"/>
      <c r="W552" s="102"/>
      <c r="X552" s="102"/>
      <c r="Y552" s="102"/>
      <c r="Z552" s="102"/>
    </row>
    <row r="553" spans="1:26" x14ac:dyDescent="0.3">
      <c r="A553" s="109">
        <v>4.3</v>
      </c>
      <c r="B553" s="11"/>
      <c r="C553" s="96" t="s">
        <v>3614</v>
      </c>
      <c r="D553" s="95" t="s">
        <v>3615</v>
      </c>
      <c r="E553" s="111">
        <v>1</v>
      </c>
      <c r="F553" s="112"/>
      <c r="G553" s="112"/>
      <c r="H553" s="113">
        <f t="shared" si="58"/>
        <v>0</v>
      </c>
      <c r="I553" s="113">
        <f t="shared" si="59"/>
        <v>0</v>
      </c>
      <c r="J553" s="102"/>
      <c r="K553" s="102"/>
      <c r="L553" s="102"/>
      <c r="M553" s="102"/>
      <c r="N553" s="102"/>
      <c r="O553" s="102"/>
      <c r="P553" s="102"/>
      <c r="Q553" s="102"/>
      <c r="R553" s="102"/>
      <c r="S553" s="102"/>
      <c r="T553" s="102"/>
      <c r="U553" s="102"/>
      <c r="V553" s="102"/>
      <c r="W553" s="102"/>
      <c r="X553" s="102"/>
      <c r="Y553" s="102"/>
      <c r="Z553" s="102"/>
    </row>
    <row r="554" spans="1:26" x14ac:dyDescent="0.3">
      <c r="A554" s="109">
        <v>4.4000000000000004</v>
      </c>
      <c r="B554" s="11"/>
      <c r="C554" s="96" t="s">
        <v>3616</v>
      </c>
      <c r="D554" s="95" t="s">
        <v>3617</v>
      </c>
      <c r="E554" s="111">
        <v>1</v>
      </c>
      <c r="F554" s="112"/>
      <c r="G554" s="112"/>
      <c r="H554" s="113">
        <f t="shared" si="58"/>
        <v>0</v>
      </c>
      <c r="I554" s="113">
        <f t="shared" si="59"/>
        <v>0</v>
      </c>
      <c r="J554" s="102"/>
      <c r="K554" s="102"/>
      <c r="L554" s="102"/>
      <c r="M554" s="102"/>
      <c r="N554" s="102"/>
      <c r="O554" s="102"/>
      <c r="P554" s="102"/>
      <c r="Q554" s="102"/>
      <c r="R554" s="102"/>
      <c r="S554" s="102"/>
      <c r="T554" s="102"/>
      <c r="U554" s="102"/>
      <c r="V554" s="102"/>
      <c r="W554" s="102"/>
      <c r="X554" s="102"/>
      <c r="Y554" s="102"/>
      <c r="Z554" s="102"/>
    </row>
    <row r="555" spans="1:26" x14ac:dyDescent="0.3">
      <c r="A555" s="11"/>
      <c r="B555" s="11"/>
      <c r="C555" s="11"/>
      <c r="D555" s="11"/>
      <c r="E555" s="11"/>
      <c r="F555" s="11"/>
      <c r="G555" s="11"/>
      <c r="H555" s="11"/>
      <c r="I555" s="91"/>
      <c r="J555" s="102"/>
      <c r="K555" s="102"/>
      <c r="L555" s="102"/>
      <c r="M555" s="102"/>
      <c r="N555" s="102"/>
      <c r="O555" s="102"/>
      <c r="P555" s="102"/>
      <c r="Q555" s="102"/>
      <c r="R555" s="102"/>
      <c r="S555" s="102"/>
      <c r="T555" s="102"/>
      <c r="U555" s="102"/>
      <c r="V555" s="102"/>
      <c r="W555" s="102"/>
      <c r="X555" s="102"/>
      <c r="Y555" s="102"/>
      <c r="Z555" s="102"/>
    </row>
    <row r="556" spans="1:26" x14ac:dyDescent="0.3">
      <c r="A556" s="106">
        <v>5</v>
      </c>
      <c r="B556" s="109">
        <v>35.4</v>
      </c>
      <c r="C556" s="96" t="s">
        <v>3618</v>
      </c>
      <c r="D556" s="11"/>
      <c r="E556" s="11"/>
      <c r="F556" s="11"/>
      <c r="G556" s="11"/>
      <c r="H556" s="11"/>
      <c r="I556" s="91"/>
      <c r="J556" s="102"/>
      <c r="K556" s="102"/>
      <c r="L556" s="102"/>
      <c r="M556" s="102"/>
      <c r="N556" s="102"/>
      <c r="O556" s="102"/>
      <c r="P556" s="102"/>
      <c r="Q556" s="102"/>
      <c r="R556" s="102"/>
      <c r="S556" s="102"/>
      <c r="T556" s="102"/>
      <c r="U556" s="102"/>
      <c r="V556" s="102"/>
      <c r="W556" s="102"/>
      <c r="X556" s="102"/>
      <c r="Y556" s="102"/>
      <c r="Z556" s="102"/>
    </row>
    <row r="557" spans="1:26" x14ac:dyDescent="0.3">
      <c r="A557" s="9"/>
      <c r="B557" s="9"/>
      <c r="C557" s="96" t="s">
        <v>3619</v>
      </c>
      <c r="D557" s="9"/>
      <c r="E557" s="9"/>
      <c r="F557" s="9"/>
      <c r="G557" s="9"/>
      <c r="H557" s="9"/>
      <c r="I557" s="108"/>
      <c r="J557" s="102"/>
      <c r="K557" s="102"/>
      <c r="L557" s="102"/>
      <c r="M557" s="102"/>
      <c r="N557" s="102"/>
      <c r="O557" s="102"/>
      <c r="P557" s="102"/>
      <c r="Q557" s="102"/>
      <c r="R557" s="102"/>
      <c r="S557" s="102"/>
      <c r="T557" s="102"/>
      <c r="U557" s="102"/>
      <c r="V557" s="102"/>
      <c r="W557" s="102"/>
      <c r="X557" s="102"/>
      <c r="Y557" s="102"/>
      <c r="Z557" s="102"/>
    </row>
    <row r="558" spans="1:26" x14ac:dyDescent="0.3">
      <c r="A558" s="109">
        <v>5.0999999999999996</v>
      </c>
      <c r="B558" s="110">
        <v>49400</v>
      </c>
      <c r="C558" s="96" t="s">
        <v>3620</v>
      </c>
      <c r="D558" s="95" t="s">
        <v>3621</v>
      </c>
      <c r="E558" s="111">
        <v>4</v>
      </c>
      <c r="F558" s="112"/>
      <c r="G558" s="112"/>
      <c r="H558" s="113">
        <f t="shared" ref="H558:H560" si="60">E558*F558</f>
        <v>0</v>
      </c>
      <c r="I558" s="113">
        <f t="shared" ref="I558:I560" si="61">E558*G558</f>
        <v>0</v>
      </c>
      <c r="J558" s="102"/>
      <c r="K558" s="102"/>
      <c r="L558" s="102"/>
      <c r="M558" s="102"/>
      <c r="N558" s="102"/>
      <c r="O558" s="102"/>
      <c r="P558" s="102"/>
      <c r="Q558" s="102"/>
      <c r="R558" s="102"/>
      <c r="S558" s="102"/>
      <c r="T558" s="102"/>
      <c r="U558" s="102"/>
      <c r="V558" s="102"/>
      <c r="W558" s="102"/>
      <c r="X558" s="102"/>
      <c r="Y558" s="102"/>
      <c r="Z558" s="102"/>
    </row>
    <row r="559" spans="1:26" x14ac:dyDescent="0.3">
      <c r="A559" s="109">
        <v>5.2</v>
      </c>
      <c r="B559" s="110">
        <v>49401</v>
      </c>
      <c r="C559" s="96" t="s">
        <v>3622</v>
      </c>
      <c r="D559" s="95" t="s">
        <v>3623</v>
      </c>
      <c r="E559" s="111">
        <v>2</v>
      </c>
      <c r="F559" s="112"/>
      <c r="G559" s="112"/>
      <c r="H559" s="113">
        <f t="shared" si="60"/>
        <v>0</v>
      </c>
      <c r="I559" s="113">
        <f t="shared" si="61"/>
        <v>0</v>
      </c>
      <c r="J559" s="102"/>
      <c r="K559" s="102"/>
      <c r="L559" s="102"/>
      <c r="M559" s="102"/>
      <c r="N559" s="102"/>
      <c r="O559" s="102"/>
      <c r="P559" s="102"/>
      <c r="Q559" s="102"/>
      <c r="R559" s="102"/>
      <c r="S559" s="102"/>
      <c r="T559" s="102"/>
      <c r="U559" s="102"/>
      <c r="V559" s="102"/>
      <c r="W559" s="102"/>
      <c r="X559" s="102"/>
      <c r="Y559" s="102"/>
      <c r="Z559" s="102"/>
    </row>
    <row r="560" spans="1:26" x14ac:dyDescent="0.3">
      <c r="A560" s="109">
        <v>5.3</v>
      </c>
      <c r="B560" s="110">
        <v>49402</v>
      </c>
      <c r="C560" s="96" t="s">
        <v>3624</v>
      </c>
      <c r="D560" s="95" t="s">
        <v>3625</v>
      </c>
      <c r="E560" s="111">
        <v>2</v>
      </c>
      <c r="F560" s="112"/>
      <c r="G560" s="112"/>
      <c r="H560" s="113">
        <f t="shared" si="60"/>
        <v>0</v>
      </c>
      <c r="I560" s="113">
        <f t="shared" si="61"/>
        <v>0</v>
      </c>
      <c r="J560" s="102"/>
      <c r="K560" s="102"/>
      <c r="L560" s="102"/>
      <c r="M560" s="102"/>
      <c r="N560" s="102"/>
      <c r="O560" s="102"/>
      <c r="P560" s="102"/>
      <c r="Q560" s="102"/>
      <c r="R560" s="102"/>
      <c r="S560" s="102"/>
      <c r="T560" s="102"/>
      <c r="U560" s="102"/>
      <c r="V560" s="102"/>
      <c r="W560" s="102"/>
      <c r="X560" s="102"/>
      <c r="Y560" s="102"/>
      <c r="Z560" s="102"/>
    </row>
    <row r="561" spans="1:26" x14ac:dyDescent="0.3">
      <c r="A561" s="11"/>
      <c r="B561" s="11"/>
      <c r="C561" s="11"/>
      <c r="D561" s="11"/>
      <c r="E561" s="11"/>
      <c r="F561" s="11"/>
      <c r="G561" s="11"/>
      <c r="H561" s="11"/>
      <c r="I561" s="91"/>
      <c r="J561" s="102"/>
      <c r="K561" s="102"/>
      <c r="L561" s="102"/>
      <c r="M561" s="102"/>
      <c r="N561" s="102"/>
      <c r="O561" s="102"/>
      <c r="P561" s="102"/>
      <c r="Q561" s="102"/>
      <c r="R561" s="102"/>
      <c r="S561" s="102"/>
      <c r="T561" s="102"/>
      <c r="U561" s="102"/>
      <c r="V561" s="102"/>
      <c r="W561" s="102"/>
      <c r="X561" s="102"/>
      <c r="Y561" s="102"/>
      <c r="Z561" s="102"/>
    </row>
    <row r="562" spans="1:26" x14ac:dyDescent="0.3">
      <c r="A562" s="106">
        <v>6</v>
      </c>
      <c r="B562" s="95" t="s">
        <v>3626</v>
      </c>
      <c r="C562" s="96" t="s">
        <v>3627</v>
      </c>
      <c r="D562" s="11"/>
      <c r="E562" s="11"/>
      <c r="F562" s="11"/>
      <c r="G562" s="11"/>
      <c r="H562" s="11"/>
      <c r="I562" s="91"/>
      <c r="J562" s="102"/>
      <c r="K562" s="102"/>
      <c r="L562" s="102"/>
      <c r="M562" s="102"/>
      <c r="N562" s="102"/>
      <c r="O562" s="102"/>
      <c r="P562" s="102"/>
      <c r="Q562" s="102"/>
      <c r="R562" s="102"/>
      <c r="S562" s="102"/>
      <c r="T562" s="102"/>
      <c r="U562" s="102"/>
      <c r="V562" s="102"/>
      <c r="W562" s="102"/>
      <c r="X562" s="102"/>
      <c r="Y562" s="102"/>
      <c r="Z562" s="102"/>
    </row>
    <row r="563" spans="1:26" x14ac:dyDescent="0.3">
      <c r="A563" s="107">
        <v>6.1</v>
      </c>
      <c r="B563" s="115" t="s">
        <v>3628</v>
      </c>
      <c r="C563" s="96" t="s">
        <v>3629</v>
      </c>
      <c r="D563" s="115" t="s">
        <v>3630</v>
      </c>
      <c r="E563" s="111">
        <v>11</v>
      </c>
      <c r="F563" s="112"/>
      <c r="G563" s="112"/>
      <c r="H563" s="113">
        <f>E563*F563</f>
        <v>0</v>
      </c>
      <c r="I563" s="113">
        <f>E563*G563</f>
        <v>0</v>
      </c>
      <c r="J563" s="102"/>
      <c r="K563" s="102"/>
      <c r="L563" s="102"/>
      <c r="M563" s="102"/>
      <c r="N563" s="102"/>
      <c r="O563" s="102"/>
      <c r="P563" s="102"/>
      <c r="Q563" s="102"/>
      <c r="R563" s="102"/>
      <c r="S563" s="102"/>
      <c r="T563" s="102"/>
      <c r="U563" s="102"/>
      <c r="V563" s="102"/>
      <c r="W563" s="102"/>
      <c r="X563" s="102"/>
      <c r="Y563" s="102"/>
      <c r="Z563" s="102"/>
    </row>
    <row r="564" spans="1:26" x14ac:dyDescent="0.3">
      <c r="A564" s="11"/>
      <c r="B564" s="11"/>
      <c r="C564" s="11"/>
      <c r="D564" s="11"/>
      <c r="E564" s="11"/>
      <c r="F564" s="11"/>
      <c r="G564" s="11"/>
      <c r="H564" s="11"/>
      <c r="I564" s="91"/>
      <c r="J564" s="102"/>
      <c r="K564" s="102"/>
      <c r="L564" s="102"/>
      <c r="M564" s="102"/>
      <c r="N564" s="102"/>
      <c r="O564" s="102"/>
      <c r="P564" s="102"/>
      <c r="Q564" s="102"/>
      <c r="R564" s="102"/>
      <c r="S564" s="102"/>
      <c r="T564" s="102"/>
      <c r="U564" s="102"/>
      <c r="V564" s="102"/>
      <c r="W564" s="102"/>
      <c r="X564" s="102"/>
      <c r="Y564" s="102"/>
      <c r="Z564" s="102"/>
    </row>
    <row r="565" spans="1:26" x14ac:dyDescent="0.3">
      <c r="A565" s="121"/>
      <c r="B565" s="121"/>
      <c r="C565" s="122" t="s">
        <v>3631</v>
      </c>
      <c r="D565" s="121"/>
      <c r="E565" s="121"/>
      <c r="F565" s="121"/>
      <c r="G565" s="121"/>
      <c r="H565" s="123"/>
      <c r="I565" s="124"/>
      <c r="J565" s="102"/>
      <c r="K565" s="102"/>
      <c r="L565" s="102"/>
      <c r="M565" s="102"/>
      <c r="N565" s="102"/>
      <c r="O565" s="102"/>
      <c r="P565" s="102"/>
      <c r="Q565" s="102"/>
      <c r="R565" s="102"/>
      <c r="S565" s="102"/>
      <c r="T565" s="102"/>
      <c r="U565" s="102"/>
      <c r="V565" s="102"/>
      <c r="W565" s="102"/>
      <c r="X565" s="102"/>
      <c r="Y565" s="102"/>
      <c r="Z565" s="102"/>
    </row>
    <row r="566" spans="1:26" x14ac:dyDescent="0.3">
      <c r="A566" s="11"/>
      <c r="B566" s="11"/>
      <c r="C566" s="11"/>
      <c r="D566" s="11"/>
      <c r="E566" s="11"/>
      <c r="F566" s="11"/>
      <c r="G566" s="11"/>
      <c r="H566" s="11"/>
      <c r="I566" s="91"/>
      <c r="J566" s="102"/>
      <c r="K566" s="102"/>
      <c r="L566" s="102"/>
      <c r="M566" s="102"/>
      <c r="N566" s="102"/>
      <c r="O566" s="102"/>
      <c r="P566" s="102"/>
      <c r="Q566" s="102"/>
      <c r="R566" s="102"/>
      <c r="S566" s="102"/>
      <c r="T566" s="102"/>
      <c r="U566" s="102"/>
      <c r="V566" s="102"/>
      <c r="W566" s="102"/>
      <c r="X566" s="102"/>
      <c r="Y566" s="102"/>
      <c r="Z566" s="102"/>
    </row>
    <row r="567" spans="1:26" x14ac:dyDescent="0.3">
      <c r="A567" s="243" t="s">
        <v>3632</v>
      </c>
      <c r="B567" s="221"/>
      <c r="C567" s="105" t="s">
        <v>3633</v>
      </c>
      <c r="D567" s="11"/>
      <c r="E567" s="11"/>
      <c r="F567" s="11"/>
      <c r="G567" s="11"/>
      <c r="H567" s="11"/>
      <c r="I567" s="91"/>
      <c r="J567" s="102"/>
      <c r="K567" s="102"/>
      <c r="L567" s="102"/>
      <c r="M567" s="102"/>
      <c r="N567" s="102"/>
      <c r="O567" s="102"/>
      <c r="P567" s="102"/>
      <c r="Q567" s="102"/>
      <c r="R567" s="102"/>
      <c r="S567" s="102"/>
      <c r="T567" s="102"/>
      <c r="U567" s="102"/>
      <c r="V567" s="102"/>
      <c r="W567" s="102"/>
      <c r="X567" s="102"/>
      <c r="Y567" s="102"/>
      <c r="Z567" s="102"/>
    </row>
    <row r="568" spans="1:26" x14ac:dyDescent="0.3">
      <c r="A568" s="11"/>
      <c r="B568" s="11"/>
      <c r="C568" s="11"/>
      <c r="D568" s="11"/>
      <c r="E568" s="11"/>
      <c r="F568" s="11"/>
      <c r="G568" s="11"/>
      <c r="H568" s="11"/>
      <c r="I568" s="91"/>
      <c r="J568" s="102"/>
      <c r="K568" s="102"/>
      <c r="L568" s="102"/>
      <c r="M568" s="102"/>
      <c r="N568" s="102"/>
      <c r="O568" s="102"/>
      <c r="P568" s="102"/>
      <c r="Q568" s="102"/>
      <c r="R568" s="102"/>
      <c r="S568" s="102"/>
      <c r="T568" s="102"/>
      <c r="U568" s="102"/>
      <c r="V568" s="102"/>
      <c r="W568" s="102"/>
      <c r="X568" s="102"/>
      <c r="Y568" s="102"/>
      <c r="Z568" s="102"/>
    </row>
    <row r="569" spans="1:26" x14ac:dyDescent="0.3">
      <c r="A569" s="106">
        <v>1</v>
      </c>
      <c r="B569" s="109">
        <v>36.1</v>
      </c>
      <c r="C569" s="96" t="s">
        <v>3634</v>
      </c>
      <c r="D569" s="11"/>
      <c r="E569" s="11"/>
      <c r="F569" s="11"/>
      <c r="G569" s="11"/>
      <c r="H569" s="11"/>
      <c r="I569" s="91"/>
      <c r="J569" s="102"/>
      <c r="K569" s="102"/>
      <c r="L569" s="102"/>
      <c r="M569" s="102"/>
      <c r="N569" s="102"/>
      <c r="O569" s="102"/>
      <c r="P569" s="102"/>
      <c r="Q569" s="102"/>
      <c r="R569" s="102"/>
      <c r="S569" s="102"/>
      <c r="T569" s="102"/>
      <c r="U569" s="102"/>
      <c r="V569" s="102"/>
      <c r="W569" s="102"/>
      <c r="X569" s="102"/>
      <c r="Y569" s="102"/>
      <c r="Z569" s="102"/>
    </row>
    <row r="570" spans="1:26" x14ac:dyDescent="0.3">
      <c r="A570" s="9"/>
      <c r="B570" s="9"/>
      <c r="C570" s="9" t="s">
        <v>3635</v>
      </c>
      <c r="D570" s="9"/>
      <c r="E570" s="9"/>
      <c r="F570" s="9"/>
      <c r="G570" s="9"/>
      <c r="H570" s="9"/>
      <c r="I570" s="108"/>
      <c r="J570" s="102"/>
      <c r="K570" s="102"/>
      <c r="L570" s="102"/>
      <c r="M570" s="102"/>
      <c r="N570" s="102"/>
      <c r="O570" s="102"/>
      <c r="P570" s="102"/>
      <c r="Q570" s="102"/>
      <c r="R570" s="102"/>
      <c r="S570" s="102"/>
      <c r="T570" s="102"/>
      <c r="U570" s="102"/>
      <c r="V570" s="102"/>
      <c r="W570" s="102"/>
      <c r="X570" s="102"/>
      <c r="Y570" s="102"/>
      <c r="Z570" s="102"/>
    </row>
    <row r="571" spans="1:26" x14ac:dyDescent="0.3">
      <c r="A571" s="9"/>
      <c r="B571" s="9"/>
      <c r="C571" s="9" t="s">
        <v>3636</v>
      </c>
      <c r="D571" s="9"/>
      <c r="E571" s="9"/>
      <c r="F571" s="9"/>
      <c r="G571" s="9"/>
      <c r="H571" s="9"/>
      <c r="I571" s="108"/>
      <c r="J571" s="102"/>
      <c r="K571" s="102"/>
      <c r="L571" s="102"/>
      <c r="M571" s="102"/>
      <c r="N571" s="102"/>
      <c r="O571" s="102"/>
      <c r="P571" s="102"/>
      <c r="Q571" s="102"/>
      <c r="R571" s="102"/>
      <c r="S571" s="102"/>
      <c r="T571" s="102"/>
      <c r="U571" s="102"/>
      <c r="V571" s="102"/>
      <c r="W571" s="102"/>
      <c r="X571" s="102"/>
      <c r="Y571" s="102"/>
      <c r="Z571" s="102"/>
    </row>
    <row r="572" spans="1:26" x14ac:dyDescent="0.3">
      <c r="A572" s="10"/>
      <c r="B572" s="10"/>
      <c r="C572" s="9" t="s">
        <v>3637</v>
      </c>
      <c r="D572" s="10"/>
      <c r="E572" s="10"/>
      <c r="F572" s="10"/>
      <c r="G572" s="10"/>
      <c r="H572" s="10"/>
      <c r="I572" s="117"/>
      <c r="J572" s="102"/>
      <c r="K572" s="102"/>
      <c r="L572" s="102"/>
      <c r="M572" s="102"/>
      <c r="N572" s="102"/>
      <c r="O572" s="102"/>
      <c r="P572" s="102"/>
      <c r="Q572" s="102"/>
      <c r="R572" s="102"/>
      <c r="S572" s="102"/>
      <c r="T572" s="102"/>
      <c r="U572" s="102"/>
      <c r="V572" s="102"/>
      <c r="W572" s="102"/>
      <c r="X572" s="102"/>
      <c r="Y572" s="102"/>
      <c r="Z572" s="102"/>
    </row>
    <row r="573" spans="1:26" x14ac:dyDescent="0.3">
      <c r="A573" s="9"/>
      <c r="B573" s="9"/>
      <c r="C573" s="96" t="s">
        <v>3638</v>
      </c>
      <c r="D573" s="9"/>
      <c r="E573" s="9"/>
      <c r="F573" s="9"/>
      <c r="G573" s="9"/>
      <c r="H573" s="9"/>
      <c r="I573" s="108"/>
      <c r="J573" s="102"/>
      <c r="K573" s="102"/>
      <c r="L573" s="102"/>
      <c r="M573" s="102"/>
      <c r="N573" s="102"/>
      <c r="O573" s="102"/>
      <c r="P573" s="102"/>
      <c r="Q573" s="102"/>
      <c r="R573" s="102"/>
      <c r="S573" s="102"/>
      <c r="T573" s="102"/>
      <c r="U573" s="102"/>
      <c r="V573" s="102"/>
      <c r="W573" s="102"/>
      <c r="X573" s="102"/>
      <c r="Y573" s="102"/>
      <c r="Z573" s="102"/>
    </row>
    <row r="574" spans="1:26" x14ac:dyDescent="0.3">
      <c r="A574" s="9"/>
      <c r="B574" s="9"/>
      <c r="C574" s="96" t="s">
        <v>3639</v>
      </c>
      <c r="D574" s="9"/>
      <c r="E574" s="9"/>
      <c r="F574" s="9"/>
      <c r="G574" s="9"/>
      <c r="H574" s="9"/>
      <c r="I574" s="108"/>
      <c r="J574" s="102"/>
      <c r="K574" s="102"/>
      <c r="L574" s="102"/>
      <c r="M574" s="102"/>
      <c r="N574" s="102"/>
      <c r="O574" s="102"/>
      <c r="P574" s="102"/>
      <c r="Q574" s="102"/>
      <c r="R574" s="102"/>
      <c r="S574" s="102"/>
      <c r="T574" s="102"/>
      <c r="U574" s="102"/>
      <c r="V574" s="102"/>
      <c r="W574" s="102"/>
      <c r="X574" s="102"/>
      <c r="Y574" s="102"/>
      <c r="Z574" s="102"/>
    </row>
    <row r="575" spans="1:26" x14ac:dyDescent="0.3">
      <c r="A575" s="11"/>
      <c r="B575" s="11"/>
      <c r="C575" s="96" t="s">
        <v>3640</v>
      </c>
      <c r="D575" s="11"/>
      <c r="E575" s="11"/>
      <c r="F575" s="11"/>
      <c r="G575" s="11"/>
      <c r="H575" s="11"/>
      <c r="I575" s="91"/>
      <c r="J575" s="102"/>
      <c r="K575" s="102"/>
      <c r="L575" s="102"/>
      <c r="M575" s="102"/>
      <c r="N575" s="102"/>
      <c r="O575" s="102"/>
      <c r="P575" s="102"/>
      <c r="Q575" s="102"/>
      <c r="R575" s="102"/>
      <c r="S575" s="102"/>
      <c r="T575" s="102"/>
      <c r="U575" s="102"/>
      <c r="V575" s="102"/>
      <c r="W575" s="102"/>
      <c r="X575" s="102"/>
      <c r="Y575" s="102"/>
      <c r="Z575" s="102"/>
    </row>
    <row r="576" spans="1:26" x14ac:dyDescent="0.3">
      <c r="A576" s="11"/>
      <c r="B576" s="11"/>
      <c r="C576" s="11"/>
      <c r="D576" s="11"/>
      <c r="E576" s="11"/>
      <c r="F576" s="11"/>
      <c r="G576" s="11"/>
      <c r="H576" s="11"/>
      <c r="I576" s="91"/>
      <c r="J576" s="102"/>
      <c r="K576" s="102"/>
      <c r="L576" s="102"/>
      <c r="M576" s="102"/>
      <c r="N576" s="102"/>
      <c r="O576" s="102"/>
      <c r="P576" s="102"/>
      <c r="Q576" s="102"/>
      <c r="R576" s="102"/>
      <c r="S576" s="102"/>
      <c r="T576" s="102"/>
      <c r="U576" s="102"/>
      <c r="V576" s="102"/>
      <c r="W576" s="102"/>
      <c r="X576" s="102"/>
      <c r="Y576" s="102"/>
      <c r="Z576" s="102"/>
    </row>
    <row r="577" spans="1:26" x14ac:dyDescent="0.3">
      <c r="A577" s="109">
        <v>1.1000000000000001</v>
      </c>
      <c r="B577" s="110">
        <v>49675</v>
      </c>
      <c r="C577" s="96" t="s">
        <v>3641</v>
      </c>
      <c r="D577" s="95" t="s">
        <v>3642</v>
      </c>
      <c r="E577" s="111">
        <v>2</v>
      </c>
      <c r="F577" s="112"/>
      <c r="G577" s="112"/>
      <c r="H577" s="113">
        <f t="shared" ref="H577:H578" si="62">E577*F577</f>
        <v>0</v>
      </c>
      <c r="I577" s="113">
        <f t="shared" ref="I577:I578" si="63">E577*G577</f>
        <v>0</v>
      </c>
      <c r="J577" s="102"/>
      <c r="K577" s="102"/>
      <c r="L577" s="102"/>
      <c r="M577" s="102"/>
      <c r="N577" s="102"/>
      <c r="O577" s="102"/>
      <c r="P577" s="102"/>
      <c r="Q577" s="102"/>
      <c r="R577" s="102"/>
      <c r="S577" s="102"/>
      <c r="T577" s="102"/>
      <c r="U577" s="102"/>
      <c r="V577" s="102"/>
      <c r="W577" s="102"/>
      <c r="X577" s="102"/>
      <c r="Y577" s="102"/>
      <c r="Z577" s="102"/>
    </row>
    <row r="578" spans="1:26" x14ac:dyDescent="0.3">
      <c r="A578" s="109">
        <v>1.1000000000000001</v>
      </c>
      <c r="B578" s="110">
        <v>49678</v>
      </c>
      <c r="C578" s="96" t="s">
        <v>3643</v>
      </c>
      <c r="D578" s="95" t="s">
        <v>3644</v>
      </c>
      <c r="E578" s="111">
        <v>2</v>
      </c>
      <c r="F578" s="112"/>
      <c r="G578" s="112"/>
      <c r="H578" s="113">
        <f t="shared" si="62"/>
        <v>0</v>
      </c>
      <c r="I578" s="113">
        <f t="shared" si="63"/>
        <v>0</v>
      </c>
      <c r="J578" s="102"/>
      <c r="K578" s="102"/>
      <c r="L578" s="102"/>
      <c r="M578" s="102"/>
      <c r="N578" s="102"/>
      <c r="O578" s="102"/>
      <c r="P578" s="102"/>
      <c r="Q578" s="102"/>
      <c r="R578" s="102"/>
      <c r="S578" s="102"/>
      <c r="T578" s="102"/>
      <c r="U578" s="102"/>
      <c r="V578" s="102"/>
      <c r="W578" s="102"/>
      <c r="X578" s="102"/>
      <c r="Y578" s="102"/>
      <c r="Z578" s="102"/>
    </row>
    <row r="579" spans="1:26" x14ac:dyDescent="0.3">
      <c r="A579" s="11"/>
      <c r="B579" s="11"/>
      <c r="C579" s="11"/>
      <c r="D579" s="11"/>
      <c r="E579" s="11"/>
      <c r="F579" s="11"/>
      <c r="G579" s="11"/>
      <c r="H579" s="11"/>
      <c r="I579" s="91"/>
      <c r="J579" s="102"/>
      <c r="K579" s="102"/>
      <c r="L579" s="102"/>
      <c r="M579" s="102"/>
      <c r="N579" s="102"/>
      <c r="O579" s="102"/>
      <c r="P579" s="102"/>
      <c r="Q579" s="102"/>
      <c r="R579" s="102"/>
      <c r="S579" s="102"/>
      <c r="T579" s="102"/>
      <c r="U579" s="102"/>
      <c r="V579" s="102"/>
      <c r="W579" s="102"/>
      <c r="X579" s="102"/>
      <c r="Y579" s="102"/>
      <c r="Z579" s="102"/>
    </row>
    <row r="580" spans="1:26" x14ac:dyDescent="0.3">
      <c r="A580" s="121"/>
      <c r="B580" s="121"/>
      <c r="C580" s="122" t="s">
        <v>3645</v>
      </c>
      <c r="D580" s="121"/>
      <c r="E580" s="121"/>
      <c r="F580" s="121"/>
      <c r="G580" s="121"/>
      <c r="H580" s="123"/>
      <c r="I580" s="139"/>
      <c r="J580" s="102"/>
      <c r="K580" s="102"/>
      <c r="L580" s="102"/>
      <c r="M580" s="102"/>
      <c r="N580" s="102"/>
      <c r="O580" s="102"/>
      <c r="P580" s="102"/>
      <c r="Q580" s="102"/>
      <c r="R580" s="102"/>
      <c r="S580" s="102"/>
      <c r="T580" s="102"/>
      <c r="U580" s="102"/>
      <c r="V580" s="102"/>
      <c r="W580" s="102"/>
      <c r="X580" s="102"/>
      <c r="Y580" s="102"/>
      <c r="Z580" s="102"/>
    </row>
    <row r="581" spans="1:26" x14ac:dyDescent="0.3">
      <c r="A581" s="11"/>
      <c r="B581" s="11"/>
      <c r="C581" s="11"/>
      <c r="D581" s="11"/>
      <c r="E581" s="11"/>
      <c r="F581" s="11"/>
      <c r="G581" s="11"/>
      <c r="H581" s="11"/>
      <c r="I581" s="91"/>
      <c r="J581" s="102"/>
      <c r="K581" s="102"/>
      <c r="L581" s="102"/>
      <c r="M581" s="102"/>
      <c r="N581" s="102"/>
      <c r="O581" s="102"/>
      <c r="P581" s="102"/>
      <c r="Q581" s="102"/>
      <c r="R581" s="102"/>
      <c r="S581" s="102"/>
      <c r="T581" s="102"/>
      <c r="U581" s="102"/>
      <c r="V581" s="102"/>
      <c r="W581" s="102"/>
      <c r="X581" s="102"/>
      <c r="Y581" s="102"/>
      <c r="Z581" s="102"/>
    </row>
    <row r="582" spans="1:26" x14ac:dyDescent="0.3">
      <c r="A582" s="243" t="s">
        <v>3646</v>
      </c>
      <c r="B582" s="221"/>
      <c r="C582" s="105" t="s">
        <v>3647</v>
      </c>
      <c r="D582" s="11"/>
      <c r="E582" s="11"/>
      <c r="F582" s="11"/>
      <c r="G582" s="11"/>
      <c r="H582" s="11"/>
      <c r="I582" s="91"/>
      <c r="J582" s="102"/>
      <c r="K582" s="102"/>
      <c r="L582" s="102"/>
      <c r="M582" s="102"/>
      <c r="N582" s="102"/>
      <c r="O582" s="102"/>
      <c r="P582" s="102"/>
      <c r="Q582" s="102"/>
      <c r="R582" s="102"/>
      <c r="S582" s="102"/>
      <c r="T582" s="102"/>
      <c r="U582" s="102"/>
      <c r="V582" s="102"/>
      <c r="W582" s="102"/>
      <c r="X582" s="102"/>
      <c r="Y582" s="102"/>
      <c r="Z582" s="102"/>
    </row>
    <row r="583" spans="1:26" x14ac:dyDescent="0.3">
      <c r="A583" s="11"/>
      <c r="B583" s="11"/>
      <c r="C583" s="11"/>
      <c r="D583" s="11"/>
      <c r="E583" s="11"/>
      <c r="F583" s="11"/>
      <c r="G583" s="11"/>
      <c r="H583" s="11"/>
      <c r="I583" s="91"/>
      <c r="J583" s="102"/>
      <c r="K583" s="102"/>
      <c r="L583" s="102"/>
      <c r="M583" s="102"/>
      <c r="N583" s="102"/>
      <c r="O583" s="102"/>
      <c r="P583" s="102"/>
      <c r="Q583" s="102"/>
      <c r="R583" s="102"/>
      <c r="S583" s="102"/>
      <c r="T583" s="102"/>
      <c r="U583" s="102"/>
      <c r="V583" s="102"/>
      <c r="W583" s="102"/>
      <c r="X583" s="102"/>
      <c r="Y583" s="102"/>
      <c r="Z583" s="102"/>
    </row>
    <row r="584" spans="1:26" x14ac:dyDescent="0.3">
      <c r="A584" s="106">
        <v>1</v>
      </c>
      <c r="B584" s="109">
        <v>32.200000000000003</v>
      </c>
      <c r="C584" s="96" t="s">
        <v>3648</v>
      </c>
      <c r="D584" s="11"/>
      <c r="E584" s="11"/>
      <c r="F584" s="11"/>
      <c r="G584" s="11"/>
      <c r="H584" s="11"/>
      <c r="I584" s="91"/>
      <c r="J584" s="102"/>
      <c r="K584" s="102"/>
      <c r="L584" s="102"/>
      <c r="M584" s="102"/>
      <c r="N584" s="102"/>
      <c r="O584" s="102"/>
      <c r="P584" s="102"/>
      <c r="Q584" s="102"/>
      <c r="R584" s="102"/>
      <c r="S584" s="102"/>
      <c r="T584" s="102"/>
      <c r="U584" s="102"/>
      <c r="V584" s="102"/>
      <c r="W584" s="102"/>
      <c r="X584" s="102"/>
      <c r="Y584" s="102"/>
      <c r="Z584" s="102"/>
    </row>
    <row r="585" spans="1:26" x14ac:dyDescent="0.3">
      <c r="A585" s="9"/>
      <c r="B585" s="9"/>
      <c r="C585" s="96" t="s">
        <v>3649</v>
      </c>
      <c r="D585" s="9"/>
      <c r="E585" s="9"/>
      <c r="F585" s="9"/>
      <c r="G585" s="9"/>
      <c r="H585" s="9"/>
      <c r="I585" s="108"/>
      <c r="J585" s="102"/>
      <c r="K585" s="102"/>
      <c r="L585" s="102"/>
      <c r="M585" s="102"/>
      <c r="N585" s="102"/>
      <c r="O585" s="102"/>
      <c r="P585" s="102"/>
      <c r="Q585" s="102"/>
      <c r="R585" s="102"/>
      <c r="S585" s="102"/>
      <c r="T585" s="102"/>
      <c r="U585" s="102"/>
      <c r="V585" s="102"/>
      <c r="W585" s="102"/>
      <c r="X585" s="102"/>
      <c r="Y585" s="102"/>
      <c r="Z585" s="102"/>
    </row>
    <row r="586" spans="1:26" x14ac:dyDescent="0.3">
      <c r="A586" s="109">
        <v>1.1000000000000001</v>
      </c>
      <c r="B586" s="110">
        <v>48246</v>
      </c>
      <c r="C586" s="96" t="s">
        <v>3650</v>
      </c>
      <c r="D586" s="95" t="s">
        <v>3651</v>
      </c>
      <c r="E586" s="111">
        <v>2</v>
      </c>
      <c r="F586" s="112"/>
      <c r="G586" s="112"/>
      <c r="H586" s="113">
        <f>E586*F586</f>
        <v>0</v>
      </c>
      <c r="I586" s="113">
        <f>E586*G586</f>
        <v>0</v>
      </c>
      <c r="J586" s="102"/>
      <c r="K586" s="102"/>
      <c r="L586" s="102"/>
      <c r="M586" s="102"/>
      <c r="N586" s="102"/>
      <c r="O586" s="102"/>
      <c r="P586" s="102"/>
      <c r="Q586" s="102"/>
      <c r="R586" s="102"/>
      <c r="S586" s="102"/>
      <c r="T586" s="102"/>
      <c r="U586" s="102"/>
      <c r="V586" s="102"/>
      <c r="W586" s="102"/>
      <c r="X586" s="102"/>
      <c r="Y586" s="102"/>
      <c r="Z586" s="102"/>
    </row>
    <row r="587" spans="1:26" x14ac:dyDescent="0.3">
      <c r="A587" s="11"/>
      <c r="B587" s="11"/>
      <c r="C587" s="11"/>
      <c r="D587" s="11"/>
      <c r="E587" s="11"/>
      <c r="F587" s="11"/>
      <c r="G587" s="11"/>
      <c r="H587" s="11"/>
      <c r="I587" s="91"/>
      <c r="J587" s="102"/>
      <c r="K587" s="102"/>
      <c r="L587" s="102"/>
      <c r="M587" s="102"/>
      <c r="N587" s="102"/>
      <c r="O587" s="102"/>
      <c r="P587" s="102"/>
      <c r="Q587" s="102"/>
      <c r="R587" s="102"/>
      <c r="S587" s="102"/>
      <c r="T587" s="102"/>
      <c r="U587" s="102"/>
      <c r="V587" s="102"/>
      <c r="W587" s="102"/>
      <c r="X587" s="102"/>
      <c r="Y587" s="102"/>
      <c r="Z587" s="102"/>
    </row>
    <row r="588" spans="1:26" x14ac:dyDescent="0.3">
      <c r="A588" s="121"/>
      <c r="B588" s="121"/>
      <c r="C588" s="122" t="s">
        <v>3652</v>
      </c>
      <c r="D588" s="121"/>
      <c r="E588" s="121"/>
      <c r="F588" s="121"/>
      <c r="G588" s="121"/>
      <c r="H588" s="123"/>
      <c r="I588" s="139"/>
      <c r="J588" s="102"/>
      <c r="K588" s="102"/>
      <c r="L588" s="102"/>
      <c r="M588" s="102"/>
      <c r="N588" s="102"/>
      <c r="O588" s="102"/>
      <c r="P588" s="102"/>
      <c r="Q588" s="102"/>
      <c r="R588" s="102"/>
      <c r="S588" s="102"/>
      <c r="T588" s="102"/>
      <c r="U588" s="102"/>
      <c r="V588" s="102"/>
      <c r="W588" s="102"/>
      <c r="X588" s="102"/>
      <c r="Y588" s="102"/>
      <c r="Z588" s="102"/>
    </row>
    <row r="589" spans="1:26" x14ac:dyDescent="0.3">
      <c r="A589" s="11"/>
      <c r="B589" s="11"/>
      <c r="C589" s="11"/>
      <c r="D589" s="11"/>
      <c r="E589" s="11"/>
      <c r="F589" s="11"/>
      <c r="G589" s="11"/>
      <c r="H589" s="11"/>
      <c r="I589" s="91"/>
      <c r="J589" s="102"/>
      <c r="K589" s="102"/>
      <c r="L589" s="102"/>
      <c r="M589" s="102"/>
      <c r="N589" s="102"/>
      <c r="O589" s="102"/>
      <c r="P589" s="102"/>
      <c r="Q589" s="102"/>
      <c r="R589" s="102"/>
      <c r="S589" s="102"/>
      <c r="T589" s="102"/>
      <c r="U589" s="102"/>
      <c r="V589" s="102"/>
      <c r="W589" s="102"/>
      <c r="X589" s="102"/>
      <c r="Y589" s="102"/>
      <c r="Z589" s="102"/>
    </row>
    <row r="590" spans="1:26" x14ac:dyDescent="0.3">
      <c r="A590" s="243" t="s">
        <v>3653</v>
      </c>
      <c r="B590" s="221"/>
      <c r="C590" s="105" t="s">
        <v>3654</v>
      </c>
      <c r="D590" s="11"/>
      <c r="E590" s="11"/>
      <c r="F590" s="11"/>
      <c r="G590" s="11"/>
      <c r="H590" s="11"/>
      <c r="I590" s="91"/>
      <c r="J590" s="102"/>
      <c r="K590" s="102"/>
      <c r="L590" s="102"/>
      <c r="M590" s="102"/>
      <c r="N590" s="102"/>
      <c r="O590" s="102"/>
      <c r="P590" s="102"/>
      <c r="Q590" s="102"/>
      <c r="R590" s="102"/>
      <c r="S590" s="102"/>
      <c r="T590" s="102"/>
      <c r="U590" s="102"/>
      <c r="V590" s="102"/>
      <c r="W590" s="102"/>
      <c r="X590" s="102"/>
      <c r="Y590" s="102"/>
      <c r="Z590" s="102"/>
    </row>
    <row r="591" spans="1:26" x14ac:dyDescent="0.3">
      <c r="A591" s="11"/>
      <c r="B591" s="11"/>
      <c r="C591" s="11"/>
      <c r="D591" s="11"/>
      <c r="E591" s="11"/>
      <c r="F591" s="11"/>
      <c r="G591" s="11"/>
      <c r="H591" s="11"/>
      <c r="I591" s="91"/>
      <c r="J591" s="102"/>
      <c r="K591" s="102"/>
      <c r="L591" s="102"/>
      <c r="M591" s="102"/>
      <c r="N591" s="102"/>
      <c r="O591" s="102"/>
      <c r="P591" s="102"/>
      <c r="Q591" s="102"/>
      <c r="R591" s="102"/>
      <c r="S591" s="102"/>
      <c r="T591" s="102"/>
      <c r="U591" s="102"/>
      <c r="V591" s="102"/>
      <c r="W591" s="102"/>
      <c r="X591" s="102"/>
      <c r="Y591" s="102"/>
      <c r="Z591" s="102"/>
    </row>
    <row r="592" spans="1:26" x14ac:dyDescent="0.3">
      <c r="A592" s="10"/>
      <c r="B592" s="10"/>
      <c r="C592" s="9" t="s">
        <v>3655</v>
      </c>
      <c r="D592" s="10"/>
      <c r="E592" s="10"/>
      <c r="F592" s="10"/>
      <c r="G592" s="10"/>
      <c r="H592" s="10"/>
      <c r="I592" s="117"/>
      <c r="J592" s="102"/>
      <c r="K592" s="102"/>
      <c r="L592" s="102"/>
      <c r="M592" s="102"/>
      <c r="N592" s="102"/>
      <c r="O592" s="102"/>
      <c r="P592" s="102"/>
      <c r="Q592" s="102"/>
      <c r="R592" s="102"/>
      <c r="S592" s="102"/>
      <c r="T592" s="102"/>
      <c r="U592" s="102"/>
      <c r="V592" s="102"/>
      <c r="W592" s="102"/>
      <c r="X592" s="102"/>
      <c r="Y592" s="102"/>
      <c r="Z592" s="102"/>
    </row>
    <row r="593" spans="1:26" x14ac:dyDescent="0.3">
      <c r="A593" s="11"/>
      <c r="B593" s="11"/>
      <c r="C593" s="11"/>
      <c r="D593" s="11"/>
      <c r="E593" s="11"/>
      <c r="F593" s="11"/>
      <c r="G593" s="11"/>
      <c r="H593" s="11"/>
      <c r="I593" s="91"/>
      <c r="J593" s="102"/>
      <c r="K593" s="102"/>
      <c r="L593" s="102"/>
      <c r="M593" s="102"/>
      <c r="N593" s="102"/>
      <c r="O593" s="102"/>
      <c r="P593" s="102"/>
      <c r="Q593" s="102"/>
      <c r="R593" s="102"/>
      <c r="S593" s="102"/>
      <c r="T593" s="102"/>
      <c r="U593" s="102"/>
      <c r="V593" s="102"/>
      <c r="W593" s="102"/>
      <c r="X593" s="102"/>
      <c r="Y593" s="102"/>
      <c r="Z593" s="102"/>
    </row>
    <row r="594" spans="1:26" x14ac:dyDescent="0.3">
      <c r="A594" s="130">
        <v>1</v>
      </c>
      <c r="B594" s="11"/>
      <c r="C594" s="105" t="s">
        <v>3656</v>
      </c>
      <c r="D594" s="11"/>
      <c r="E594" s="11"/>
      <c r="F594" s="11"/>
      <c r="G594" s="11"/>
      <c r="H594" s="11"/>
      <c r="I594" s="91"/>
      <c r="J594" s="102"/>
      <c r="K594" s="102"/>
      <c r="L594" s="102"/>
      <c r="M594" s="102"/>
      <c r="N594" s="102"/>
      <c r="O594" s="102"/>
      <c r="P594" s="102"/>
      <c r="Q594" s="102"/>
      <c r="R594" s="102"/>
      <c r="S594" s="102"/>
      <c r="T594" s="102"/>
      <c r="U594" s="102"/>
      <c r="V594" s="102"/>
      <c r="W594" s="102"/>
      <c r="X594" s="102"/>
      <c r="Y594" s="102"/>
      <c r="Z594" s="102"/>
    </row>
    <row r="595" spans="1:26" x14ac:dyDescent="0.3">
      <c r="A595" s="129">
        <v>1.1000000000000001</v>
      </c>
      <c r="B595" s="129">
        <v>42.1</v>
      </c>
      <c r="C595" s="105" t="s">
        <v>3657</v>
      </c>
      <c r="D595" s="11"/>
      <c r="E595" s="11"/>
      <c r="F595" s="11"/>
      <c r="G595" s="11"/>
      <c r="H595" s="11"/>
      <c r="I595" s="91"/>
      <c r="J595" s="102"/>
      <c r="K595" s="102"/>
      <c r="L595" s="102"/>
      <c r="M595" s="102"/>
      <c r="N595" s="102"/>
      <c r="O595" s="102"/>
      <c r="P595" s="102"/>
      <c r="Q595" s="102"/>
      <c r="R595" s="102"/>
      <c r="S595" s="102"/>
      <c r="T595" s="102"/>
      <c r="U595" s="102"/>
      <c r="V595" s="102"/>
      <c r="W595" s="102"/>
      <c r="X595" s="102"/>
      <c r="Y595" s="102"/>
      <c r="Z595" s="102"/>
    </row>
    <row r="596" spans="1:26" x14ac:dyDescent="0.3">
      <c r="A596" s="9"/>
      <c r="B596" s="9"/>
      <c r="C596" s="96" t="s">
        <v>3658</v>
      </c>
      <c r="D596" s="115" t="s">
        <v>3659</v>
      </c>
      <c r="E596" s="111">
        <v>1</v>
      </c>
      <c r="F596" s="112"/>
      <c r="G596" s="112"/>
      <c r="H596" s="113">
        <f>E596*F596</f>
        <v>0</v>
      </c>
      <c r="I596" s="113">
        <f>E596*G596</f>
        <v>0</v>
      </c>
      <c r="J596" s="102"/>
      <c r="K596" s="102"/>
      <c r="L596" s="102"/>
      <c r="M596" s="102"/>
      <c r="N596" s="102"/>
      <c r="O596" s="102"/>
      <c r="P596" s="102"/>
      <c r="Q596" s="102"/>
      <c r="R596" s="102"/>
      <c r="S596" s="102"/>
      <c r="T596" s="102"/>
      <c r="U596" s="102"/>
      <c r="V596" s="102"/>
      <c r="W596" s="102"/>
      <c r="X596" s="102"/>
      <c r="Y596" s="102"/>
      <c r="Z596" s="102"/>
    </row>
    <row r="597" spans="1:26" x14ac:dyDescent="0.3">
      <c r="A597" s="11"/>
      <c r="B597" s="129">
        <v>42.2</v>
      </c>
      <c r="C597" s="105" t="s">
        <v>3660</v>
      </c>
      <c r="D597" s="11"/>
      <c r="E597" s="11"/>
      <c r="F597" s="11"/>
      <c r="G597" s="11"/>
      <c r="H597" s="11"/>
      <c r="I597" s="91"/>
      <c r="J597" s="102"/>
      <c r="K597" s="102"/>
      <c r="L597" s="102"/>
      <c r="M597" s="102"/>
      <c r="N597" s="102"/>
      <c r="O597" s="102"/>
      <c r="P597" s="102"/>
      <c r="Q597" s="102"/>
      <c r="R597" s="102"/>
      <c r="S597" s="102"/>
      <c r="T597" s="102"/>
      <c r="U597" s="102"/>
      <c r="V597" s="102"/>
      <c r="W597" s="102"/>
      <c r="X597" s="102"/>
      <c r="Y597" s="102"/>
      <c r="Z597" s="102"/>
    </row>
    <row r="598" spans="1:26" x14ac:dyDescent="0.3">
      <c r="A598" s="9"/>
      <c r="B598" s="9"/>
      <c r="C598" s="9" t="s">
        <v>3661</v>
      </c>
      <c r="D598" s="115" t="s">
        <v>3662</v>
      </c>
      <c r="E598" s="111">
        <v>1</v>
      </c>
      <c r="F598" s="112"/>
      <c r="G598" s="112"/>
      <c r="H598" s="113">
        <f>E598*F598</f>
        <v>0</v>
      </c>
      <c r="I598" s="113">
        <f>E598*G598</f>
        <v>0</v>
      </c>
      <c r="J598" s="102"/>
      <c r="K598" s="102"/>
      <c r="L598" s="102"/>
      <c r="M598" s="102"/>
      <c r="N598" s="102"/>
      <c r="O598" s="102"/>
      <c r="P598" s="102"/>
      <c r="Q598" s="102"/>
      <c r="R598" s="102"/>
      <c r="S598" s="102"/>
      <c r="T598" s="102"/>
      <c r="U598" s="102"/>
      <c r="V598" s="102"/>
      <c r="W598" s="102"/>
      <c r="X598" s="102"/>
      <c r="Y598" s="102"/>
      <c r="Z598" s="102"/>
    </row>
    <row r="599" spans="1:26" x14ac:dyDescent="0.3">
      <c r="A599" s="107">
        <v>1.2</v>
      </c>
      <c r="B599" s="107">
        <v>42.4</v>
      </c>
      <c r="C599" s="9" t="s">
        <v>3663</v>
      </c>
      <c r="D599" s="9"/>
      <c r="E599" s="9"/>
      <c r="F599" s="9"/>
      <c r="G599" s="9"/>
      <c r="H599" s="9"/>
      <c r="I599" s="108"/>
      <c r="J599" s="102"/>
      <c r="K599" s="102"/>
      <c r="L599" s="102"/>
      <c r="M599" s="102"/>
      <c r="N599" s="102"/>
      <c r="O599" s="102"/>
      <c r="P599" s="102"/>
      <c r="Q599" s="102"/>
      <c r="R599" s="102"/>
      <c r="S599" s="102"/>
      <c r="T599" s="102"/>
      <c r="U599" s="102"/>
      <c r="V599" s="102"/>
      <c r="W599" s="102"/>
      <c r="X599" s="102"/>
      <c r="Y599" s="102"/>
      <c r="Z599" s="102"/>
    </row>
    <row r="600" spans="1:26" x14ac:dyDescent="0.3">
      <c r="A600" s="107">
        <v>1.3</v>
      </c>
      <c r="B600" s="107">
        <v>42.6</v>
      </c>
      <c r="C600" s="96" t="s">
        <v>3664</v>
      </c>
      <c r="D600" s="9"/>
      <c r="E600" s="9"/>
      <c r="F600" s="9"/>
      <c r="G600" s="9"/>
      <c r="H600" s="9"/>
      <c r="I600" s="108"/>
      <c r="J600" s="102"/>
      <c r="K600" s="102"/>
      <c r="L600" s="102"/>
      <c r="M600" s="102"/>
      <c r="N600" s="102"/>
      <c r="O600" s="102"/>
      <c r="P600" s="102"/>
      <c r="Q600" s="102"/>
      <c r="R600" s="102"/>
      <c r="S600" s="102"/>
      <c r="T600" s="102"/>
      <c r="U600" s="102"/>
      <c r="V600" s="102"/>
      <c r="W600" s="102"/>
      <c r="X600" s="102"/>
      <c r="Y600" s="102"/>
      <c r="Z600" s="102"/>
    </row>
    <row r="601" spans="1:26" x14ac:dyDescent="0.3">
      <c r="A601" s="11"/>
      <c r="B601" s="110">
        <v>52019</v>
      </c>
      <c r="C601" s="96" t="s">
        <v>3665</v>
      </c>
      <c r="D601" s="95" t="s">
        <v>3666</v>
      </c>
      <c r="E601" s="111">
        <v>1</v>
      </c>
      <c r="F601" s="112"/>
      <c r="G601" s="112"/>
      <c r="H601" s="113">
        <f>E601*F601</f>
        <v>0</v>
      </c>
      <c r="I601" s="113">
        <f>E601*G601</f>
        <v>0</v>
      </c>
      <c r="J601" s="102"/>
      <c r="K601" s="102"/>
      <c r="L601" s="102"/>
      <c r="M601" s="102"/>
      <c r="N601" s="102"/>
      <c r="O601" s="102"/>
      <c r="P601" s="102"/>
      <c r="Q601" s="102"/>
      <c r="R601" s="102"/>
      <c r="S601" s="102"/>
      <c r="T601" s="102"/>
      <c r="U601" s="102"/>
      <c r="V601" s="102"/>
      <c r="W601" s="102"/>
      <c r="X601" s="102"/>
      <c r="Y601" s="102"/>
      <c r="Z601" s="102"/>
    </row>
    <row r="602" spans="1:26" x14ac:dyDescent="0.3">
      <c r="A602" s="107">
        <v>1.4</v>
      </c>
      <c r="B602" s="107">
        <v>26.2</v>
      </c>
      <c r="C602" s="9" t="s">
        <v>3667</v>
      </c>
      <c r="D602" s="9"/>
      <c r="E602" s="9"/>
      <c r="F602" s="9"/>
      <c r="G602" s="9"/>
      <c r="H602" s="9"/>
      <c r="I602" s="108"/>
      <c r="J602" s="102"/>
      <c r="K602" s="102"/>
      <c r="L602" s="102"/>
      <c r="M602" s="102"/>
      <c r="N602" s="102"/>
      <c r="O602" s="102"/>
      <c r="P602" s="102"/>
      <c r="Q602" s="102"/>
      <c r="R602" s="102"/>
      <c r="S602" s="102"/>
      <c r="T602" s="102"/>
      <c r="U602" s="102"/>
      <c r="V602" s="102"/>
      <c r="W602" s="102"/>
      <c r="X602" s="102"/>
      <c r="Y602" s="102"/>
      <c r="Z602" s="102"/>
    </row>
    <row r="603" spans="1:26" x14ac:dyDescent="0.3">
      <c r="A603" s="11"/>
      <c r="B603" s="110">
        <v>46025</v>
      </c>
      <c r="C603" s="96" t="s">
        <v>3668</v>
      </c>
      <c r="D603" s="95" t="s">
        <v>3669</v>
      </c>
      <c r="E603" s="111">
        <v>1</v>
      </c>
      <c r="F603" s="136"/>
      <c r="G603" s="136"/>
      <c r="H603" s="113">
        <f>E603*F603</f>
        <v>0</v>
      </c>
      <c r="I603" s="113">
        <f>E603*G603</f>
        <v>0</v>
      </c>
      <c r="J603" s="102"/>
      <c r="K603" s="102"/>
      <c r="L603" s="102"/>
      <c r="M603" s="102"/>
      <c r="N603" s="102"/>
      <c r="O603" s="102"/>
      <c r="P603" s="102"/>
      <c r="Q603" s="102"/>
      <c r="R603" s="102"/>
      <c r="S603" s="102"/>
      <c r="T603" s="102"/>
      <c r="U603" s="102"/>
      <c r="V603" s="102"/>
      <c r="W603" s="102"/>
      <c r="X603" s="102"/>
      <c r="Y603" s="102"/>
      <c r="Z603" s="102"/>
    </row>
    <row r="604" spans="1:26" x14ac:dyDescent="0.3">
      <c r="A604" s="107">
        <v>1.5</v>
      </c>
      <c r="B604" s="107">
        <v>39.299999999999997</v>
      </c>
      <c r="C604" s="9" t="s">
        <v>3670</v>
      </c>
      <c r="D604" s="9"/>
      <c r="E604" s="9"/>
      <c r="F604" s="9"/>
      <c r="G604" s="9"/>
      <c r="H604" s="9"/>
      <c r="I604" s="108"/>
      <c r="J604" s="102"/>
      <c r="K604" s="102"/>
      <c r="L604" s="102"/>
      <c r="M604" s="102"/>
      <c r="N604" s="102"/>
      <c r="O604" s="102"/>
      <c r="P604" s="102"/>
      <c r="Q604" s="102"/>
      <c r="R604" s="102"/>
      <c r="S604" s="102"/>
      <c r="T604" s="102"/>
      <c r="U604" s="102"/>
      <c r="V604" s="102"/>
      <c r="W604" s="102"/>
      <c r="X604" s="102"/>
      <c r="Y604" s="102"/>
      <c r="Z604" s="102"/>
    </row>
    <row r="605" spans="1:26" x14ac:dyDescent="0.3">
      <c r="A605" s="11"/>
      <c r="B605" s="11"/>
      <c r="C605" s="11"/>
      <c r="D605" s="11"/>
      <c r="E605" s="11"/>
      <c r="F605" s="11"/>
      <c r="G605" s="11"/>
      <c r="H605" s="11"/>
      <c r="I605" s="91"/>
      <c r="J605" s="102"/>
      <c r="K605" s="102"/>
      <c r="L605" s="102"/>
      <c r="M605" s="102"/>
      <c r="N605" s="102"/>
      <c r="O605" s="102"/>
      <c r="P605" s="102"/>
      <c r="Q605" s="102"/>
      <c r="R605" s="102"/>
      <c r="S605" s="102"/>
      <c r="T605" s="102"/>
      <c r="U605" s="102"/>
      <c r="V605" s="102"/>
      <c r="W605" s="102"/>
      <c r="X605" s="102"/>
      <c r="Y605" s="102"/>
      <c r="Z605" s="102"/>
    </row>
    <row r="606" spans="1:26" x14ac:dyDescent="0.3">
      <c r="A606" s="11"/>
      <c r="B606" s="110">
        <v>50830</v>
      </c>
      <c r="C606" s="96" t="s">
        <v>3671</v>
      </c>
      <c r="D606" s="95" t="s">
        <v>3672</v>
      </c>
      <c r="E606" s="111">
        <v>1</v>
      </c>
      <c r="F606" s="136"/>
      <c r="G606" s="136"/>
      <c r="H606" s="113">
        <f t="shared" ref="H606:H607" si="64">E606*F606</f>
        <v>0</v>
      </c>
      <c r="I606" s="113">
        <f t="shared" ref="I606:I607" si="65">E606*G606</f>
        <v>0</v>
      </c>
      <c r="J606" s="102"/>
      <c r="K606" s="102"/>
      <c r="L606" s="102"/>
      <c r="M606" s="102"/>
      <c r="N606" s="102"/>
      <c r="O606" s="102"/>
      <c r="P606" s="102"/>
      <c r="Q606" s="102"/>
      <c r="R606" s="102"/>
      <c r="S606" s="102"/>
      <c r="T606" s="102"/>
      <c r="U606" s="102"/>
      <c r="V606" s="102"/>
      <c r="W606" s="102"/>
      <c r="X606" s="102"/>
      <c r="Y606" s="102"/>
      <c r="Z606" s="102"/>
    </row>
    <row r="607" spans="1:26" x14ac:dyDescent="0.3">
      <c r="A607" s="107">
        <v>1.6</v>
      </c>
      <c r="B607" s="115" t="s">
        <v>3673</v>
      </c>
      <c r="C607" s="96" t="s">
        <v>3674</v>
      </c>
      <c r="D607" s="115" t="s">
        <v>3675</v>
      </c>
      <c r="E607" s="111">
        <v>1</v>
      </c>
      <c r="F607" s="136"/>
      <c r="G607" s="136"/>
      <c r="H607" s="113">
        <f t="shared" si="64"/>
        <v>0</v>
      </c>
      <c r="I607" s="113">
        <f t="shared" si="65"/>
        <v>0</v>
      </c>
      <c r="J607" s="102"/>
      <c r="K607" s="102"/>
      <c r="L607" s="102"/>
      <c r="M607" s="102"/>
      <c r="N607" s="102"/>
      <c r="O607" s="102"/>
      <c r="P607" s="102"/>
      <c r="Q607" s="102"/>
      <c r="R607" s="102"/>
      <c r="S607" s="102"/>
      <c r="T607" s="102"/>
      <c r="U607" s="102"/>
      <c r="V607" s="102"/>
      <c r="W607" s="102"/>
      <c r="X607" s="102"/>
      <c r="Y607" s="102"/>
      <c r="Z607" s="102"/>
    </row>
    <row r="608" spans="1:26" x14ac:dyDescent="0.3">
      <c r="A608" s="11"/>
      <c r="B608" s="11"/>
      <c r="C608" s="11"/>
      <c r="D608" s="11"/>
      <c r="E608" s="11"/>
      <c r="F608" s="11"/>
      <c r="G608" s="11"/>
      <c r="H608" s="11"/>
      <c r="I608" s="91"/>
      <c r="J608" s="102"/>
      <c r="K608" s="102"/>
      <c r="L608" s="102"/>
      <c r="M608" s="102"/>
      <c r="N608" s="102"/>
      <c r="O608" s="102"/>
      <c r="P608" s="102"/>
      <c r="Q608" s="102"/>
      <c r="R608" s="102"/>
      <c r="S608" s="102"/>
      <c r="T608" s="102"/>
      <c r="U608" s="102"/>
      <c r="V608" s="102"/>
      <c r="W608" s="102"/>
      <c r="X608" s="102"/>
      <c r="Y608" s="102"/>
      <c r="Z608" s="102"/>
    </row>
    <row r="609" spans="1:26" x14ac:dyDescent="0.3">
      <c r="A609" s="130">
        <v>2</v>
      </c>
      <c r="B609" s="129">
        <v>42.5</v>
      </c>
      <c r="C609" s="105" t="s">
        <v>3676</v>
      </c>
      <c r="D609" s="11"/>
      <c r="E609" s="11"/>
      <c r="F609" s="11"/>
      <c r="G609" s="11"/>
      <c r="H609" s="11"/>
      <c r="I609" s="91"/>
      <c r="J609" s="102"/>
      <c r="K609" s="102"/>
      <c r="L609" s="102"/>
      <c r="M609" s="102"/>
      <c r="N609" s="102"/>
      <c r="O609" s="102"/>
      <c r="P609" s="102"/>
      <c r="Q609" s="102"/>
      <c r="R609" s="102"/>
      <c r="S609" s="102"/>
      <c r="T609" s="102"/>
      <c r="U609" s="102"/>
      <c r="V609" s="102"/>
      <c r="W609" s="102"/>
      <c r="X609" s="102"/>
      <c r="Y609" s="102"/>
      <c r="Z609" s="102"/>
    </row>
    <row r="610" spans="1:26" x14ac:dyDescent="0.3">
      <c r="A610" s="107">
        <v>2.1</v>
      </c>
      <c r="B610" s="9"/>
      <c r="C610" s="9" t="s">
        <v>3677</v>
      </c>
      <c r="D610" s="9"/>
      <c r="E610" s="9"/>
      <c r="F610" s="9"/>
      <c r="G610" s="9"/>
      <c r="H610" s="9"/>
      <c r="I610" s="108"/>
      <c r="J610" s="102"/>
      <c r="K610" s="102"/>
      <c r="L610" s="102"/>
      <c r="M610" s="102"/>
      <c r="N610" s="102"/>
      <c r="O610" s="102"/>
      <c r="P610" s="102"/>
      <c r="Q610" s="102"/>
      <c r="R610" s="102"/>
      <c r="S610" s="102"/>
      <c r="T610" s="102"/>
      <c r="U610" s="102"/>
      <c r="V610" s="102"/>
      <c r="W610" s="102"/>
      <c r="X610" s="102"/>
      <c r="Y610" s="102"/>
      <c r="Z610" s="102"/>
    </row>
    <row r="611" spans="1:26" x14ac:dyDescent="0.3">
      <c r="A611" s="11"/>
      <c r="B611" s="110">
        <v>51989</v>
      </c>
      <c r="C611" s="96" t="s">
        <v>3678</v>
      </c>
      <c r="D611" s="95" t="s">
        <v>3679</v>
      </c>
      <c r="E611" s="111">
        <v>1</v>
      </c>
      <c r="F611" s="112"/>
      <c r="G611" s="112"/>
      <c r="H611" s="113">
        <f>E611*F611</f>
        <v>0</v>
      </c>
      <c r="I611" s="113">
        <f>E611*G611</f>
        <v>0</v>
      </c>
      <c r="J611" s="102"/>
      <c r="K611" s="102"/>
      <c r="L611" s="102"/>
      <c r="M611" s="102"/>
      <c r="N611" s="102"/>
      <c r="O611" s="102"/>
      <c r="P611" s="102"/>
      <c r="Q611" s="102"/>
      <c r="R611" s="102"/>
      <c r="S611" s="102"/>
      <c r="T611" s="102"/>
      <c r="U611" s="102"/>
      <c r="V611" s="102"/>
      <c r="W611" s="102"/>
      <c r="X611" s="102"/>
      <c r="Y611" s="102"/>
      <c r="Z611" s="102"/>
    </row>
    <row r="612" spans="1:26" x14ac:dyDescent="0.3">
      <c r="A612" s="11"/>
      <c r="B612" s="11"/>
      <c r="C612" s="11"/>
      <c r="D612" s="11"/>
      <c r="E612" s="11"/>
      <c r="F612" s="11"/>
      <c r="G612" s="11"/>
      <c r="H612" s="11"/>
      <c r="I612" s="91"/>
      <c r="J612" s="102"/>
      <c r="K612" s="102"/>
      <c r="L612" s="102"/>
      <c r="M612" s="102"/>
      <c r="N612" s="102"/>
      <c r="O612" s="102"/>
      <c r="P612" s="102"/>
      <c r="Q612" s="102"/>
      <c r="R612" s="102"/>
      <c r="S612" s="102"/>
      <c r="T612" s="102"/>
      <c r="U612" s="102"/>
      <c r="V612" s="102"/>
      <c r="W612" s="102"/>
      <c r="X612" s="102"/>
      <c r="Y612" s="102"/>
      <c r="Z612" s="102"/>
    </row>
    <row r="613" spans="1:26" x14ac:dyDescent="0.3">
      <c r="A613" s="106">
        <v>3</v>
      </c>
      <c r="B613" s="11"/>
      <c r="C613" s="105" t="s">
        <v>3680</v>
      </c>
      <c r="D613" s="11"/>
      <c r="E613" s="11"/>
      <c r="F613" s="11"/>
      <c r="G613" s="11"/>
      <c r="H613" s="11"/>
      <c r="I613" s="91"/>
      <c r="J613" s="102"/>
      <c r="K613" s="102"/>
      <c r="L613" s="102"/>
      <c r="M613" s="102"/>
      <c r="N613" s="102"/>
      <c r="O613" s="102"/>
      <c r="P613" s="102"/>
      <c r="Q613" s="102"/>
      <c r="R613" s="102"/>
      <c r="S613" s="102"/>
      <c r="T613" s="102"/>
      <c r="U613" s="102"/>
      <c r="V613" s="102"/>
      <c r="W613" s="102"/>
      <c r="X613" s="102"/>
      <c r="Y613" s="102"/>
      <c r="Z613" s="102"/>
    </row>
    <row r="614" spans="1:26" x14ac:dyDescent="0.3">
      <c r="A614" s="9"/>
      <c r="B614" s="107">
        <v>42.1</v>
      </c>
      <c r="C614" s="9" t="s">
        <v>3681</v>
      </c>
      <c r="D614" s="9"/>
      <c r="E614" s="9"/>
      <c r="F614" s="9"/>
      <c r="G614" s="9"/>
      <c r="H614" s="9"/>
      <c r="I614" s="108"/>
      <c r="J614" s="102"/>
      <c r="K614" s="102"/>
      <c r="L614" s="102"/>
      <c r="M614" s="102"/>
      <c r="N614" s="102"/>
      <c r="O614" s="102"/>
      <c r="P614" s="102"/>
      <c r="Q614" s="102"/>
      <c r="R614" s="102"/>
      <c r="S614" s="102"/>
      <c r="T614" s="102"/>
      <c r="U614" s="102"/>
      <c r="V614" s="102"/>
      <c r="W614" s="102"/>
      <c r="X614" s="102"/>
      <c r="Y614" s="102"/>
      <c r="Z614" s="102"/>
    </row>
    <row r="615" spans="1:26" x14ac:dyDescent="0.3">
      <c r="A615" s="11"/>
      <c r="B615" s="140">
        <v>52142</v>
      </c>
      <c r="C615" s="96" t="s">
        <v>3682</v>
      </c>
      <c r="D615" s="95" t="s">
        <v>3683</v>
      </c>
      <c r="E615" s="111">
        <v>4</v>
      </c>
      <c r="F615" s="112"/>
      <c r="G615" s="112"/>
      <c r="H615" s="113">
        <f>E615*F615</f>
        <v>0</v>
      </c>
      <c r="I615" s="113">
        <f>E615*G615</f>
        <v>0</v>
      </c>
      <c r="J615" s="102"/>
      <c r="K615" s="102"/>
      <c r="L615" s="102"/>
      <c r="M615" s="102"/>
      <c r="N615" s="102"/>
      <c r="O615" s="102"/>
      <c r="P615" s="102"/>
      <c r="Q615" s="102"/>
      <c r="R615" s="102"/>
      <c r="S615" s="102"/>
      <c r="T615" s="102"/>
      <c r="U615" s="102"/>
      <c r="V615" s="102"/>
      <c r="W615" s="102"/>
      <c r="X615" s="102"/>
      <c r="Y615" s="102"/>
      <c r="Z615" s="102"/>
    </row>
    <row r="616" spans="1:26" x14ac:dyDescent="0.3">
      <c r="A616" s="11"/>
      <c r="B616" s="11"/>
      <c r="C616" s="11"/>
      <c r="D616" s="11"/>
      <c r="E616" s="11"/>
      <c r="F616" s="11"/>
      <c r="G616" s="11"/>
      <c r="H616" s="11"/>
      <c r="I616" s="91"/>
      <c r="J616" s="102"/>
      <c r="K616" s="102"/>
      <c r="L616" s="102"/>
      <c r="M616" s="102"/>
      <c r="N616" s="102"/>
      <c r="O616" s="102"/>
      <c r="P616" s="102"/>
      <c r="Q616" s="102"/>
      <c r="R616" s="102"/>
      <c r="S616" s="102"/>
      <c r="T616" s="102"/>
      <c r="U616" s="102"/>
      <c r="V616" s="102"/>
      <c r="W616" s="102"/>
      <c r="X616" s="102"/>
      <c r="Y616" s="102"/>
      <c r="Z616" s="102"/>
    </row>
    <row r="617" spans="1:26" x14ac:dyDescent="0.3">
      <c r="A617" s="106">
        <v>4</v>
      </c>
      <c r="B617" s="109">
        <v>42.7</v>
      </c>
      <c r="C617" s="105" t="s">
        <v>3684</v>
      </c>
      <c r="D617" s="11"/>
      <c r="E617" s="11"/>
      <c r="F617" s="11"/>
      <c r="G617" s="11"/>
      <c r="H617" s="11"/>
      <c r="I617" s="91"/>
      <c r="J617" s="102"/>
      <c r="K617" s="102"/>
      <c r="L617" s="102"/>
      <c r="M617" s="102"/>
      <c r="N617" s="102"/>
      <c r="O617" s="102"/>
      <c r="P617" s="102"/>
      <c r="Q617" s="102"/>
      <c r="R617" s="102"/>
      <c r="S617" s="102"/>
      <c r="T617" s="102"/>
      <c r="U617" s="102"/>
      <c r="V617" s="102"/>
      <c r="W617" s="102"/>
      <c r="X617" s="102"/>
      <c r="Y617" s="102"/>
      <c r="Z617" s="102"/>
    </row>
    <row r="618" spans="1:26" x14ac:dyDescent="0.3">
      <c r="A618" s="9"/>
      <c r="B618" s="9"/>
      <c r="C618" s="9" t="s">
        <v>3685</v>
      </c>
      <c r="D618" s="9"/>
      <c r="E618" s="9"/>
      <c r="F618" s="9"/>
      <c r="G618" s="9"/>
      <c r="H618" s="9"/>
      <c r="I618" s="108"/>
      <c r="J618" s="102"/>
      <c r="K618" s="102"/>
      <c r="L618" s="102"/>
      <c r="M618" s="102"/>
      <c r="N618" s="102"/>
      <c r="O618" s="102"/>
      <c r="P618" s="102"/>
      <c r="Q618" s="102"/>
      <c r="R618" s="102"/>
      <c r="S618" s="102"/>
      <c r="T618" s="102"/>
      <c r="U618" s="102"/>
      <c r="V618" s="102"/>
      <c r="W618" s="102"/>
      <c r="X618" s="102"/>
      <c r="Y618" s="102"/>
      <c r="Z618" s="102"/>
    </row>
    <row r="619" spans="1:26" x14ac:dyDescent="0.3">
      <c r="A619" s="109">
        <v>4.0999999999999996</v>
      </c>
      <c r="B619" s="110">
        <v>52048</v>
      </c>
      <c r="C619" s="96" t="s">
        <v>3686</v>
      </c>
      <c r="D619" s="95" t="s">
        <v>3687</v>
      </c>
      <c r="E619" s="111">
        <v>34</v>
      </c>
      <c r="F619" s="112"/>
      <c r="G619" s="112"/>
      <c r="H619" s="113">
        <f t="shared" ref="H619:H624" si="66">E619*F619</f>
        <v>0</v>
      </c>
      <c r="I619" s="113">
        <f t="shared" ref="I619:I624" si="67">E619*G619</f>
        <v>0</v>
      </c>
      <c r="J619" s="102"/>
      <c r="K619" s="102"/>
      <c r="L619" s="102"/>
      <c r="M619" s="102"/>
      <c r="N619" s="102"/>
      <c r="O619" s="102"/>
      <c r="P619" s="102"/>
      <c r="Q619" s="102"/>
      <c r="R619" s="102"/>
      <c r="S619" s="102"/>
      <c r="T619" s="102"/>
      <c r="U619" s="102"/>
      <c r="V619" s="102"/>
      <c r="W619" s="102"/>
      <c r="X619" s="102"/>
      <c r="Y619" s="102"/>
      <c r="Z619" s="102"/>
    </row>
    <row r="620" spans="1:26" x14ac:dyDescent="0.3">
      <c r="A620" s="109">
        <v>4.2</v>
      </c>
      <c r="B620" s="110">
        <v>52049</v>
      </c>
      <c r="C620" s="96" t="s">
        <v>3688</v>
      </c>
      <c r="D620" s="95" t="s">
        <v>3689</v>
      </c>
      <c r="E620" s="111">
        <v>11</v>
      </c>
      <c r="F620" s="112"/>
      <c r="G620" s="112"/>
      <c r="H620" s="113">
        <f t="shared" si="66"/>
        <v>0</v>
      </c>
      <c r="I620" s="113">
        <f t="shared" si="67"/>
        <v>0</v>
      </c>
      <c r="J620" s="102"/>
      <c r="K620" s="102"/>
      <c r="L620" s="102"/>
      <c r="M620" s="102"/>
      <c r="N620" s="102"/>
      <c r="O620" s="102"/>
      <c r="P620" s="102"/>
      <c r="Q620" s="102"/>
      <c r="R620" s="102"/>
      <c r="S620" s="102"/>
      <c r="T620" s="102"/>
      <c r="U620" s="102"/>
      <c r="V620" s="102"/>
      <c r="W620" s="102"/>
      <c r="X620" s="102"/>
      <c r="Y620" s="102"/>
      <c r="Z620" s="102"/>
    </row>
    <row r="621" spans="1:26" x14ac:dyDescent="0.3">
      <c r="A621" s="109">
        <v>4.3</v>
      </c>
      <c r="B621" s="110">
        <v>52050</v>
      </c>
      <c r="C621" s="96" t="s">
        <v>3690</v>
      </c>
      <c r="D621" s="95" t="s">
        <v>3691</v>
      </c>
      <c r="E621" s="111">
        <v>1</v>
      </c>
      <c r="F621" s="112"/>
      <c r="G621" s="112"/>
      <c r="H621" s="113">
        <f t="shared" si="66"/>
        <v>0</v>
      </c>
      <c r="I621" s="113">
        <f t="shared" si="67"/>
        <v>0</v>
      </c>
      <c r="J621" s="102"/>
      <c r="K621" s="102"/>
      <c r="L621" s="102"/>
      <c r="M621" s="102"/>
      <c r="N621" s="102"/>
      <c r="O621" s="102"/>
      <c r="P621" s="102"/>
      <c r="Q621" s="102"/>
      <c r="R621" s="102"/>
      <c r="S621" s="102"/>
      <c r="T621" s="102"/>
      <c r="U621" s="102"/>
      <c r="V621" s="102"/>
      <c r="W621" s="102"/>
      <c r="X621" s="102"/>
      <c r="Y621" s="102"/>
      <c r="Z621" s="102"/>
    </row>
    <row r="622" spans="1:26" x14ac:dyDescent="0.3">
      <c r="A622" s="109">
        <v>4.4000000000000004</v>
      </c>
      <c r="B622" s="110">
        <v>52051</v>
      </c>
      <c r="C622" s="96" t="s">
        <v>3692</v>
      </c>
      <c r="D622" s="95" t="s">
        <v>3693</v>
      </c>
      <c r="E622" s="111">
        <v>1</v>
      </c>
      <c r="F622" s="112"/>
      <c r="G622" s="112"/>
      <c r="H622" s="113">
        <f t="shared" si="66"/>
        <v>0</v>
      </c>
      <c r="I622" s="113">
        <f t="shared" si="67"/>
        <v>0</v>
      </c>
      <c r="J622" s="102"/>
      <c r="K622" s="102"/>
      <c r="L622" s="102"/>
      <c r="M622" s="102"/>
      <c r="N622" s="102"/>
      <c r="O622" s="102"/>
      <c r="P622" s="102"/>
      <c r="Q622" s="102"/>
      <c r="R622" s="102"/>
      <c r="S622" s="102"/>
      <c r="T622" s="102"/>
      <c r="U622" s="102"/>
      <c r="V622" s="102"/>
      <c r="W622" s="102"/>
      <c r="X622" s="102"/>
      <c r="Y622" s="102"/>
      <c r="Z622" s="102"/>
    </row>
    <row r="623" spans="1:26" x14ac:dyDescent="0.3">
      <c r="A623" s="109">
        <v>4.5</v>
      </c>
      <c r="B623" s="110">
        <v>52052</v>
      </c>
      <c r="C623" s="96" t="s">
        <v>3694</v>
      </c>
      <c r="D623" s="95" t="s">
        <v>3695</v>
      </c>
      <c r="E623" s="111">
        <v>1</v>
      </c>
      <c r="F623" s="112"/>
      <c r="G623" s="112"/>
      <c r="H623" s="113">
        <f t="shared" si="66"/>
        <v>0</v>
      </c>
      <c r="I623" s="113">
        <f t="shared" si="67"/>
        <v>0</v>
      </c>
      <c r="J623" s="102"/>
      <c r="K623" s="102"/>
      <c r="L623" s="102"/>
      <c r="M623" s="102"/>
      <c r="N623" s="102"/>
      <c r="O623" s="102"/>
      <c r="P623" s="102"/>
      <c r="Q623" s="102"/>
      <c r="R623" s="102"/>
      <c r="S623" s="102"/>
      <c r="T623" s="102"/>
      <c r="U623" s="102"/>
      <c r="V623" s="102"/>
      <c r="W623" s="102"/>
      <c r="X623" s="102"/>
      <c r="Y623" s="102"/>
      <c r="Z623" s="102"/>
    </row>
    <row r="624" spans="1:26" x14ac:dyDescent="0.3">
      <c r="A624" s="11"/>
      <c r="B624" s="11"/>
      <c r="C624" s="11"/>
      <c r="D624" s="11"/>
      <c r="E624" s="111">
        <v>1</v>
      </c>
      <c r="F624" s="112"/>
      <c r="G624" s="112"/>
      <c r="H624" s="113">
        <f t="shared" si="66"/>
        <v>0</v>
      </c>
      <c r="I624" s="113">
        <f t="shared" si="67"/>
        <v>0</v>
      </c>
      <c r="J624" s="102"/>
      <c r="K624" s="102"/>
      <c r="L624" s="102"/>
      <c r="M624" s="102"/>
      <c r="N624" s="102"/>
      <c r="O624" s="102"/>
      <c r="P624" s="102"/>
      <c r="Q624" s="102"/>
      <c r="R624" s="102"/>
      <c r="S624" s="102"/>
      <c r="T624" s="102"/>
      <c r="U624" s="102"/>
      <c r="V624" s="102"/>
      <c r="W624" s="102"/>
      <c r="X624" s="102"/>
      <c r="Y624" s="102"/>
      <c r="Z624" s="102"/>
    </row>
    <row r="625" spans="1:26" x14ac:dyDescent="0.3">
      <c r="A625" s="107">
        <v>4.5999999999999996</v>
      </c>
      <c r="B625" s="107">
        <v>42.8</v>
      </c>
      <c r="C625" s="9" t="s">
        <v>3696</v>
      </c>
      <c r="D625" s="9"/>
      <c r="E625" s="9"/>
      <c r="F625" s="9"/>
      <c r="G625" s="9"/>
      <c r="H625" s="9"/>
      <c r="I625" s="108"/>
      <c r="J625" s="102"/>
      <c r="K625" s="102"/>
      <c r="L625" s="102"/>
      <c r="M625" s="102"/>
      <c r="N625" s="102"/>
      <c r="O625" s="102"/>
      <c r="P625" s="102"/>
      <c r="Q625" s="102"/>
      <c r="R625" s="102"/>
      <c r="S625" s="102"/>
      <c r="T625" s="102"/>
      <c r="U625" s="102"/>
      <c r="V625" s="102"/>
      <c r="W625" s="102"/>
      <c r="X625" s="102"/>
      <c r="Y625" s="102"/>
      <c r="Z625" s="102"/>
    </row>
    <row r="626" spans="1:26" x14ac:dyDescent="0.3">
      <c r="A626" s="95" t="s">
        <v>3697</v>
      </c>
      <c r="B626" s="110">
        <v>52079</v>
      </c>
      <c r="C626" s="96" t="s">
        <v>3698</v>
      </c>
      <c r="D626" s="95" t="s">
        <v>3699</v>
      </c>
      <c r="E626" s="111">
        <v>1</v>
      </c>
      <c r="F626" s="112"/>
      <c r="G626" s="112"/>
      <c r="H626" s="113">
        <f t="shared" ref="H626:H632" si="68">E626*F626</f>
        <v>0</v>
      </c>
      <c r="I626" s="113">
        <f t="shared" ref="I626:I632" si="69">E626*G626</f>
        <v>0</v>
      </c>
      <c r="J626" s="102"/>
      <c r="K626" s="102"/>
      <c r="L626" s="102"/>
      <c r="M626" s="102"/>
      <c r="N626" s="102"/>
      <c r="O626" s="102"/>
      <c r="P626" s="102"/>
      <c r="Q626" s="102"/>
      <c r="R626" s="102"/>
      <c r="S626" s="102"/>
      <c r="T626" s="102"/>
      <c r="U626" s="102"/>
      <c r="V626" s="102"/>
      <c r="W626" s="102"/>
      <c r="X626" s="102"/>
      <c r="Y626" s="102"/>
      <c r="Z626" s="102"/>
    </row>
    <row r="627" spans="1:26" x14ac:dyDescent="0.3">
      <c r="A627" s="95" t="s">
        <v>3700</v>
      </c>
      <c r="B627" s="110">
        <v>52080</v>
      </c>
      <c r="C627" s="96" t="s">
        <v>3701</v>
      </c>
      <c r="D627" s="95" t="s">
        <v>3702</v>
      </c>
      <c r="E627" s="111">
        <v>36</v>
      </c>
      <c r="F627" s="112"/>
      <c r="G627" s="112"/>
      <c r="H627" s="113">
        <f t="shared" si="68"/>
        <v>0</v>
      </c>
      <c r="I627" s="113">
        <f t="shared" si="69"/>
        <v>0</v>
      </c>
      <c r="J627" s="102"/>
      <c r="K627" s="102"/>
      <c r="L627" s="102"/>
      <c r="M627" s="102"/>
      <c r="N627" s="102"/>
      <c r="O627" s="102"/>
      <c r="P627" s="102"/>
      <c r="Q627" s="102"/>
      <c r="R627" s="102"/>
      <c r="S627" s="102"/>
      <c r="T627" s="102"/>
      <c r="U627" s="102"/>
      <c r="V627" s="102"/>
      <c r="W627" s="102"/>
      <c r="X627" s="102"/>
      <c r="Y627" s="102"/>
      <c r="Z627" s="102"/>
    </row>
    <row r="628" spans="1:26" x14ac:dyDescent="0.3">
      <c r="A628" s="95" t="s">
        <v>3703</v>
      </c>
      <c r="B628" s="110">
        <v>52081</v>
      </c>
      <c r="C628" s="96" t="s">
        <v>3704</v>
      </c>
      <c r="D628" s="95" t="s">
        <v>3705</v>
      </c>
      <c r="E628" s="111">
        <v>154</v>
      </c>
      <c r="F628" s="112"/>
      <c r="G628" s="112"/>
      <c r="H628" s="113">
        <f t="shared" si="68"/>
        <v>0</v>
      </c>
      <c r="I628" s="113">
        <f t="shared" si="69"/>
        <v>0</v>
      </c>
      <c r="J628" s="102"/>
      <c r="K628" s="102"/>
      <c r="L628" s="102"/>
      <c r="M628" s="102"/>
      <c r="N628" s="102"/>
      <c r="O628" s="102"/>
      <c r="P628" s="102"/>
      <c r="Q628" s="102"/>
      <c r="R628" s="102"/>
      <c r="S628" s="102"/>
      <c r="T628" s="102"/>
      <c r="U628" s="102"/>
      <c r="V628" s="102"/>
      <c r="W628" s="102"/>
      <c r="X628" s="102"/>
      <c r="Y628" s="102"/>
      <c r="Z628" s="102"/>
    </row>
    <row r="629" spans="1:26" x14ac:dyDescent="0.3">
      <c r="A629" s="95" t="s">
        <v>3706</v>
      </c>
      <c r="B629" s="110">
        <v>52082</v>
      </c>
      <c r="C629" s="96" t="s">
        <v>3707</v>
      </c>
      <c r="D629" s="95" t="s">
        <v>3708</v>
      </c>
      <c r="E629" s="111">
        <v>1</v>
      </c>
      <c r="F629" s="112"/>
      <c r="G629" s="112"/>
      <c r="H629" s="113">
        <f t="shared" si="68"/>
        <v>0</v>
      </c>
      <c r="I629" s="113">
        <f t="shared" si="69"/>
        <v>0</v>
      </c>
      <c r="J629" s="102"/>
      <c r="K629" s="102"/>
      <c r="L629" s="102"/>
      <c r="M629" s="102"/>
      <c r="N629" s="102"/>
      <c r="O629" s="102"/>
      <c r="P629" s="102"/>
      <c r="Q629" s="102"/>
      <c r="R629" s="102"/>
      <c r="S629" s="102"/>
      <c r="T629" s="102"/>
      <c r="U629" s="102"/>
      <c r="V629" s="102"/>
      <c r="W629" s="102"/>
      <c r="X629" s="102"/>
      <c r="Y629" s="102"/>
      <c r="Z629" s="102"/>
    </row>
    <row r="630" spans="1:26" x14ac:dyDescent="0.3">
      <c r="A630" s="95" t="s">
        <v>3709</v>
      </c>
      <c r="B630" s="110">
        <v>52083</v>
      </c>
      <c r="C630" s="96" t="s">
        <v>3710</v>
      </c>
      <c r="D630" s="95" t="s">
        <v>3711</v>
      </c>
      <c r="E630" s="111">
        <v>20</v>
      </c>
      <c r="F630" s="112"/>
      <c r="G630" s="112"/>
      <c r="H630" s="113">
        <f t="shared" si="68"/>
        <v>0</v>
      </c>
      <c r="I630" s="113">
        <f t="shared" si="69"/>
        <v>0</v>
      </c>
      <c r="J630" s="102"/>
      <c r="K630" s="102"/>
      <c r="L630" s="102"/>
      <c r="M630" s="102"/>
      <c r="N630" s="102"/>
      <c r="O630" s="102"/>
      <c r="P630" s="102"/>
      <c r="Q630" s="102"/>
      <c r="R630" s="102"/>
      <c r="S630" s="102"/>
      <c r="T630" s="102"/>
      <c r="U630" s="102"/>
      <c r="V630" s="102"/>
      <c r="W630" s="102"/>
      <c r="X630" s="102"/>
      <c r="Y630" s="102"/>
      <c r="Z630" s="102"/>
    </row>
    <row r="631" spans="1:26" x14ac:dyDescent="0.3">
      <c r="A631" s="95" t="s">
        <v>3712</v>
      </c>
      <c r="B631" s="110">
        <v>52084</v>
      </c>
      <c r="C631" s="96" t="s">
        <v>3713</v>
      </c>
      <c r="D631" s="95" t="s">
        <v>3714</v>
      </c>
      <c r="E631" s="111">
        <v>1</v>
      </c>
      <c r="F631" s="112"/>
      <c r="G631" s="112"/>
      <c r="H631" s="113">
        <f t="shared" si="68"/>
        <v>0</v>
      </c>
      <c r="I631" s="113">
        <f t="shared" si="69"/>
        <v>0</v>
      </c>
      <c r="J631" s="102"/>
      <c r="K631" s="102"/>
      <c r="L631" s="102"/>
      <c r="M631" s="102"/>
      <c r="N631" s="102"/>
      <c r="O631" s="102"/>
      <c r="P631" s="102"/>
      <c r="Q631" s="102"/>
      <c r="R631" s="102"/>
      <c r="S631" s="102"/>
      <c r="T631" s="102"/>
      <c r="U631" s="102"/>
      <c r="V631" s="102"/>
      <c r="W631" s="102"/>
      <c r="X631" s="102"/>
      <c r="Y631" s="102"/>
      <c r="Z631" s="102"/>
    </row>
    <row r="632" spans="1:26" x14ac:dyDescent="0.3">
      <c r="A632" s="95" t="s">
        <v>3715</v>
      </c>
      <c r="B632" s="110">
        <v>52085</v>
      </c>
      <c r="C632" s="96" t="s">
        <v>3716</v>
      </c>
      <c r="D632" s="95" t="s">
        <v>3717</v>
      </c>
      <c r="E632" s="111">
        <v>11</v>
      </c>
      <c r="F632" s="112"/>
      <c r="G632" s="112"/>
      <c r="H632" s="113">
        <f t="shared" si="68"/>
        <v>0</v>
      </c>
      <c r="I632" s="113">
        <f t="shared" si="69"/>
        <v>0</v>
      </c>
      <c r="J632" s="102"/>
      <c r="K632" s="102"/>
      <c r="L632" s="102"/>
      <c r="M632" s="102"/>
      <c r="N632" s="102"/>
      <c r="O632" s="102"/>
      <c r="P632" s="102"/>
      <c r="Q632" s="102"/>
      <c r="R632" s="102"/>
      <c r="S632" s="102"/>
      <c r="T632" s="102"/>
      <c r="U632" s="102"/>
      <c r="V632" s="102"/>
      <c r="W632" s="102"/>
      <c r="X632" s="102"/>
      <c r="Y632" s="102"/>
      <c r="Z632" s="102"/>
    </row>
    <row r="633" spans="1:26" x14ac:dyDescent="0.3">
      <c r="A633" s="11"/>
      <c r="B633" s="11"/>
      <c r="C633" s="11"/>
      <c r="D633" s="11"/>
      <c r="E633" s="11"/>
      <c r="F633" s="11"/>
      <c r="G633" s="11"/>
      <c r="H633" s="11"/>
      <c r="I633" s="91"/>
      <c r="J633" s="102"/>
      <c r="K633" s="102"/>
      <c r="L633" s="102"/>
      <c r="M633" s="102"/>
      <c r="N633" s="102"/>
      <c r="O633" s="102"/>
      <c r="P633" s="102"/>
      <c r="Q633" s="102"/>
      <c r="R633" s="102"/>
      <c r="S633" s="102"/>
      <c r="T633" s="102"/>
      <c r="U633" s="102"/>
      <c r="V633" s="102"/>
      <c r="W633" s="102"/>
      <c r="X633" s="102"/>
      <c r="Y633" s="102"/>
      <c r="Z633" s="102"/>
    </row>
    <row r="634" spans="1:26" x14ac:dyDescent="0.3">
      <c r="A634" s="106">
        <v>5</v>
      </c>
      <c r="B634" s="11"/>
      <c r="C634" s="105" t="s">
        <v>3718</v>
      </c>
      <c r="D634" s="11"/>
      <c r="E634" s="11"/>
      <c r="F634" s="11"/>
      <c r="G634" s="11"/>
      <c r="H634" s="11"/>
      <c r="I634" s="91"/>
      <c r="J634" s="102"/>
      <c r="K634" s="102"/>
      <c r="L634" s="102"/>
      <c r="M634" s="102"/>
      <c r="N634" s="102"/>
      <c r="O634" s="102"/>
      <c r="P634" s="102"/>
      <c r="Q634" s="102"/>
      <c r="R634" s="102"/>
      <c r="S634" s="102"/>
      <c r="T634" s="102"/>
      <c r="U634" s="102"/>
      <c r="V634" s="102"/>
      <c r="W634" s="102"/>
      <c r="X634" s="102"/>
      <c r="Y634" s="102"/>
      <c r="Z634" s="102"/>
    </row>
    <row r="635" spans="1:26" x14ac:dyDescent="0.3">
      <c r="A635" s="10"/>
      <c r="B635" s="10"/>
      <c r="C635" s="9" t="s">
        <v>3719</v>
      </c>
      <c r="D635" s="10"/>
      <c r="E635" s="10"/>
      <c r="F635" s="10"/>
      <c r="G635" s="10"/>
      <c r="H635" s="10"/>
      <c r="I635" s="117"/>
      <c r="J635" s="102"/>
      <c r="K635" s="102"/>
      <c r="L635" s="102"/>
      <c r="M635" s="102"/>
      <c r="N635" s="102"/>
      <c r="O635" s="102"/>
      <c r="P635" s="102"/>
      <c r="Q635" s="102"/>
      <c r="R635" s="102"/>
      <c r="S635" s="102"/>
      <c r="T635" s="102"/>
      <c r="U635" s="102"/>
      <c r="V635" s="102"/>
      <c r="W635" s="102"/>
      <c r="X635" s="102"/>
      <c r="Y635" s="102"/>
      <c r="Z635" s="102"/>
    </row>
    <row r="636" spans="1:26" x14ac:dyDescent="0.3">
      <c r="A636" s="109">
        <v>5.0999999999999996</v>
      </c>
      <c r="B636" s="140">
        <v>52176</v>
      </c>
      <c r="C636" s="9" t="s">
        <v>3720</v>
      </c>
      <c r="D636" s="95" t="s">
        <v>3721</v>
      </c>
      <c r="E636" s="111">
        <v>1</v>
      </c>
      <c r="F636" s="112"/>
      <c r="G636" s="112"/>
      <c r="H636" s="113">
        <f t="shared" ref="H636:H639" si="70">E636*F636</f>
        <v>0</v>
      </c>
      <c r="I636" s="113">
        <f t="shared" ref="I636:I639" si="71">E636*G636</f>
        <v>0</v>
      </c>
      <c r="J636" s="102"/>
      <c r="K636" s="102"/>
      <c r="L636" s="102"/>
      <c r="M636" s="102"/>
      <c r="N636" s="102"/>
      <c r="O636" s="102"/>
      <c r="P636" s="102"/>
      <c r="Q636" s="102"/>
      <c r="R636" s="102"/>
      <c r="S636" s="102"/>
      <c r="T636" s="102"/>
      <c r="U636" s="102"/>
      <c r="V636" s="102"/>
      <c r="W636" s="102"/>
      <c r="X636" s="102"/>
      <c r="Y636" s="102"/>
      <c r="Z636" s="102"/>
    </row>
    <row r="637" spans="1:26" x14ac:dyDescent="0.3">
      <c r="A637" s="109">
        <v>5.2</v>
      </c>
      <c r="B637" s="95" t="s">
        <v>3722</v>
      </c>
      <c r="C637" s="9" t="s">
        <v>3723</v>
      </c>
      <c r="D637" s="95" t="s">
        <v>3724</v>
      </c>
      <c r="E637" s="111">
        <v>1</v>
      </c>
      <c r="F637" s="112"/>
      <c r="G637" s="112"/>
      <c r="H637" s="113">
        <f t="shared" si="70"/>
        <v>0</v>
      </c>
      <c r="I637" s="113">
        <f t="shared" si="71"/>
        <v>0</v>
      </c>
      <c r="J637" s="102"/>
      <c r="K637" s="102"/>
      <c r="L637" s="102"/>
      <c r="M637" s="102"/>
      <c r="N637" s="102"/>
      <c r="O637" s="102"/>
      <c r="P637" s="102"/>
      <c r="Q637" s="102"/>
      <c r="R637" s="102"/>
      <c r="S637" s="102"/>
      <c r="T637" s="102"/>
      <c r="U637" s="102"/>
      <c r="V637" s="102"/>
      <c r="W637" s="102"/>
      <c r="X637" s="102"/>
      <c r="Y637" s="102"/>
      <c r="Z637" s="102"/>
    </row>
    <row r="638" spans="1:26" x14ac:dyDescent="0.3">
      <c r="A638" s="107">
        <v>5.3</v>
      </c>
      <c r="B638" s="119">
        <v>52175</v>
      </c>
      <c r="C638" s="96" t="s">
        <v>3725</v>
      </c>
      <c r="D638" s="115" t="s">
        <v>3726</v>
      </c>
      <c r="E638" s="111">
        <v>1</v>
      </c>
      <c r="F638" s="112"/>
      <c r="G638" s="112"/>
      <c r="H638" s="113">
        <f t="shared" si="70"/>
        <v>0</v>
      </c>
      <c r="I638" s="113">
        <f t="shared" si="71"/>
        <v>0</v>
      </c>
      <c r="J638" s="102"/>
      <c r="K638" s="102"/>
      <c r="L638" s="102"/>
      <c r="M638" s="102"/>
      <c r="N638" s="102"/>
      <c r="O638" s="102"/>
      <c r="P638" s="102"/>
      <c r="Q638" s="102"/>
      <c r="R638" s="102"/>
      <c r="S638" s="102"/>
      <c r="T638" s="102"/>
      <c r="U638" s="102"/>
      <c r="V638" s="102"/>
      <c r="W638" s="102"/>
      <c r="X638" s="102"/>
      <c r="Y638" s="102"/>
      <c r="Z638" s="102"/>
    </row>
    <row r="639" spans="1:26" x14ac:dyDescent="0.3">
      <c r="A639" s="109">
        <v>5.4</v>
      </c>
      <c r="B639" s="95" t="s">
        <v>3727</v>
      </c>
      <c r="C639" s="96" t="s">
        <v>3728</v>
      </c>
      <c r="D639" s="95" t="s">
        <v>3729</v>
      </c>
      <c r="E639" s="111">
        <v>1</v>
      </c>
      <c r="F639" s="112"/>
      <c r="G639" s="112"/>
      <c r="H639" s="113">
        <f t="shared" si="70"/>
        <v>0</v>
      </c>
      <c r="I639" s="113">
        <f t="shared" si="71"/>
        <v>0</v>
      </c>
      <c r="J639" s="102"/>
      <c r="K639" s="102"/>
      <c r="L639" s="102"/>
      <c r="M639" s="102"/>
      <c r="N639" s="102"/>
      <c r="O639" s="102"/>
      <c r="P639" s="102"/>
      <c r="Q639" s="102"/>
      <c r="R639" s="102"/>
      <c r="S639" s="102"/>
      <c r="T639" s="102"/>
      <c r="U639" s="102"/>
      <c r="V639" s="102"/>
      <c r="W639" s="102"/>
      <c r="X639" s="102"/>
      <c r="Y639" s="102"/>
      <c r="Z639" s="102"/>
    </row>
    <row r="640" spans="1:26" x14ac:dyDescent="0.3">
      <c r="A640" s="109">
        <v>5.5</v>
      </c>
      <c r="B640" s="140">
        <v>52171</v>
      </c>
      <c r="C640" s="96" t="s">
        <v>3730</v>
      </c>
      <c r="D640" s="95" t="s">
        <v>3731</v>
      </c>
      <c r="E640" s="106">
        <v>0</v>
      </c>
      <c r="F640" s="112"/>
      <c r="G640" s="11"/>
      <c r="H640" s="11"/>
      <c r="I640" s="91"/>
      <c r="J640" s="102"/>
      <c r="K640" s="102"/>
      <c r="L640" s="102"/>
      <c r="M640" s="102"/>
      <c r="N640" s="102"/>
      <c r="O640" s="102"/>
      <c r="P640" s="102"/>
      <c r="Q640" s="102"/>
      <c r="R640" s="102"/>
      <c r="S640" s="102"/>
      <c r="T640" s="102"/>
      <c r="U640" s="102"/>
      <c r="V640" s="102"/>
      <c r="W640" s="102"/>
      <c r="X640" s="102"/>
      <c r="Y640" s="102"/>
      <c r="Z640" s="102"/>
    </row>
    <row r="641" spans="1:26" x14ac:dyDescent="0.3">
      <c r="A641" s="109">
        <v>5.6</v>
      </c>
      <c r="B641" s="141">
        <v>52182</v>
      </c>
      <c r="C641" s="96" t="s">
        <v>3732</v>
      </c>
      <c r="D641" s="95" t="s">
        <v>3733</v>
      </c>
      <c r="E641" s="111">
        <v>219</v>
      </c>
      <c r="F641" s="112"/>
      <c r="G641" s="112"/>
      <c r="H641" s="113">
        <f t="shared" ref="H641:H649" si="72">E641*F641</f>
        <v>0</v>
      </c>
      <c r="I641" s="113">
        <f t="shared" ref="I641:I649" si="73">E641*G641</f>
        <v>0</v>
      </c>
      <c r="J641" s="102"/>
      <c r="K641" s="102"/>
      <c r="L641" s="102"/>
      <c r="M641" s="102"/>
      <c r="N641" s="102"/>
      <c r="O641" s="102"/>
      <c r="P641" s="102"/>
      <c r="Q641" s="102"/>
      <c r="R641" s="102"/>
      <c r="S641" s="102"/>
      <c r="T641" s="102"/>
      <c r="U641" s="102"/>
      <c r="V641" s="102"/>
      <c r="W641" s="102"/>
      <c r="X641" s="102"/>
      <c r="Y641" s="102"/>
      <c r="Z641" s="102"/>
    </row>
    <row r="642" spans="1:26" x14ac:dyDescent="0.3">
      <c r="A642" s="109">
        <v>5.7</v>
      </c>
      <c r="B642" s="140">
        <v>52174</v>
      </c>
      <c r="C642" s="96" t="s">
        <v>3734</v>
      </c>
      <c r="D642" s="95" t="s">
        <v>3735</v>
      </c>
      <c r="E642" s="111">
        <v>41</v>
      </c>
      <c r="F642" s="112"/>
      <c r="G642" s="112"/>
      <c r="H642" s="113">
        <f t="shared" si="72"/>
        <v>0</v>
      </c>
      <c r="I642" s="113">
        <f t="shared" si="73"/>
        <v>0</v>
      </c>
      <c r="J642" s="102"/>
      <c r="K642" s="102"/>
      <c r="L642" s="102"/>
      <c r="M642" s="102"/>
      <c r="N642" s="102"/>
      <c r="O642" s="102"/>
      <c r="P642" s="102"/>
      <c r="Q642" s="102"/>
      <c r="R642" s="102"/>
      <c r="S642" s="102"/>
      <c r="T642" s="102"/>
      <c r="U642" s="102"/>
      <c r="V642" s="102"/>
      <c r="W642" s="102"/>
      <c r="X642" s="102"/>
      <c r="Y642" s="102"/>
      <c r="Z642" s="102"/>
    </row>
    <row r="643" spans="1:26" x14ac:dyDescent="0.3">
      <c r="A643" s="107">
        <v>5.8</v>
      </c>
      <c r="B643" s="115" t="s">
        <v>3736</v>
      </c>
      <c r="C643" s="9" t="s">
        <v>3737</v>
      </c>
      <c r="D643" s="115" t="s">
        <v>3738</v>
      </c>
      <c r="E643" s="111">
        <v>21</v>
      </c>
      <c r="F643" s="112"/>
      <c r="G643" s="112"/>
      <c r="H643" s="113">
        <f t="shared" si="72"/>
        <v>0</v>
      </c>
      <c r="I643" s="113">
        <f t="shared" si="73"/>
        <v>0</v>
      </c>
      <c r="J643" s="102"/>
      <c r="K643" s="102"/>
      <c r="L643" s="102"/>
      <c r="M643" s="102"/>
      <c r="N643" s="102"/>
      <c r="O643" s="102"/>
      <c r="P643" s="102"/>
      <c r="Q643" s="102"/>
      <c r="R643" s="102"/>
      <c r="S643" s="102"/>
      <c r="T643" s="102"/>
      <c r="U643" s="102"/>
      <c r="V643" s="102"/>
      <c r="W643" s="102"/>
      <c r="X643" s="102"/>
      <c r="Y643" s="102"/>
      <c r="Z643" s="102"/>
    </row>
    <row r="644" spans="1:26" x14ac:dyDescent="0.3">
      <c r="A644" s="107">
        <v>5.9</v>
      </c>
      <c r="B644" s="115" t="s">
        <v>3739</v>
      </c>
      <c r="C644" s="9" t="s">
        <v>3740</v>
      </c>
      <c r="D644" s="115" t="s">
        <v>3741</v>
      </c>
      <c r="E644" s="111">
        <v>63</v>
      </c>
      <c r="F644" s="112"/>
      <c r="G644" s="112"/>
      <c r="H644" s="113">
        <f t="shared" si="72"/>
        <v>0</v>
      </c>
      <c r="I644" s="113">
        <f t="shared" si="73"/>
        <v>0</v>
      </c>
      <c r="J644" s="102"/>
      <c r="K644" s="102"/>
      <c r="L644" s="102"/>
      <c r="M644" s="102"/>
      <c r="N644" s="102"/>
      <c r="O644" s="102"/>
      <c r="P644" s="102"/>
      <c r="Q644" s="102"/>
      <c r="R644" s="102"/>
      <c r="S644" s="102"/>
      <c r="T644" s="102"/>
      <c r="U644" s="102"/>
      <c r="V644" s="102"/>
      <c r="W644" s="102"/>
      <c r="X644" s="102"/>
      <c r="Y644" s="102"/>
      <c r="Z644" s="102"/>
    </row>
    <row r="645" spans="1:26" x14ac:dyDescent="0.3">
      <c r="A645" s="125">
        <v>5.0999999999999996</v>
      </c>
      <c r="B645" s="95" t="s">
        <v>3742</v>
      </c>
      <c r="C645" s="9" t="s">
        <v>3743</v>
      </c>
      <c r="D645" s="95" t="s">
        <v>3744</v>
      </c>
      <c r="E645" s="111">
        <v>2</v>
      </c>
      <c r="F645" s="112"/>
      <c r="G645" s="112"/>
      <c r="H645" s="113">
        <f t="shared" si="72"/>
        <v>0</v>
      </c>
      <c r="I645" s="113">
        <f t="shared" si="73"/>
        <v>0</v>
      </c>
      <c r="J645" s="102"/>
      <c r="K645" s="102"/>
      <c r="L645" s="102"/>
      <c r="M645" s="102"/>
      <c r="N645" s="102"/>
      <c r="O645" s="102"/>
      <c r="P645" s="102"/>
      <c r="Q645" s="102"/>
      <c r="R645" s="102"/>
      <c r="S645" s="102"/>
      <c r="T645" s="102"/>
      <c r="U645" s="102"/>
      <c r="V645" s="102"/>
      <c r="W645" s="102"/>
      <c r="X645" s="102"/>
      <c r="Y645" s="102"/>
      <c r="Z645" s="102"/>
    </row>
    <row r="646" spans="1:26" x14ac:dyDescent="0.3">
      <c r="A646" s="125">
        <v>5.1100000000000003</v>
      </c>
      <c r="B646" s="140">
        <v>52177</v>
      </c>
      <c r="C646" s="96" t="s">
        <v>3745</v>
      </c>
      <c r="D646" s="95" t="s">
        <v>3746</v>
      </c>
      <c r="E646" s="111">
        <v>2</v>
      </c>
      <c r="F646" s="112"/>
      <c r="G646" s="112"/>
      <c r="H646" s="113">
        <f t="shared" si="72"/>
        <v>0</v>
      </c>
      <c r="I646" s="113">
        <f t="shared" si="73"/>
        <v>0</v>
      </c>
      <c r="J646" s="102"/>
      <c r="K646" s="102"/>
      <c r="L646" s="102"/>
      <c r="M646" s="102"/>
      <c r="N646" s="102"/>
      <c r="O646" s="102"/>
      <c r="P646" s="102"/>
      <c r="Q646" s="102"/>
      <c r="R646" s="102"/>
      <c r="S646" s="102"/>
      <c r="T646" s="102"/>
      <c r="U646" s="102"/>
      <c r="V646" s="102"/>
      <c r="W646" s="102"/>
      <c r="X646" s="102"/>
      <c r="Y646" s="102"/>
      <c r="Z646" s="102"/>
    </row>
    <row r="647" spans="1:26" x14ac:dyDescent="0.3">
      <c r="A647" s="125">
        <v>5.12</v>
      </c>
      <c r="B647" s="95" t="s">
        <v>3747</v>
      </c>
      <c r="C647" s="96" t="s">
        <v>3748</v>
      </c>
      <c r="D647" s="95" t="s">
        <v>3749</v>
      </c>
      <c r="E647" s="111">
        <v>263</v>
      </c>
      <c r="F647" s="112"/>
      <c r="G647" s="112"/>
      <c r="H647" s="113">
        <f t="shared" si="72"/>
        <v>0</v>
      </c>
      <c r="I647" s="113">
        <f t="shared" si="73"/>
        <v>0</v>
      </c>
      <c r="J647" s="102"/>
      <c r="K647" s="102"/>
      <c r="L647" s="102"/>
      <c r="M647" s="102"/>
      <c r="N647" s="102"/>
      <c r="O647" s="102"/>
      <c r="P647" s="102"/>
      <c r="Q647" s="102"/>
      <c r="R647" s="102"/>
      <c r="S647" s="102"/>
      <c r="T647" s="102"/>
      <c r="U647" s="102"/>
      <c r="V647" s="102"/>
      <c r="W647" s="102"/>
      <c r="X647" s="102"/>
      <c r="Y647" s="102"/>
      <c r="Z647" s="102"/>
    </row>
    <row r="648" spans="1:26" x14ac:dyDescent="0.3">
      <c r="A648" s="118">
        <v>5.13</v>
      </c>
      <c r="B648" s="115" t="s">
        <v>3750</v>
      </c>
      <c r="C648" s="96" t="s">
        <v>3751</v>
      </c>
      <c r="D648" s="115" t="s">
        <v>3752</v>
      </c>
      <c r="E648" s="111">
        <v>17</v>
      </c>
      <c r="F648" s="112"/>
      <c r="G648" s="112"/>
      <c r="H648" s="113">
        <f t="shared" si="72"/>
        <v>0</v>
      </c>
      <c r="I648" s="113">
        <f t="shared" si="73"/>
        <v>0</v>
      </c>
      <c r="J648" s="102"/>
      <c r="K648" s="102"/>
      <c r="L648" s="102"/>
      <c r="M648" s="102"/>
      <c r="N648" s="102"/>
      <c r="O648" s="102"/>
      <c r="P648" s="102"/>
      <c r="Q648" s="102"/>
      <c r="R648" s="102"/>
      <c r="S648" s="102"/>
      <c r="T648" s="102"/>
      <c r="U648" s="102"/>
      <c r="V648" s="102"/>
      <c r="W648" s="102"/>
      <c r="X648" s="102"/>
      <c r="Y648" s="102"/>
      <c r="Z648" s="102"/>
    </row>
    <row r="649" spans="1:26" x14ac:dyDescent="0.3">
      <c r="A649" s="125">
        <v>5.14</v>
      </c>
      <c r="B649" s="141">
        <v>52183</v>
      </c>
      <c r="C649" s="96" t="s">
        <v>3753</v>
      </c>
      <c r="D649" s="95" t="s">
        <v>3754</v>
      </c>
      <c r="E649" s="111">
        <v>2</v>
      </c>
      <c r="F649" s="112"/>
      <c r="G649" s="112"/>
      <c r="H649" s="113">
        <f t="shared" si="72"/>
        <v>0</v>
      </c>
      <c r="I649" s="113">
        <f t="shared" si="73"/>
        <v>0</v>
      </c>
      <c r="J649" s="102"/>
      <c r="K649" s="102"/>
      <c r="L649" s="102"/>
      <c r="M649" s="102"/>
      <c r="N649" s="102"/>
      <c r="O649" s="102"/>
      <c r="P649" s="102"/>
      <c r="Q649" s="102"/>
      <c r="R649" s="102"/>
      <c r="S649" s="102"/>
      <c r="T649" s="102"/>
      <c r="U649" s="102"/>
      <c r="V649" s="102"/>
      <c r="W649" s="102"/>
      <c r="X649" s="102"/>
      <c r="Y649" s="102"/>
      <c r="Z649" s="102"/>
    </row>
    <row r="650" spans="1:26" x14ac:dyDescent="0.3">
      <c r="A650" s="11"/>
      <c r="B650" s="11"/>
      <c r="C650" s="11"/>
      <c r="D650" s="11"/>
      <c r="E650" s="11"/>
      <c r="F650" s="11"/>
      <c r="G650" s="11"/>
      <c r="H650" s="11"/>
      <c r="I650" s="91"/>
      <c r="J650" s="102"/>
      <c r="K650" s="102"/>
      <c r="L650" s="102"/>
      <c r="M650" s="102"/>
      <c r="N650" s="102"/>
      <c r="O650" s="102"/>
      <c r="P650" s="102"/>
      <c r="Q650" s="102"/>
      <c r="R650" s="102"/>
      <c r="S650" s="102"/>
      <c r="T650" s="102"/>
      <c r="U650" s="102"/>
      <c r="V650" s="102"/>
      <c r="W650" s="102"/>
      <c r="X650" s="102"/>
      <c r="Y650" s="102"/>
      <c r="Z650" s="102"/>
    </row>
    <row r="651" spans="1:26" x14ac:dyDescent="0.3">
      <c r="A651" s="106">
        <v>6</v>
      </c>
      <c r="B651" s="11"/>
      <c r="C651" s="105" t="s">
        <v>3755</v>
      </c>
      <c r="D651" s="11"/>
      <c r="E651" s="11"/>
      <c r="F651" s="11"/>
      <c r="G651" s="11"/>
      <c r="H651" s="11"/>
      <c r="I651" s="91"/>
      <c r="J651" s="102"/>
      <c r="K651" s="102"/>
      <c r="L651" s="102"/>
      <c r="M651" s="102"/>
      <c r="N651" s="102"/>
      <c r="O651" s="102"/>
      <c r="P651" s="102"/>
      <c r="Q651" s="102"/>
      <c r="R651" s="102"/>
      <c r="S651" s="102"/>
      <c r="T651" s="102"/>
      <c r="U651" s="102"/>
      <c r="V651" s="102"/>
      <c r="W651" s="102"/>
      <c r="X651" s="102"/>
      <c r="Y651" s="102"/>
      <c r="Z651" s="102"/>
    </row>
    <row r="652" spans="1:26" x14ac:dyDescent="0.3">
      <c r="A652" s="9"/>
      <c r="B652" s="9"/>
      <c r="C652" s="96" t="s">
        <v>3756</v>
      </c>
      <c r="D652" s="115" t="s">
        <v>3757</v>
      </c>
      <c r="E652" s="111">
        <v>92</v>
      </c>
      <c r="F652" s="112"/>
      <c r="G652" s="112"/>
      <c r="H652" s="113">
        <f>E652*F652</f>
        <v>0</v>
      </c>
      <c r="I652" s="113">
        <f>E652*G652</f>
        <v>0</v>
      </c>
      <c r="J652" s="102"/>
      <c r="K652" s="102"/>
      <c r="L652" s="102"/>
      <c r="M652" s="102"/>
      <c r="N652" s="102"/>
      <c r="O652" s="102"/>
      <c r="P652" s="102"/>
      <c r="Q652" s="102"/>
      <c r="R652" s="102"/>
      <c r="S652" s="102"/>
      <c r="T652" s="102"/>
      <c r="U652" s="102"/>
      <c r="V652" s="102"/>
      <c r="W652" s="102"/>
      <c r="X652" s="102"/>
      <c r="Y652" s="102"/>
      <c r="Z652" s="102"/>
    </row>
    <row r="653" spans="1:26" x14ac:dyDescent="0.3">
      <c r="A653" s="11"/>
      <c r="B653" s="11"/>
      <c r="C653" s="11"/>
      <c r="D653" s="11"/>
      <c r="E653" s="11"/>
      <c r="F653" s="11"/>
      <c r="G653" s="11"/>
      <c r="H653" s="11"/>
      <c r="I653" s="91"/>
      <c r="J653" s="102"/>
      <c r="K653" s="102"/>
      <c r="L653" s="102"/>
      <c r="M653" s="102"/>
      <c r="N653" s="102"/>
      <c r="O653" s="102"/>
      <c r="P653" s="102"/>
      <c r="Q653" s="102"/>
      <c r="R653" s="102"/>
      <c r="S653" s="102"/>
      <c r="T653" s="102"/>
      <c r="U653" s="102"/>
      <c r="V653" s="102"/>
      <c r="W653" s="102"/>
      <c r="X653" s="102"/>
      <c r="Y653" s="102"/>
      <c r="Z653" s="102"/>
    </row>
    <row r="654" spans="1:26" x14ac:dyDescent="0.3">
      <c r="A654" s="106">
        <v>8</v>
      </c>
      <c r="B654" s="11"/>
      <c r="C654" s="105" t="s">
        <v>3758</v>
      </c>
      <c r="D654" s="11"/>
      <c r="E654" s="11"/>
      <c r="F654" s="11"/>
      <c r="G654" s="11"/>
      <c r="H654" s="11"/>
      <c r="I654" s="91"/>
      <c r="J654" s="102"/>
      <c r="K654" s="102"/>
      <c r="L654" s="102"/>
      <c r="M654" s="102"/>
      <c r="N654" s="102"/>
      <c r="O654" s="102"/>
      <c r="P654" s="102"/>
      <c r="Q654" s="102"/>
      <c r="R654" s="102"/>
      <c r="S654" s="102"/>
      <c r="T654" s="102"/>
      <c r="U654" s="102"/>
      <c r="V654" s="102"/>
      <c r="W654" s="102"/>
      <c r="X654" s="102"/>
      <c r="Y654" s="102"/>
      <c r="Z654" s="102"/>
    </row>
    <row r="655" spans="1:26" x14ac:dyDescent="0.3">
      <c r="A655" s="10"/>
      <c r="B655" s="10"/>
      <c r="C655" s="9" t="s">
        <v>3759</v>
      </c>
      <c r="D655" s="10"/>
      <c r="E655" s="10"/>
      <c r="F655" s="10"/>
      <c r="G655" s="10"/>
      <c r="H655" s="10"/>
      <c r="I655" s="117"/>
      <c r="J655" s="102"/>
      <c r="K655" s="102"/>
      <c r="L655" s="102"/>
      <c r="M655" s="102"/>
      <c r="N655" s="102"/>
      <c r="O655" s="102"/>
      <c r="P655" s="102"/>
      <c r="Q655" s="102"/>
      <c r="R655" s="102"/>
      <c r="S655" s="102"/>
      <c r="T655" s="102"/>
      <c r="U655" s="102"/>
      <c r="V655" s="102"/>
      <c r="W655" s="102"/>
      <c r="X655" s="102"/>
      <c r="Y655" s="102"/>
      <c r="Z655" s="102"/>
    </row>
    <row r="656" spans="1:26" x14ac:dyDescent="0.3">
      <c r="A656" s="107">
        <v>8.1</v>
      </c>
      <c r="B656" s="115" t="s">
        <v>3760</v>
      </c>
      <c r="C656" s="9" t="s">
        <v>3761</v>
      </c>
      <c r="D656" s="115" t="s">
        <v>3762</v>
      </c>
      <c r="E656" s="111">
        <v>56000</v>
      </c>
      <c r="F656" s="112"/>
      <c r="G656" s="112"/>
      <c r="H656" s="113">
        <f t="shared" ref="H656:H658" si="74">E656*F656</f>
        <v>0</v>
      </c>
      <c r="I656" s="113">
        <f t="shared" ref="I656:I658" si="75">E656*G656</f>
        <v>0</v>
      </c>
      <c r="J656" s="102"/>
      <c r="K656" s="102"/>
      <c r="L656" s="102"/>
      <c r="M656" s="102"/>
      <c r="N656" s="102"/>
      <c r="O656" s="102"/>
      <c r="P656" s="102"/>
      <c r="Q656" s="102"/>
      <c r="R656" s="102"/>
      <c r="S656" s="102"/>
      <c r="T656" s="102"/>
      <c r="U656" s="102"/>
      <c r="V656" s="102"/>
      <c r="W656" s="102"/>
      <c r="X656" s="102"/>
      <c r="Y656" s="102"/>
      <c r="Z656" s="102"/>
    </row>
    <row r="657" spans="1:26" x14ac:dyDescent="0.3">
      <c r="A657" s="107">
        <v>8.1999999999999993</v>
      </c>
      <c r="B657" s="115" t="s">
        <v>3763</v>
      </c>
      <c r="C657" s="9" t="s">
        <v>3764</v>
      </c>
      <c r="D657" s="115" t="s">
        <v>3765</v>
      </c>
      <c r="E657" s="111">
        <v>4500</v>
      </c>
      <c r="F657" s="112"/>
      <c r="G657" s="112"/>
      <c r="H657" s="113">
        <f t="shared" si="74"/>
        <v>0</v>
      </c>
      <c r="I657" s="113">
        <f t="shared" si="75"/>
        <v>0</v>
      </c>
      <c r="J657" s="102"/>
      <c r="K657" s="102"/>
      <c r="L657" s="102"/>
      <c r="M657" s="102"/>
      <c r="N657" s="102"/>
      <c r="O657" s="102"/>
      <c r="P657" s="102"/>
      <c r="Q657" s="102"/>
      <c r="R657" s="102"/>
      <c r="S657" s="102"/>
      <c r="T657" s="102"/>
      <c r="U657" s="102"/>
      <c r="V657" s="102"/>
      <c r="W657" s="102"/>
      <c r="X657" s="102"/>
      <c r="Y657" s="102"/>
      <c r="Z657" s="102"/>
    </row>
    <row r="658" spans="1:26" x14ac:dyDescent="0.3">
      <c r="A658" s="107">
        <v>8.3000000000000007</v>
      </c>
      <c r="B658" s="115" t="s">
        <v>3766</v>
      </c>
      <c r="C658" s="9" t="s">
        <v>3767</v>
      </c>
      <c r="D658" s="115" t="s">
        <v>3768</v>
      </c>
      <c r="E658" s="111">
        <v>3500</v>
      </c>
      <c r="F658" s="112"/>
      <c r="G658" s="112"/>
      <c r="H658" s="113">
        <f t="shared" si="74"/>
        <v>0</v>
      </c>
      <c r="I658" s="113">
        <f t="shared" si="75"/>
        <v>0</v>
      </c>
      <c r="J658" s="102"/>
      <c r="K658" s="102"/>
      <c r="L658" s="102"/>
      <c r="M658" s="102"/>
      <c r="N658" s="102"/>
      <c r="O658" s="102"/>
      <c r="P658" s="102"/>
      <c r="Q658" s="102"/>
      <c r="R658" s="102"/>
      <c r="S658" s="102"/>
      <c r="T658" s="102"/>
      <c r="U658" s="102"/>
      <c r="V658" s="102"/>
      <c r="W658" s="102"/>
      <c r="X658" s="102"/>
      <c r="Y658" s="102"/>
      <c r="Z658" s="102"/>
    </row>
    <row r="659" spans="1:26" x14ac:dyDescent="0.3">
      <c r="A659" s="107">
        <v>8.3000000000000007</v>
      </c>
      <c r="B659" s="118">
        <v>39.18</v>
      </c>
      <c r="C659" s="9" t="s">
        <v>3769</v>
      </c>
      <c r="D659" s="9"/>
      <c r="E659" s="9"/>
      <c r="F659" s="9"/>
      <c r="G659" s="9"/>
      <c r="H659" s="9"/>
      <c r="I659" s="108"/>
      <c r="J659" s="102"/>
      <c r="K659" s="102"/>
      <c r="L659" s="102"/>
      <c r="M659" s="102"/>
      <c r="N659" s="102"/>
      <c r="O659" s="102"/>
      <c r="P659" s="102"/>
      <c r="Q659" s="102"/>
      <c r="R659" s="102"/>
      <c r="S659" s="102"/>
      <c r="T659" s="102"/>
      <c r="U659" s="102"/>
      <c r="V659" s="102"/>
      <c r="W659" s="102"/>
      <c r="X659" s="102"/>
      <c r="Y659" s="102"/>
      <c r="Z659" s="102"/>
    </row>
    <row r="660" spans="1:26" x14ac:dyDescent="0.3">
      <c r="A660" s="11"/>
      <c r="B660" s="95" t="s">
        <v>3770</v>
      </c>
      <c r="C660" s="96" t="s">
        <v>3771</v>
      </c>
      <c r="D660" s="95" t="s">
        <v>3772</v>
      </c>
      <c r="E660" s="111">
        <v>3500</v>
      </c>
      <c r="F660" s="112"/>
      <c r="G660" s="112"/>
      <c r="H660" s="113">
        <f>E660*F660</f>
        <v>0</v>
      </c>
      <c r="I660" s="113">
        <f>E660*G660</f>
        <v>0</v>
      </c>
      <c r="J660" s="102"/>
      <c r="K660" s="102"/>
      <c r="L660" s="102"/>
      <c r="M660" s="102"/>
      <c r="N660" s="102"/>
      <c r="O660" s="102"/>
      <c r="P660" s="102"/>
      <c r="Q660" s="102"/>
      <c r="R660" s="102"/>
      <c r="S660" s="102"/>
      <c r="T660" s="102"/>
      <c r="U660" s="102"/>
      <c r="V660" s="102"/>
      <c r="W660" s="102"/>
      <c r="X660" s="102"/>
      <c r="Y660" s="102"/>
      <c r="Z660" s="102"/>
    </row>
    <row r="661" spans="1:26" x14ac:dyDescent="0.3">
      <c r="A661" s="107">
        <v>8.4</v>
      </c>
      <c r="B661" s="118">
        <v>39.19</v>
      </c>
      <c r="C661" s="96" t="s">
        <v>3773</v>
      </c>
      <c r="D661" s="9"/>
      <c r="E661" s="9"/>
      <c r="F661" s="9"/>
      <c r="G661" s="9"/>
      <c r="H661" s="9"/>
      <c r="I661" s="108"/>
      <c r="J661" s="102"/>
      <c r="K661" s="102"/>
      <c r="L661" s="102"/>
      <c r="M661" s="102"/>
      <c r="N661" s="102"/>
      <c r="O661" s="102"/>
      <c r="P661" s="102"/>
      <c r="Q661" s="102"/>
      <c r="R661" s="102"/>
      <c r="S661" s="102"/>
      <c r="T661" s="102"/>
      <c r="U661" s="102"/>
      <c r="V661" s="102"/>
      <c r="W661" s="102"/>
      <c r="X661" s="102"/>
      <c r="Y661" s="102"/>
      <c r="Z661" s="102"/>
    </row>
    <row r="662" spans="1:26" x14ac:dyDescent="0.3">
      <c r="A662" s="11"/>
      <c r="B662" s="95" t="s">
        <v>3774</v>
      </c>
      <c r="C662" s="96" t="s">
        <v>3775</v>
      </c>
      <c r="D662" s="95" t="s">
        <v>3776</v>
      </c>
      <c r="E662" s="111">
        <v>100</v>
      </c>
      <c r="F662" s="112"/>
      <c r="G662" s="112"/>
      <c r="H662" s="113">
        <f>E662*F662</f>
        <v>0</v>
      </c>
      <c r="I662" s="113">
        <f>E662*G662</f>
        <v>0</v>
      </c>
      <c r="J662" s="102"/>
      <c r="K662" s="102"/>
      <c r="L662" s="102"/>
      <c r="M662" s="102"/>
      <c r="N662" s="102"/>
      <c r="O662" s="102"/>
      <c r="P662" s="102"/>
      <c r="Q662" s="102"/>
      <c r="R662" s="102"/>
      <c r="S662" s="102"/>
      <c r="T662" s="102"/>
      <c r="U662" s="102"/>
      <c r="V662" s="102"/>
      <c r="W662" s="102"/>
      <c r="X662" s="102"/>
      <c r="Y662" s="102"/>
      <c r="Z662" s="102"/>
    </row>
    <row r="663" spans="1:26" x14ac:dyDescent="0.3">
      <c r="A663" s="109">
        <v>8.5</v>
      </c>
      <c r="B663" s="125">
        <v>1.2</v>
      </c>
      <c r="C663" s="9" t="s">
        <v>3777</v>
      </c>
      <c r="D663" s="9"/>
      <c r="E663" s="9"/>
      <c r="F663" s="9"/>
      <c r="G663" s="9"/>
      <c r="H663" s="9"/>
      <c r="I663" s="108"/>
      <c r="J663" s="102"/>
      <c r="K663" s="102"/>
      <c r="L663" s="102"/>
      <c r="M663" s="102"/>
      <c r="N663" s="102"/>
      <c r="O663" s="102"/>
      <c r="P663" s="102"/>
      <c r="Q663" s="102"/>
      <c r="R663" s="102"/>
      <c r="S663" s="102"/>
      <c r="T663" s="102"/>
      <c r="U663" s="102"/>
      <c r="V663" s="102"/>
      <c r="W663" s="102"/>
      <c r="X663" s="102"/>
      <c r="Y663" s="102"/>
      <c r="Z663" s="102"/>
    </row>
    <row r="664" spans="1:26" x14ac:dyDescent="0.3">
      <c r="A664" s="11"/>
      <c r="B664" s="95" t="s">
        <v>3778</v>
      </c>
      <c r="C664" s="96" t="s">
        <v>3779</v>
      </c>
      <c r="D664" s="95" t="s">
        <v>3780</v>
      </c>
      <c r="E664" s="111">
        <v>2500</v>
      </c>
      <c r="F664" s="112"/>
      <c r="G664" s="112"/>
      <c r="H664" s="113">
        <f>E664*F664</f>
        <v>0</v>
      </c>
      <c r="I664" s="113">
        <f>E664*G664</f>
        <v>0</v>
      </c>
      <c r="J664" s="102"/>
      <c r="K664" s="102"/>
      <c r="L664" s="102"/>
      <c r="M664" s="102"/>
      <c r="N664" s="102"/>
      <c r="O664" s="102"/>
      <c r="P664" s="102"/>
      <c r="Q664" s="102"/>
      <c r="R664" s="102"/>
      <c r="S664" s="102"/>
      <c r="T664" s="102"/>
      <c r="U664" s="102"/>
      <c r="V664" s="102"/>
      <c r="W664" s="102"/>
      <c r="X664" s="102"/>
      <c r="Y664" s="102"/>
      <c r="Z664" s="102"/>
    </row>
    <row r="665" spans="1:26" x14ac:dyDescent="0.3">
      <c r="A665" s="11"/>
      <c r="B665" s="11"/>
      <c r="C665" s="11"/>
      <c r="D665" s="11"/>
      <c r="E665" s="11"/>
      <c r="F665" s="11"/>
      <c r="G665" s="11"/>
      <c r="H665" s="11"/>
      <c r="I665" s="91"/>
      <c r="J665" s="102"/>
      <c r="K665" s="102"/>
      <c r="L665" s="102"/>
      <c r="M665" s="102"/>
      <c r="N665" s="102"/>
      <c r="O665" s="102"/>
      <c r="P665" s="102"/>
      <c r="Q665" s="102"/>
      <c r="R665" s="102"/>
      <c r="S665" s="102"/>
      <c r="T665" s="102"/>
      <c r="U665" s="102"/>
      <c r="V665" s="102"/>
      <c r="W665" s="102"/>
      <c r="X665" s="102"/>
      <c r="Y665" s="102"/>
      <c r="Z665" s="102"/>
    </row>
    <row r="666" spans="1:26" x14ac:dyDescent="0.3">
      <c r="A666" s="109">
        <v>8.6</v>
      </c>
      <c r="B666" s="95" t="s">
        <v>3781</v>
      </c>
      <c r="C666" s="9" t="s">
        <v>3782</v>
      </c>
      <c r="D666" s="95" t="s">
        <v>3783</v>
      </c>
      <c r="E666" s="111">
        <v>500</v>
      </c>
      <c r="F666" s="112"/>
      <c r="G666" s="112"/>
      <c r="H666" s="113">
        <f>E666*F666</f>
        <v>0</v>
      </c>
      <c r="I666" s="113">
        <f>E666*G666</f>
        <v>0</v>
      </c>
      <c r="J666" s="102"/>
      <c r="K666" s="102"/>
      <c r="L666" s="102"/>
      <c r="M666" s="102"/>
      <c r="N666" s="102"/>
      <c r="O666" s="102"/>
      <c r="P666" s="102"/>
      <c r="Q666" s="102"/>
      <c r="R666" s="102"/>
      <c r="S666" s="102"/>
      <c r="T666" s="102"/>
      <c r="U666" s="102"/>
      <c r="V666" s="102"/>
      <c r="W666" s="102"/>
      <c r="X666" s="102"/>
      <c r="Y666" s="102"/>
      <c r="Z666" s="102"/>
    </row>
    <row r="667" spans="1:26" x14ac:dyDescent="0.3">
      <c r="A667" s="11"/>
      <c r="B667" s="11"/>
      <c r="C667" s="11"/>
      <c r="D667" s="11"/>
      <c r="E667" s="11"/>
      <c r="F667" s="11"/>
      <c r="G667" s="11"/>
      <c r="H667" s="11"/>
      <c r="I667" s="91"/>
      <c r="J667" s="102"/>
      <c r="K667" s="102"/>
      <c r="L667" s="102"/>
      <c r="M667" s="102"/>
      <c r="N667" s="102"/>
      <c r="O667" s="102"/>
      <c r="P667" s="102"/>
      <c r="Q667" s="102"/>
      <c r="R667" s="102"/>
      <c r="S667" s="102"/>
      <c r="T667" s="102"/>
      <c r="U667" s="102"/>
      <c r="V667" s="102"/>
      <c r="W667" s="102"/>
      <c r="X667" s="102"/>
      <c r="Y667" s="102"/>
      <c r="Z667" s="102"/>
    </row>
    <row r="668" spans="1:26" x14ac:dyDescent="0.3">
      <c r="A668" s="109">
        <v>8.6999999999999993</v>
      </c>
      <c r="B668" s="95" t="s">
        <v>3784</v>
      </c>
      <c r="C668" s="9" t="s">
        <v>3785</v>
      </c>
      <c r="D668" s="95" t="s">
        <v>3786</v>
      </c>
      <c r="E668" s="111">
        <v>800</v>
      </c>
      <c r="F668" s="112"/>
      <c r="G668" s="112"/>
      <c r="H668" s="113">
        <f>E668*F668</f>
        <v>0</v>
      </c>
      <c r="I668" s="113">
        <f>E668*G668</f>
        <v>0</v>
      </c>
      <c r="J668" s="102"/>
      <c r="K668" s="102"/>
      <c r="L668" s="102"/>
      <c r="M668" s="102"/>
      <c r="N668" s="102"/>
      <c r="O668" s="102"/>
      <c r="P668" s="102"/>
      <c r="Q668" s="102"/>
      <c r="R668" s="102"/>
      <c r="S668" s="102"/>
      <c r="T668" s="102"/>
      <c r="U668" s="102"/>
      <c r="V668" s="102"/>
      <c r="W668" s="102"/>
      <c r="X668" s="102"/>
      <c r="Y668" s="102"/>
      <c r="Z668" s="102"/>
    </row>
    <row r="669" spans="1:26" x14ac:dyDescent="0.3">
      <c r="A669" s="11"/>
      <c r="B669" s="11"/>
      <c r="C669" s="11"/>
      <c r="D669" s="11"/>
      <c r="E669" s="11"/>
      <c r="F669" s="11"/>
      <c r="G669" s="11"/>
      <c r="H669" s="11"/>
      <c r="I669" s="91"/>
      <c r="J669" s="102"/>
      <c r="K669" s="102"/>
      <c r="L669" s="102"/>
      <c r="M669" s="102"/>
      <c r="N669" s="102"/>
      <c r="O669" s="102"/>
      <c r="P669" s="102"/>
      <c r="Q669" s="102"/>
      <c r="R669" s="102"/>
      <c r="S669" s="102"/>
      <c r="T669" s="102"/>
      <c r="U669" s="102"/>
      <c r="V669" s="102"/>
      <c r="W669" s="102"/>
      <c r="X669" s="102"/>
      <c r="Y669" s="102"/>
      <c r="Z669" s="102"/>
    </row>
    <row r="670" spans="1:26" x14ac:dyDescent="0.3">
      <c r="A670" s="107">
        <v>8.8000000000000007</v>
      </c>
      <c r="B670" s="107">
        <v>4.5999999999999996</v>
      </c>
      <c r="C670" s="96" t="s">
        <v>3787</v>
      </c>
      <c r="D670" s="9"/>
      <c r="E670" s="9"/>
      <c r="F670" s="9"/>
      <c r="G670" s="9"/>
      <c r="H670" s="9"/>
      <c r="I670" s="108"/>
      <c r="J670" s="102"/>
      <c r="K670" s="102"/>
      <c r="L670" s="102"/>
      <c r="M670" s="102"/>
      <c r="N670" s="102"/>
      <c r="O670" s="102"/>
      <c r="P670" s="102"/>
      <c r="Q670" s="102"/>
      <c r="R670" s="102"/>
      <c r="S670" s="102"/>
      <c r="T670" s="102"/>
      <c r="U670" s="102"/>
      <c r="V670" s="102"/>
      <c r="W670" s="102"/>
      <c r="X670" s="102"/>
      <c r="Y670" s="102"/>
      <c r="Z670" s="102"/>
    </row>
    <row r="671" spans="1:26" x14ac:dyDescent="0.3">
      <c r="A671" s="95" t="s">
        <v>3788</v>
      </c>
      <c r="B671" s="95" t="s">
        <v>3789</v>
      </c>
      <c r="C671" s="96" t="s">
        <v>3790</v>
      </c>
      <c r="D671" s="95" t="s">
        <v>3791</v>
      </c>
      <c r="E671" s="111">
        <v>750</v>
      </c>
      <c r="F671" s="112"/>
      <c r="G671" s="112"/>
      <c r="H671" s="113">
        <f t="shared" ref="H671:H673" si="76">E671*F671</f>
        <v>0</v>
      </c>
      <c r="I671" s="113">
        <f t="shared" ref="I671:I673" si="77">E671*G671</f>
        <v>0</v>
      </c>
      <c r="J671" s="102"/>
      <c r="K671" s="102"/>
      <c r="L671" s="102"/>
      <c r="M671" s="102"/>
      <c r="N671" s="102"/>
      <c r="O671" s="102"/>
      <c r="P671" s="102"/>
      <c r="Q671" s="102"/>
      <c r="R671" s="102"/>
      <c r="S671" s="102"/>
      <c r="T671" s="102"/>
      <c r="U671" s="102"/>
      <c r="V671" s="102"/>
      <c r="W671" s="102"/>
      <c r="X671" s="102"/>
      <c r="Y671" s="102"/>
      <c r="Z671" s="102"/>
    </row>
    <row r="672" spans="1:26" x14ac:dyDescent="0.3">
      <c r="A672" s="95" t="s">
        <v>3792</v>
      </c>
      <c r="B672" s="95" t="s">
        <v>3793</v>
      </c>
      <c r="C672" s="96" t="s">
        <v>3794</v>
      </c>
      <c r="D672" s="95" t="s">
        <v>3795</v>
      </c>
      <c r="E672" s="111">
        <v>400</v>
      </c>
      <c r="F672" s="112"/>
      <c r="G672" s="112"/>
      <c r="H672" s="113">
        <f t="shared" si="76"/>
        <v>0</v>
      </c>
      <c r="I672" s="113">
        <f t="shared" si="77"/>
        <v>0</v>
      </c>
      <c r="J672" s="102"/>
      <c r="K672" s="102"/>
      <c r="L672" s="102"/>
      <c r="M672" s="102"/>
      <c r="N672" s="102"/>
      <c r="O672" s="102"/>
      <c r="P672" s="102"/>
      <c r="Q672" s="102"/>
      <c r="R672" s="102"/>
      <c r="S672" s="102"/>
      <c r="T672" s="102"/>
      <c r="U672" s="102"/>
      <c r="V672" s="102"/>
      <c r="W672" s="102"/>
      <c r="X672" s="102"/>
      <c r="Y672" s="102"/>
      <c r="Z672" s="102"/>
    </row>
    <row r="673" spans="1:26" x14ac:dyDescent="0.3">
      <c r="A673" s="95" t="s">
        <v>3796</v>
      </c>
      <c r="B673" s="95" t="s">
        <v>3797</v>
      </c>
      <c r="C673" s="96" t="s">
        <v>3798</v>
      </c>
      <c r="D673" s="95" t="s">
        <v>3799</v>
      </c>
      <c r="E673" s="111">
        <v>200</v>
      </c>
      <c r="F673" s="112"/>
      <c r="G673" s="112"/>
      <c r="H673" s="113">
        <f t="shared" si="76"/>
        <v>0</v>
      </c>
      <c r="I673" s="113">
        <f t="shared" si="77"/>
        <v>0</v>
      </c>
      <c r="J673" s="102"/>
      <c r="K673" s="102"/>
      <c r="L673" s="102"/>
      <c r="M673" s="102"/>
      <c r="N673" s="102"/>
      <c r="O673" s="102"/>
      <c r="P673" s="102"/>
      <c r="Q673" s="102"/>
      <c r="R673" s="102"/>
      <c r="S673" s="102"/>
      <c r="T673" s="102"/>
      <c r="U673" s="102"/>
      <c r="V673" s="102"/>
      <c r="W673" s="102"/>
      <c r="X673" s="102"/>
      <c r="Y673" s="102"/>
      <c r="Z673" s="102"/>
    </row>
    <row r="674" spans="1:26" x14ac:dyDescent="0.3">
      <c r="A674" s="11"/>
      <c r="B674" s="11"/>
      <c r="C674" s="11"/>
      <c r="D674" s="11"/>
      <c r="E674" s="11"/>
      <c r="F674" s="11"/>
      <c r="G674" s="11"/>
      <c r="H674" s="11"/>
      <c r="I674" s="91"/>
      <c r="J674" s="102"/>
      <c r="K674" s="102"/>
      <c r="L674" s="102"/>
      <c r="M674" s="102"/>
      <c r="N674" s="102"/>
      <c r="O674" s="102"/>
      <c r="P674" s="102"/>
      <c r="Q674" s="102"/>
      <c r="R674" s="102"/>
      <c r="S674" s="102"/>
      <c r="T674" s="102"/>
      <c r="U674" s="102"/>
      <c r="V674" s="102"/>
      <c r="W674" s="102"/>
      <c r="X674" s="102"/>
      <c r="Y674" s="102"/>
      <c r="Z674" s="102"/>
    </row>
    <row r="675" spans="1:26" x14ac:dyDescent="0.3">
      <c r="A675" s="107">
        <v>8.9</v>
      </c>
      <c r="B675" s="9"/>
      <c r="C675" s="9" t="s">
        <v>3800</v>
      </c>
      <c r="D675" s="9"/>
      <c r="E675" s="9"/>
      <c r="F675" s="9"/>
      <c r="G675" s="9"/>
      <c r="H675" s="9"/>
      <c r="I675" s="108"/>
      <c r="J675" s="102"/>
      <c r="K675" s="102"/>
      <c r="L675" s="102"/>
      <c r="M675" s="102"/>
      <c r="N675" s="102"/>
      <c r="O675" s="102"/>
      <c r="P675" s="102"/>
      <c r="Q675" s="102"/>
      <c r="R675" s="102"/>
      <c r="S675" s="102"/>
      <c r="T675" s="102"/>
      <c r="U675" s="102"/>
      <c r="V675" s="102"/>
      <c r="W675" s="102"/>
      <c r="X675" s="102"/>
      <c r="Y675" s="102"/>
      <c r="Z675" s="102"/>
    </row>
    <row r="676" spans="1:26" x14ac:dyDescent="0.3">
      <c r="A676" s="95" t="s">
        <v>3801</v>
      </c>
      <c r="B676" s="95" t="s">
        <v>3802</v>
      </c>
      <c r="C676" s="96" t="s">
        <v>3803</v>
      </c>
      <c r="D676" s="95" t="s">
        <v>3804</v>
      </c>
      <c r="E676" s="111">
        <v>30</v>
      </c>
      <c r="F676" s="112"/>
      <c r="G676" s="112"/>
      <c r="H676" s="113">
        <f t="shared" ref="H676:H678" si="78">E676*F676</f>
        <v>0</v>
      </c>
      <c r="I676" s="113">
        <f t="shared" ref="I676:I678" si="79">E676*G676</f>
        <v>0</v>
      </c>
      <c r="J676" s="102"/>
      <c r="K676" s="102"/>
      <c r="L676" s="102"/>
      <c r="M676" s="102"/>
      <c r="N676" s="102"/>
      <c r="O676" s="102"/>
      <c r="P676" s="102"/>
      <c r="Q676" s="102"/>
      <c r="R676" s="102"/>
      <c r="S676" s="102"/>
      <c r="T676" s="102"/>
      <c r="U676" s="102"/>
      <c r="V676" s="102"/>
      <c r="W676" s="102"/>
      <c r="X676" s="102"/>
      <c r="Y676" s="102"/>
      <c r="Z676" s="102"/>
    </row>
    <row r="677" spans="1:26" x14ac:dyDescent="0.3">
      <c r="A677" s="95" t="s">
        <v>3805</v>
      </c>
      <c r="B677" s="95" t="s">
        <v>3806</v>
      </c>
      <c r="C677" s="96" t="s">
        <v>3807</v>
      </c>
      <c r="D677" s="95" t="s">
        <v>3808</v>
      </c>
      <c r="E677" s="111">
        <v>40</v>
      </c>
      <c r="F677" s="112"/>
      <c r="G677" s="112"/>
      <c r="H677" s="113">
        <f t="shared" si="78"/>
        <v>0</v>
      </c>
      <c r="I677" s="113">
        <f t="shared" si="79"/>
        <v>0</v>
      </c>
      <c r="J677" s="102"/>
      <c r="K677" s="102"/>
      <c r="L677" s="102"/>
      <c r="M677" s="102"/>
      <c r="N677" s="102"/>
      <c r="O677" s="102"/>
      <c r="P677" s="102"/>
      <c r="Q677" s="102"/>
      <c r="R677" s="102"/>
      <c r="S677" s="102"/>
      <c r="T677" s="102"/>
      <c r="U677" s="102"/>
      <c r="V677" s="102"/>
      <c r="W677" s="102"/>
      <c r="X677" s="102"/>
      <c r="Y677" s="102"/>
      <c r="Z677" s="102"/>
    </row>
    <row r="678" spans="1:26" x14ac:dyDescent="0.3">
      <c r="A678" s="95" t="s">
        <v>3809</v>
      </c>
      <c r="B678" s="95" t="s">
        <v>3810</v>
      </c>
      <c r="C678" s="96" t="s">
        <v>3811</v>
      </c>
      <c r="D678" s="95" t="s">
        <v>3812</v>
      </c>
      <c r="E678" s="111">
        <v>70</v>
      </c>
      <c r="F678" s="112"/>
      <c r="G678" s="112"/>
      <c r="H678" s="113">
        <f t="shared" si="78"/>
        <v>0</v>
      </c>
      <c r="I678" s="113">
        <f t="shared" si="79"/>
        <v>0</v>
      </c>
      <c r="J678" s="102"/>
      <c r="K678" s="102"/>
      <c r="L678" s="102"/>
      <c r="M678" s="102"/>
      <c r="N678" s="102"/>
      <c r="O678" s="102"/>
      <c r="P678" s="102"/>
      <c r="Q678" s="102"/>
      <c r="R678" s="102"/>
      <c r="S678" s="102"/>
      <c r="T678" s="102"/>
      <c r="U678" s="102"/>
      <c r="V678" s="102"/>
      <c r="W678" s="102"/>
      <c r="X678" s="102"/>
      <c r="Y678" s="102"/>
      <c r="Z678" s="102"/>
    </row>
    <row r="679" spans="1:26" x14ac:dyDescent="0.3">
      <c r="A679" s="11"/>
      <c r="B679" s="11"/>
      <c r="C679" s="11"/>
      <c r="D679" s="11"/>
      <c r="E679" s="11"/>
      <c r="F679" s="11"/>
      <c r="G679" s="11"/>
      <c r="H679" s="11"/>
      <c r="I679" s="91"/>
      <c r="J679" s="102"/>
      <c r="K679" s="102"/>
      <c r="L679" s="102"/>
      <c r="M679" s="102"/>
      <c r="N679" s="102"/>
      <c r="O679" s="102"/>
      <c r="P679" s="102"/>
      <c r="Q679" s="102"/>
      <c r="R679" s="102"/>
      <c r="S679" s="102"/>
      <c r="T679" s="102"/>
      <c r="U679" s="102"/>
      <c r="V679" s="102"/>
      <c r="W679" s="102"/>
      <c r="X679" s="102"/>
      <c r="Y679" s="102"/>
      <c r="Z679" s="102"/>
    </row>
    <row r="680" spans="1:26" x14ac:dyDescent="0.3">
      <c r="A680" s="11"/>
      <c r="B680" s="11"/>
      <c r="C680" s="96" t="s">
        <v>3813</v>
      </c>
      <c r="D680" s="11"/>
      <c r="E680" s="11"/>
      <c r="F680" s="11"/>
      <c r="G680" s="11"/>
      <c r="H680" s="11"/>
      <c r="I680" s="91"/>
      <c r="J680" s="102"/>
      <c r="K680" s="102"/>
      <c r="L680" s="102"/>
      <c r="M680" s="102"/>
      <c r="N680" s="102"/>
      <c r="O680" s="102"/>
      <c r="P680" s="102"/>
      <c r="Q680" s="102"/>
      <c r="R680" s="102"/>
      <c r="S680" s="102"/>
      <c r="T680" s="102"/>
      <c r="U680" s="102"/>
      <c r="V680" s="102"/>
      <c r="W680" s="102"/>
      <c r="X680" s="102"/>
      <c r="Y680" s="102"/>
      <c r="Z680" s="102"/>
    </row>
    <row r="681" spans="1:26" x14ac:dyDescent="0.3">
      <c r="A681" s="10"/>
      <c r="B681" s="10"/>
      <c r="C681" s="9" t="s">
        <v>3814</v>
      </c>
      <c r="D681" s="10"/>
      <c r="E681" s="10"/>
      <c r="F681" s="10"/>
      <c r="G681" s="10"/>
      <c r="H681" s="10"/>
      <c r="I681" s="117"/>
      <c r="J681" s="102"/>
      <c r="K681" s="102"/>
      <c r="L681" s="102"/>
      <c r="M681" s="102"/>
      <c r="N681" s="102"/>
      <c r="O681" s="102"/>
      <c r="P681" s="102"/>
      <c r="Q681" s="102"/>
      <c r="R681" s="102"/>
      <c r="S681" s="102"/>
      <c r="T681" s="102"/>
      <c r="U681" s="102"/>
      <c r="V681" s="102"/>
      <c r="W681" s="102"/>
      <c r="X681" s="102"/>
      <c r="Y681" s="102"/>
      <c r="Z681" s="102"/>
    </row>
    <row r="682" spans="1:26" x14ac:dyDescent="0.3">
      <c r="A682" s="10"/>
      <c r="B682" s="10"/>
      <c r="C682" s="96" t="s">
        <v>3815</v>
      </c>
      <c r="D682" s="10"/>
      <c r="E682" s="10"/>
      <c r="F682" s="10"/>
      <c r="G682" s="10"/>
      <c r="H682" s="10"/>
      <c r="I682" s="117"/>
      <c r="J682" s="102"/>
      <c r="K682" s="102"/>
      <c r="L682" s="102"/>
      <c r="M682" s="102"/>
      <c r="N682" s="102"/>
      <c r="O682" s="102"/>
      <c r="P682" s="102"/>
      <c r="Q682" s="102"/>
      <c r="R682" s="102"/>
      <c r="S682" s="102"/>
      <c r="T682" s="102"/>
      <c r="U682" s="102"/>
      <c r="V682" s="102"/>
      <c r="W682" s="102"/>
      <c r="X682" s="102"/>
      <c r="Y682" s="102"/>
      <c r="Z682" s="102"/>
    </row>
    <row r="683" spans="1:26" x14ac:dyDescent="0.3">
      <c r="A683" s="10"/>
      <c r="B683" s="10"/>
      <c r="C683" s="96" t="s">
        <v>3816</v>
      </c>
      <c r="D683" s="10"/>
      <c r="E683" s="10"/>
      <c r="F683" s="10"/>
      <c r="G683" s="10"/>
      <c r="H683" s="10"/>
      <c r="I683" s="117"/>
      <c r="J683" s="102"/>
      <c r="K683" s="102"/>
      <c r="L683" s="102"/>
      <c r="M683" s="102"/>
      <c r="N683" s="102"/>
      <c r="O683" s="102"/>
      <c r="P683" s="102"/>
      <c r="Q683" s="102"/>
      <c r="R683" s="102"/>
      <c r="S683" s="102"/>
      <c r="T683" s="102"/>
      <c r="U683" s="102"/>
      <c r="V683" s="102"/>
      <c r="W683" s="102"/>
      <c r="X683" s="102"/>
      <c r="Y683" s="102"/>
      <c r="Z683" s="102"/>
    </row>
    <row r="684" spans="1:26" x14ac:dyDescent="0.3">
      <c r="A684" s="9"/>
      <c r="B684" s="9"/>
      <c r="C684" s="96" t="s">
        <v>3817</v>
      </c>
      <c r="D684" s="9"/>
      <c r="E684" s="9"/>
      <c r="F684" s="9"/>
      <c r="G684" s="9"/>
      <c r="H684" s="9"/>
      <c r="I684" s="108"/>
      <c r="J684" s="102"/>
      <c r="K684" s="102"/>
      <c r="L684" s="102"/>
      <c r="M684" s="102"/>
      <c r="N684" s="102"/>
      <c r="O684" s="102"/>
      <c r="P684" s="102"/>
      <c r="Q684" s="102"/>
      <c r="R684" s="102"/>
      <c r="S684" s="102"/>
      <c r="T684" s="102"/>
      <c r="U684" s="102"/>
      <c r="V684" s="102"/>
      <c r="W684" s="102"/>
      <c r="X684" s="102"/>
      <c r="Y684" s="102"/>
      <c r="Z684" s="102"/>
    </row>
    <row r="685" spans="1:26" x14ac:dyDescent="0.3">
      <c r="A685" s="10"/>
      <c r="B685" s="10"/>
      <c r="C685" s="9" t="s">
        <v>3818</v>
      </c>
      <c r="D685" s="10"/>
      <c r="E685" s="10"/>
      <c r="F685" s="10"/>
      <c r="G685" s="10"/>
      <c r="H685" s="10"/>
      <c r="I685" s="117"/>
      <c r="J685" s="102"/>
      <c r="K685" s="102"/>
      <c r="L685" s="102"/>
      <c r="M685" s="102"/>
      <c r="N685" s="102"/>
      <c r="O685" s="102"/>
      <c r="P685" s="102"/>
      <c r="Q685" s="102"/>
      <c r="R685" s="102"/>
      <c r="S685" s="102"/>
      <c r="T685" s="102"/>
      <c r="U685" s="102"/>
      <c r="V685" s="102"/>
      <c r="W685" s="102"/>
      <c r="X685" s="102"/>
      <c r="Y685" s="102"/>
      <c r="Z685" s="102"/>
    </row>
    <row r="686" spans="1:26" x14ac:dyDescent="0.3">
      <c r="A686" s="9"/>
      <c r="B686" s="9"/>
      <c r="C686" s="9" t="s">
        <v>3819</v>
      </c>
      <c r="D686" s="9"/>
      <c r="E686" s="9"/>
      <c r="F686" s="9"/>
      <c r="G686" s="9"/>
      <c r="H686" s="9"/>
      <c r="I686" s="108"/>
      <c r="J686" s="102"/>
      <c r="K686" s="102"/>
      <c r="L686" s="102"/>
      <c r="M686" s="102"/>
      <c r="N686" s="102"/>
      <c r="O686" s="102"/>
      <c r="P686" s="102"/>
      <c r="Q686" s="102"/>
      <c r="R686" s="102"/>
      <c r="S686" s="102"/>
      <c r="T686" s="102"/>
      <c r="U686" s="102"/>
      <c r="V686" s="102"/>
      <c r="W686" s="102"/>
      <c r="X686" s="102"/>
      <c r="Y686" s="102"/>
      <c r="Z686" s="102"/>
    </row>
    <row r="687" spans="1:26" x14ac:dyDescent="0.3">
      <c r="A687" s="11"/>
      <c r="B687" s="11"/>
      <c r="C687" s="11"/>
      <c r="D687" s="11"/>
      <c r="E687" s="11"/>
      <c r="F687" s="11"/>
      <c r="G687" s="11"/>
      <c r="H687" s="11"/>
      <c r="I687" s="91"/>
      <c r="J687" s="102"/>
      <c r="K687" s="102"/>
      <c r="L687" s="102"/>
      <c r="M687" s="102"/>
      <c r="N687" s="102"/>
      <c r="O687" s="102"/>
      <c r="P687" s="102"/>
      <c r="Q687" s="102"/>
      <c r="R687" s="102"/>
      <c r="S687" s="102"/>
      <c r="T687" s="102"/>
      <c r="U687" s="102"/>
      <c r="V687" s="102"/>
      <c r="W687" s="102"/>
      <c r="X687" s="102"/>
      <c r="Y687" s="102"/>
      <c r="Z687" s="102"/>
    </row>
    <row r="688" spans="1:26" x14ac:dyDescent="0.3">
      <c r="A688" s="11"/>
      <c r="B688" s="11"/>
      <c r="C688" s="105" t="s">
        <v>3820</v>
      </c>
      <c r="D688" s="11"/>
      <c r="E688" s="11"/>
      <c r="F688" s="11"/>
      <c r="G688" s="11"/>
      <c r="H688" s="142"/>
      <c r="I688" s="143"/>
      <c r="J688" s="102"/>
      <c r="K688" s="102"/>
      <c r="L688" s="102"/>
      <c r="M688" s="102"/>
      <c r="N688" s="102"/>
      <c r="O688" s="102"/>
      <c r="P688" s="102"/>
      <c r="Q688" s="102"/>
      <c r="R688" s="102"/>
      <c r="S688" s="102"/>
      <c r="T688" s="102"/>
      <c r="U688" s="102"/>
      <c r="V688" s="102"/>
      <c r="W688" s="102"/>
      <c r="X688" s="102"/>
      <c r="Y688" s="102"/>
      <c r="Z688" s="102"/>
    </row>
    <row r="689" spans="1:26" x14ac:dyDescent="0.3">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spans="1:26" x14ac:dyDescent="0.3">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spans="1:26" x14ac:dyDescent="0.3">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spans="1:26" x14ac:dyDescent="0.3">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spans="1:26" x14ac:dyDescent="0.3">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spans="1:26" x14ac:dyDescent="0.3">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spans="1:26" x14ac:dyDescent="0.3">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spans="1:26" x14ac:dyDescent="0.3">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spans="1:26" x14ac:dyDescent="0.3">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spans="1:26" x14ac:dyDescent="0.3">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spans="1:26" x14ac:dyDescent="0.3">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spans="1:26" x14ac:dyDescent="0.3">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spans="1:26" x14ac:dyDescent="0.3">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spans="1:26" x14ac:dyDescent="0.3">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spans="1:26" x14ac:dyDescent="0.3">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spans="1:26" x14ac:dyDescent="0.3">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spans="1:26" x14ac:dyDescent="0.3">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spans="1:26" x14ac:dyDescent="0.3">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spans="1:26" x14ac:dyDescent="0.3">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spans="1:26" x14ac:dyDescent="0.3">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spans="1:26" x14ac:dyDescent="0.3">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spans="1:26" x14ac:dyDescent="0.3">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spans="1:26" x14ac:dyDescent="0.3">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spans="1:26" x14ac:dyDescent="0.3">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spans="1:26" x14ac:dyDescent="0.3">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spans="1:26" x14ac:dyDescent="0.3">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spans="1:26" x14ac:dyDescent="0.3">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spans="1:26" x14ac:dyDescent="0.3">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spans="1:26" x14ac:dyDescent="0.3">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spans="1:26" x14ac:dyDescent="0.3">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spans="1:26" x14ac:dyDescent="0.3">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spans="1:26" x14ac:dyDescent="0.3">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spans="1:26" x14ac:dyDescent="0.3">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spans="1:26" x14ac:dyDescent="0.3">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spans="1:26" x14ac:dyDescent="0.3">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spans="1:26" x14ac:dyDescent="0.3">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spans="1:26" x14ac:dyDescent="0.3">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spans="1:26" x14ac:dyDescent="0.3">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spans="1:26" x14ac:dyDescent="0.3">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spans="1:26" x14ac:dyDescent="0.3">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spans="1:26" x14ac:dyDescent="0.3">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spans="1:26" x14ac:dyDescent="0.3">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spans="1:26" x14ac:dyDescent="0.3">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spans="1:26" x14ac:dyDescent="0.3">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spans="1:26" x14ac:dyDescent="0.3">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spans="1:26" x14ac:dyDescent="0.3">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spans="1:26" x14ac:dyDescent="0.3">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spans="1:26" x14ac:dyDescent="0.3">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spans="1:26" x14ac:dyDescent="0.3">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spans="1:26" x14ac:dyDescent="0.3">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spans="1:26" x14ac:dyDescent="0.3">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spans="1:26" x14ac:dyDescent="0.3">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spans="1:26" x14ac:dyDescent="0.3">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spans="1:26" x14ac:dyDescent="0.3">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spans="1:26" x14ac:dyDescent="0.3">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spans="1:26" x14ac:dyDescent="0.3">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spans="1:26" x14ac:dyDescent="0.3">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spans="1:26" x14ac:dyDescent="0.3">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spans="1:26" x14ac:dyDescent="0.3">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spans="1:26" x14ac:dyDescent="0.3">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spans="1:26" x14ac:dyDescent="0.3">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spans="1:26" x14ac:dyDescent="0.3">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spans="1:26" x14ac:dyDescent="0.3">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spans="1:26" x14ac:dyDescent="0.3">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spans="1:26" x14ac:dyDescent="0.3">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spans="1:26" x14ac:dyDescent="0.3">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spans="1:26" x14ac:dyDescent="0.3">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spans="1:26" x14ac:dyDescent="0.3">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spans="1:26" x14ac:dyDescent="0.3">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spans="1:26" x14ac:dyDescent="0.3">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spans="1:26" x14ac:dyDescent="0.3">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spans="1:26" x14ac:dyDescent="0.3">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spans="1:26" x14ac:dyDescent="0.3">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spans="1:26" x14ac:dyDescent="0.3">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spans="1:26" x14ac:dyDescent="0.3">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spans="1:26" x14ac:dyDescent="0.3">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spans="1:26" x14ac:dyDescent="0.3">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spans="1:26" x14ac:dyDescent="0.3">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spans="1:26" x14ac:dyDescent="0.3">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spans="1:26" x14ac:dyDescent="0.3">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spans="1:26" x14ac:dyDescent="0.3">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spans="1:26" x14ac:dyDescent="0.3">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spans="1:26" x14ac:dyDescent="0.3">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spans="1:26" x14ac:dyDescent="0.3">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spans="1:26" x14ac:dyDescent="0.3">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spans="1:26" x14ac:dyDescent="0.3">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spans="1:26" x14ac:dyDescent="0.3">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spans="1:26" x14ac:dyDescent="0.3">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spans="1:26" x14ac:dyDescent="0.3">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spans="1:26" x14ac:dyDescent="0.3">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spans="1:26" x14ac:dyDescent="0.3">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spans="1:26" x14ac:dyDescent="0.3">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spans="1:26" x14ac:dyDescent="0.3">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spans="1:26" x14ac:dyDescent="0.3">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spans="1:26" x14ac:dyDescent="0.3">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spans="1:26" x14ac:dyDescent="0.3">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spans="1:26" x14ac:dyDescent="0.3">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spans="1:26" x14ac:dyDescent="0.3">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spans="1:26" x14ac:dyDescent="0.3">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spans="1:26" x14ac:dyDescent="0.3">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spans="1:26" x14ac:dyDescent="0.3">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spans="1:26" x14ac:dyDescent="0.3">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spans="1:26" x14ac:dyDescent="0.3">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spans="1:26" x14ac:dyDescent="0.3">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spans="1:26" x14ac:dyDescent="0.3">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spans="1:26" x14ac:dyDescent="0.3">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spans="1:26" x14ac:dyDescent="0.3">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spans="1:26" x14ac:dyDescent="0.3">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spans="1:26" x14ac:dyDescent="0.3">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spans="1:26" x14ac:dyDescent="0.3">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spans="1:26" x14ac:dyDescent="0.3">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spans="1:26" x14ac:dyDescent="0.3">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spans="1:26" x14ac:dyDescent="0.3">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spans="1:26" x14ac:dyDescent="0.3">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spans="1:26" x14ac:dyDescent="0.3">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spans="1:26" x14ac:dyDescent="0.3">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spans="1:26" x14ac:dyDescent="0.3">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spans="1:26" x14ac:dyDescent="0.3">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spans="1:26" x14ac:dyDescent="0.3">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spans="1:26" x14ac:dyDescent="0.3">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spans="1:26" x14ac:dyDescent="0.3">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spans="1:26" x14ac:dyDescent="0.3">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spans="1:26" x14ac:dyDescent="0.3">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spans="1:26" x14ac:dyDescent="0.3">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spans="1:26" x14ac:dyDescent="0.3">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spans="1:26" x14ac:dyDescent="0.3">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spans="1:26" x14ac:dyDescent="0.3">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spans="1:26" x14ac:dyDescent="0.3">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spans="1:26" x14ac:dyDescent="0.3">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spans="1:26" x14ac:dyDescent="0.3">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spans="1:26" x14ac:dyDescent="0.3">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spans="1:26" x14ac:dyDescent="0.3">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spans="1:26" x14ac:dyDescent="0.3">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spans="1:26" x14ac:dyDescent="0.3">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spans="1:26" x14ac:dyDescent="0.3">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spans="1:26" x14ac:dyDescent="0.3">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spans="1:26" x14ac:dyDescent="0.3">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spans="1:26" x14ac:dyDescent="0.3">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spans="1:26" x14ac:dyDescent="0.3">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spans="1:26" x14ac:dyDescent="0.3">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spans="1:26" x14ac:dyDescent="0.3">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spans="1:26" x14ac:dyDescent="0.3">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spans="1:26" x14ac:dyDescent="0.3">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spans="1:26" x14ac:dyDescent="0.3">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spans="1:26" x14ac:dyDescent="0.3">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spans="1:26" x14ac:dyDescent="0.3">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spans="1:26" x14ac:dyDescent="0.3">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spans="1:26" x14ac:dyDescent="0.3">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spans="1:26" x14ac:dyDescent="0.3">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spans="1:26" x14ac:dyDescent="0.3">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spans="1:26" x14ac:dyDescent="0.3">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spans="1:26" x14ac:dyDescent="0.3">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spans="1:26" x14ac:dyDescent="0.3">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spans="1:26" x14ac:dyDescent="0.3">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spans="1:26" x14ac:dyDescent="0.3">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spans="1:26" x14ac:dyDescent="0.3">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spans="1:26" x14ac:dyDescent="0.3">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spans="1:26" x14ac:dyDescent="0.3">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spans="1:26" x14ac:dyDescent="0.3">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spans="1:26" x14ac:dyDescent="0.3">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spans="1:26" x14ac:dyDescent="0.3">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spans="1:26" x14ac:dyDescent="0.3">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spans="1:26" x14ac:dyDescent="0.3">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spans="1:26" x14ac:dyDescent="0.3">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spans="1:26" x14ac:dyDescent="0.3">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spans="1:26" x14ac:dyDescent="0.3">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spans="1:26" x14ac:dyDescent="0.3">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spans="1:26" x14ac:dyDescent="0.3">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spans="1:26" x14ac:dyDescent="0.3">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spans="1:26" x14ac:dyDescent="0.3">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spans="1:26" x14ac:dyDescent="0.3">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spans="1:26" x14ac:dyDescent="0.3">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spans="1:26" x14ac:dyDescent="0.3">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spans="1:26" x14ac:dyDescent="0.3">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spans="1:26" x14ac:dyDescent="0.3">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spans="1:26" x14ac:dyDescent="0.3">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spans="1:26" x14ac:dyDescent="0.3">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spans="1:26" x14ac:dyDescent="0.3">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spans="1:26" x14ac:dyDescent="0.3">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spans="1:26" x14ac:dyDescent="0.3">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spans="1:26" x14ac:dyDescent="0.3">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spans="1:26" x14ac:dyDescent="0.3">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spans="1:26" x14ac:dyDescent="0.3">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spans="1:26" x14ac:dyDescent="0.3">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spans="1:26" x14ac:dyDescent="0.3">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spans="1:26" x14ac:dyDescent="0.3">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spans="1:26" x14ac:dyDescent="0.3">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spans="1:26" x14ac:dyDescent="0.3">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spans="1:26" x14ac:dyDescent="0.3">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spans="1:26" x14ac:dyDescent="0.3">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spans="1:26" x14ac:dyDescent="0.3">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spans="1:26" x14ac:dyDescent="0.3">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spans="1:26" x14ac:dyDescent="0.3">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spans="1:26" x14ac:dyDescent="0.3">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spans="1:26" x14ac:dyDescent="0.3">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spans="1:26" x14ac:dyDescent="0.3">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spans="1:26" x14ac:dyDescent="0.3">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spans="1:26" x14ac:dyDescent="0.3">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spans="1:26" x14ac:dyDescent="0.3">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spans="1:26" x14ac:dyDescent="0.3">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spans="1:26" x14ac:dyDescent="0.3">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spans="1:26" x14ac:dyDescent="0.3">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spans="1:26" x14ac:dyDescent="0.3">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spans="1:26" x14ac:dyDescent="0.3">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spans="1:26" x14ac:dyDescent="0.3">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spans="1:26" x14ac:dyDescent="0.3">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spans="1:26" x14ac:dyDescent="0.3">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spans="1:26" x14ac:dyDescent="0.3">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spans="1:26" x14ac:dyDescent="0.3">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spans="1:26" x14ac:dyDescent="0.3">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spans="1:26" x14ac:dyDescent="0.3">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spans="1:26" x14ac:dyDescent="0.3">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spans="1:26" x14ac:dyDescent="0.3">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spans="1:26" x14ac:dyDescent="0.3">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spans="1:26" x14ac:dyDescent="0.3">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spans="1:26" x14ac:dyDescent="0.3">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spans="1:26" x14ac:dyDescent="0.3">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spans="1:26" x14ac:dyDescent="0.3">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spans="1:26" x14ac:dyDescent="0.3">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spans="1:26" x14ac:dyDescent="0.3">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spans="1:26" x14ac:dyDescent="0.3">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spans="1:26" x14ac:dyDescent="0.3">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spans="1:26" x14ac:dyDescent="0.3">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spans="1:26" x14ac:dyDescent="0.3">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spans="1:26" x14ac:dyDescent="0.3">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spans="1:26" x14ac:dyDescent="0.3">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spans="1:26" x14ac:dyDescent="0.3">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spans="1:26" x14ac:dyDescent="0.3">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spans="1:26" x14ac:dyDescent="0.3">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spans="1:26" x14ac:dyDescent="0.3">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spans="1:26" x14ac:dyDescent="0.3">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spans="1:26" x14ac:dyDescent="0.3">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spans="1:26" x14ac:dyDescent="0.3">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spans="1:26" x14ac:dyDescent="0.3">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spans="1:26" x14ac:dyDescent="0.3">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spans="1:26" x14ac:dyDescent="0.3">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spans="1:26" x14ac:dyDescent="0.3">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spans="1:26" x14ac:dyDescent="0.3">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spans="1:26" x14ac:dyDescent="0.3">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spans="1:26" x14ac:dyDescent="0.3">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spans="1:26" x14ac:dyDescent="0.3">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spans="1:26" x14ac:dyDescent="0.3">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spans="1:26" x14ac:dyDescent="0.3">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spans="1:26" x14ac:dyDescent="0.3">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spans="1:26" x14ac:dyDescent="0.3">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spans="1:26" x14ac:dyDescent="0.3">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spans="1:26" x14ac:dyDescent="0.3">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spans="1:26" x14ac:dyDescent="0.3">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spans="1:26" x14ac:dyDescent="0.3">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spans="1:26" x14ac:dyDescent="0.3">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spans="1:26" x14ac:dyDescent="0.3">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spans="1:26" x14ac:dyDescent="0.3">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spans="1:26" x14ac:dyDescent="0.3">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spans="1:26" x14ac:dyDescent="0.3">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spans="1:26" x14ac:dyDescent="0.3">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spans="1:26" x14ac:dyDescent="0.3">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spans="1:26" x14ac:dyDescent="0.3">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spans="1:26" x14ac:dyDescent="0.3">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spans="1:26" x14ac:dyDescent="0.3">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spans="1:26" x14ac:dyDescent="0.3">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spans="1:26" x14ac:dyDescent="0.3">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spans="1:26" x14ac:dyDescent="0.3">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spans="1:26" x14ac:dyDescent="0.3">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spans="1:26" x14ac:dyDescent="0.3">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spans="1:26" x14ac:dyDescent="0.3">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spans="1:26" x14ac:dyDescent="0.3">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spans="1:26" x14ac:dyDescent="0.3">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spans="1:26" x14ac:dyDescent="0.3">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spans="1:26" x14ac:dyDescent="0.3">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spans="1:26" x14ac:dyDescent="0.3">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spans="1:26" x14ac:dyDescent="0.3">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spans="1:26" x14ac:dyDescent="0.3">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spans="1:26" x14ac:dyDescent="0.3">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spans="1:26" x14ac:dyDescent="0.3">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spans="1:26" x14ac:dyDescent="0.3">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spans="1:26" x14ac:dyDescent="0.3">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spans="1:26" x14ac:dyDescent="0.3">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spans="1:26" x14ac:dyDescent="0.3">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spans="1:26" x14ac:dyDescent="0.3">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spans="1:26" x14ac:dyDescent="0.3">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spans="1:26" x14ac:dyDescent="0.3">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spans="1:26" x14ac:dyDescent="0.3">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spans="1:26" x14ac:dyDescent="0.3">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spans="1:26" x14ac:dyDescent="0.3">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spans="1:26" x14ac:dyDescent="0.3">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spans="1:26" x14ac:dyDescent="0.3">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spans="1:26" x14ac:dyDescent="0.3">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spans="1:26" x14ac:dyDescent="0.3">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spans="1:26" x14ac:dyDescent="0.3">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spans="1:26" x14ac:dyDescent="0.3">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spans="1:26" x14ac:dyDescent="0.3">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spans="1:26" x14ac:dyDescent="0.3">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spans="1:26" x14ac:dyDescent="0.3">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spans="1:26" x14ac:dyDescent="0.3">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spans="1:26" x14ac:dyDescent="0.3">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spans="1:26" x14ac:dyDescent="0.3">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spans="1:26" x14ac:dyDescent="0.3">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spans="1:26" x14ac:dyDescent="0.3">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spans="1:26" x14ac:dyDescent="0.3">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spans="1:26" x14ac:dyDescent="0.3">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spans="1:26" x14ac:dyDescent="0.3">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spans="1:26" x14ac:dyDescent="0.3">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spans="1:26" x14ac:dyDescent="0.3">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spans="1:26" x14ac:dyDescent="0.3">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spans="1:26" x14ac:dyDescent="0.3">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spans="1:26" x14ac:dyDescent="0.3">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spans="1:26" x14ac:dyDescent="0.3">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spans="1:26" x14ac:dyDescent="0.3">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spans="1:26" x14ac:dyDescent="0.3">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spans="1:26" x14ac:dyDescent="0.3">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spans="1:26" x14ac:dyDescent="0.3">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spans="1:26" x14ac:dyDescent="0.3">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sheetData>
  <mergeCells count="19">
    <mergeCell ref="C143:D143"/>
    <mergeCell ref="A203:B203"/>
    <mergeCell ref="A470:B470"/>
    <mergeCell ref="A513:B513"/>
    <mergeCell ref="A567:B567"/>
    <mergeCell ref="A582:B582"/>
    <mergeCell ref="A590:B590"/>
    <mergeCell ref="B4:B5"/>
    <mergeCell ref="A6:B6"/>
    <mergeCell ref="A89:B89"/>
    <mergeCell ref="E4:E5"/>
    <mergeCell ref="F4:G4"/>
    <mergeCell ref="A1:J1"/>
    <mergeCell ref="A2:J2"/>
    <mergeCell ref="A3:K3"/>
    <mergeCell ref="A4:A5"/>
    <mergeCell ref="C4:C5"/>
    <mergeCell ref="D4:D5"/>
    <mergeCell ref="H4:I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3984375" defaultRowHeight="15" customHeight="1" x14ac:dyDescent="0.3"/>
  <cols>
    <col min="1" max="1" width="4" customWidth="1"/>
    <col min="2" max="2" width="7.296875" customWidth="1"/>
    <col min="3" max="3" width="73.69921875" customWidth="1"/>
    <col min="4" max="4" width="6.296875" customWidth="1"/>
    <col min="5" max="5" width="9.8984375" customWidth="1"/>
    <col min="6" max="6" width="10.296875" customWidth="1"/>
    <col min="7" max="7" width="12" customWidth="1"/>
    <col min="8" max="9" width="16.8984375" customWidth="1"/>
    <col min="10" max="26" width="8.69921875" customWidth="1"/>
  </cols>
  <sheetData>
    <row r="1" spans="1:26" x14ac:dyDescent="0.3">
      <c r="A1" s="247" t="s">
        <v>3821</v>
      </c>
      <c r="B1" s="215"/>
      <c r="C1" s="215"/>
      <c r="D1" s="215"/>
      <c r="E1" s="215"/>
      <c r="F1" s="215"/>
      <c r="G1" s="215"/>
      <c r="H1" s="215"/>
      <c r="I1" s="215"/>
      <c r="J1" s="52"/>
      <c r="K1" s="144"/>
      <c r="L1" s="144"/>
      <c r="M1" s="144"/>
      <c r="N1" s="144"/>
      <c r="O1" s="144"/>
      <c r="P1" s="144"/>
      <c r="Q1" s="144"/>
      <c r="R1" s="144"/>
      <c r="S1" s="144"/>
      <c r="T1" s="144"/>
      <c r="U1" s="144"/>
      <c r="V1" s="144"/>
      <c r="W1" s="144"/>
      <c r="X1" s="144"/>
      <c r="Y1" s="144"/>
      <c r="Z1" s="144"/>
    </row>
    <row r="2" spans="1:26" x14ac:dyDescent="0.3">
      <c r="A2" s="248" t="s">
        <v>3822</v>
      </c>
      <c r="B2" s="249" t="s">
        <v>3823</v>
      </c>
      <c r="C2" s="250" t="s">
        <v>3824</v>
      </c>
      <c r="D2" s="249" t="s">
        <v>3825</v>
      </c>
      <c r="E2" s="249" t="s">
        <v>3826</v>
      </c>
      <c r="F2" s="226" t="s">
        <v>3827</v>
      </c>
      <c r="G2" s="221"/>
      <c r="H2" s="226" t="s">
        <v>3828</v>
      </c>
      <c r="I2" s="221"/>
      <c r="J2" s="52"/>
      <c r="K2" s="144"/>
      <c r="L2" s="144"/>
      <c r="M2" s="144"/>
      <c r="N2" s="144"/>
      <c r="O2" s="144"/>
      <c r="P2" s="144"/>
      <c r="Q2" s="144"/>
      <c r="R2" s="144"/>
      <c r="S2" s="144"/>
      <c r="T2" s="144"/>
      <c r="U2" s="144"/>
      <c r="V2" s="144"/>
      <c r="W2" s="144"/>
      <c r="X2" s="144"/>
      <c r="Y2" s="144"/>
      <c r="Z2" s="144"/>
    </row>
    <row r="3" spans="1:26" x14ac:dyDescent="0.3">
      <c r="A3" s="217"/>
      <c r="B3" s="217"/>
      <c r="C3" s="217"/>
      <c r="D3" s="217"/>
      <c r="E3" s="217"/>
      <c r="F3" s="16" t="s">
        <v>3829</v>
      </c>
      <c r="G3" s="16" t="s">
        <v>66</v>
      </c>
      <c r="H3" s="16" t="s">
        <v>3829</v>
      </c>
      <c r="I3" s="16" t="s">
        <v>66</v>
      </c>
      <c r="J3" s="52"/>
      <c r="K3" s="144"/>
      <c r="L3" s="144"/>
      <c r="M3" s="144"/>
      <c r="N3" s="144"/>
      <c r="O3" s="144"/>
      <c r="P3" s="144"/>
      <c r="Q3" s="144"/>
      <c r="R3" s="144"/>
      <c r="S3" s="144"/>
      <c r="T3" s="144"/>
      <c r="U3" s="144"/>
      <c r="V3" s="144"/>
      <c r="W3" s="144"/>
      <c r="X3" s="144"/>
      <c r="Y3" s="144"/>
      <c r="Z3" s="144"/>
    </row>
    <row r="4" spans="1:26" x14ac:dyDescent="0.3">
      <c r="A4" s="145" t="s">
        <v>3830</v>
      </c>
      <c r="B4" s="146"/>
      <c r="C4" s="147" t="s">
        <v>3831</v>
      </c>
      <c r="D4" s="146"/>
      <c r="E4" s="146"/>
      <c r="F4" s="18"/>
      <c r="G4" s="18"/>
      <c r="H4" s="18"/>
      <c r="I4" s="18"/>
      <c r="J4" s="52"/>
      <c r="K4" s="144"/>
      <c r="L4" s="144"/>
      <c r="M4" s="144"/>
      <c r="N4" s="144"/>
      <c r="O4" s="144"/>
      <c r="P4" s="144"/>
      <c r="Q4" s="144"/>
      <c r="R4" s="144"/>
      <c r="S4" s="144"/>
      <c r="T4" s="144"/>
      <c r="U4" s="144"/>
      <c r="V4" s="144"/>
      <c r="W4" s="144"/>
      <c r="X4" s="144"/>
      <c r="Y4" s="144"/>
      <c r="Z4" s="144"/>
    </row>
    <row r="5" spans="1:26" x14ac:dyDescent="0.3">
      <c r="A5" s="148">
        <v>1</v>
      </c>
      <c r="B5" s="149"/>
      <c r="C5" s="149" t="s">
        <v>3832</v>
      </c>
      <c r="D5" s="145" t="s">
        <v>3833</v>
      </c>
      <c r="E5" s="148">
        <v>262</v>
      </c>
      <c r="F5" s="18">
        <v>64000</v>
      </c>
      <c r="G5" s="150">
        <v>5000</v>
      </c>
      <c r="H5" s="18">
        <f t="shared" ref="H5:H27" si="0">E5*F5</f>
        <v>16768000</v>
      </c>
      <c r="I5" s="150">
        <f t="shared" ref="I5:I27" si="1">E5*G5</f>
        <v>1310000</v>
      </c>
      <c r="J5" s="52"/>
      <c r="K5" s="144"/>
      <c r="L5" s="144"/>
      <c r="M5" s="144"/>
      <c r="N5" s="144"/>
      <c r="O5" s="144"/>
      <c r="P5" s="144"/>
      <c r="Q5" s="144"/>
      <c r="R5" s="144"/>
      <c r="S5" s="144"/>
      <c r="T5" s="144"/>
      <c r="U5" s="144"/>
      <c r="V5" s="144"/>
      <c r="W5" s="144"/>
      <c r="X5" s="144"/>
      <c r="Y5" s="144"/>
      <c r="Z5" s="144"/>
    </row>
    <row r="6" spans="1:26" x14ac:dyDescent="0.3">
      <c r="A6" s="148">
        <v>2</v>
      </c>
      <c r="B6" s="149"/>
      <c r="C6" s="149" t="s">
        <v>3834</v>
      </c>
      <c r="D6" s="145" t="s">
        <v>3835</v>
      </c>
      <c r="E6" s="148">
        <v>950</v>
      </c>
      <c r="F6" s="18">
        <v>180</v>
      </c>
      <c r="G6" s="150">
        <v>15</v>
      </c>
      <c r="H6" s="18">
        <f t="shared" si="0"/>
        <v>171000</v>
      </c>
      <c r="I6" s="150">
        <f t="shared" si="1"/>
        <v>14250</v>
      </c>
      <c r="J6" s="52"/>
      <c r="K6" s="144"/>
      <c r="L6" s="144"/>
      <c r="M6" s="144"/>
      <c r="N6" s="144"/>
      <c r="O6" s="144"/>
      <c r="P6" s="144"/>
      <c r="Q6" s="144"/>
      <c r="R6" s="144"/>
      <c r="S6" s="144"/>
      <c r="T6" s="144"/>
      <c r="U6" s="144"/>
      <c r="V6" s="144"/>
      <c r="W6" s="144"/>
      <c r="X6" s="144"/>
      <c r="Y6" s="144"/>
      <c r="Z6" s="144"/>
    </row>
    <row r="7" spans="1:26" x14ac:dyDescent="0.3">
      <c r="A7" s="148">
        <v>3</v>
      </c>
      <c r="B7" s="149"/>
      <c r="C7" s="149" t="s">
        <v>3836</v>
      </c>
      <c r="D7" s="145" t="s">
        <v>3837</v>
      </c>
      <c r="E7" s="148">
        <v>480</v>
      </c>
      <c r="F7" s="18">
        <v>175</v>
      </c>
      <c r="G7" s="150">
        <v>15</v>
      </c>
      <c r="H7" s="18">
        <f t="shared" si="0"/>
        <v>84000</v>
      </c>
      <c r="I7" s="150">
        <f t="shared" si="1"/>
        <v>7200</v>
      </c>
      <c r="J7" s="52"/>
      <c r="K7" s="144"/>
      <c r="L7" s="144"/>
      <c r="M7" s="144"/>
      <c r="N7" s="144"/>
      <c r="O7" s="144"/>
      <c r="P7" s="144"/>
      <c r="Q7" s="144"/>
      <c r="R7" s="144"/>
      <c r="S7" s="144"/>
      <c r="T7" s="144"/>
      <c r="U7" s="144"/>
      <c r="V7" s="144"/>
      <c r="W7" s="144"/>
      <c r="X7" s="144"/>
      <c r="Y7" s="144"/>
      <c r="Z7" s="144"/>
    </row>
    <row r="8" spans="1:26" x14ac:dyDescent="0.3">
      <c r="A8" s="148">
        <v>4</v>
      </c>
      <c r="B8" s="149"/>
      <c r="C8" s="151" t="s">
        <v>3838</v>
      </c>
      <c r="D8" s="145" t="s">
        <v>3839</v>
      </c>
      <c r="E8" s="148">
        <v>530</v>
      </c>
      <c r="F8" s="18">
        <v>150</v>
      </c>
      <c r="G8" s="152">
        <v>15</v>
      </c>
      <c r="H8" s="18">
        <f t="shared" si="0"/>
        <v>79500</v>
      </c>
      <c r="I8" s="150">
        <f t="shared" si="1"/>
        <v>7950</v>
      </c>
      <c r="J8" s="52"/>
      <c r="K8" s="144"/>
      <c r="L8" s="144"/>
      <c r="M8" s="144"/>
      <c r="N8" s="144"/>
      <c r="O8" s="144"/>
      <c r="P8" s="144"/>
      <c r="Q8" s="144"/>
      <c r="R8" s="144"/>
      <c r="S8" s="144"/>
      <c r="T8" s="144"/>
      <c r="U8" s="144"/>
      <c r="V8" s="144"/>
      <c r="W8" s="144"/>
      <c r="X8" s="144"/>
      <c r="Y8" s="144"/>
      <c r="Z8" s="144"/>
    </row>
    <row r="9" spans="1:26" x14ac:dyDescent="0.3">
      <c r="A9" s="148">
        <v>5</v>
      </c>
      <c r="B9" s="17"/>
      <c r="C9" s="151" t="s">
        <v>3840</v>
      </c>
      <c r="D9" s="145" t="s">
        <v>3841</v>
      </c>
      <c r="E9" s="153">
        <v>1960</v>
      </c>
      <c r="F9" s="34"/>
      <c r="G9" s="154"/>
      <c r="H9" s="34">
        <f t="shared" si="0"/>
        <v>0</v>
      </c>
      <c r="I9" s="155">
        <f t="shared" si="1"/>
        <v>0</v>
      </c>
      <c r="J9" s="52"/>
      <c r="K9" s="144"/>
      <c r="L9" s="144"/>
      <c r="M9" s="144"/>
      <c r="N9" s="144"/>
      <c r="O9" s="144"/>
      <c r="P9" s="144"/>
      <c r="Q9" s="144"/>
      <c r="R9" s="144"/>
      <c r="S9" s="144"/>
      <c r="T9" s="144"/>
      <c r="U9" s="144"/>
      <c r="V9" s="144"/>
      <c r="W9" s="144"/>
      <c r="X9" s="144"/>
      <c r="Y9" s="144"/>
      <c r="Z9" s="144"/>
    </row>
    <row r="10" spans="1:26" x14ac:dyDescent="0.3">
      <c r="A10" s="24">
        <v>6</v>
      </c>
      <c r="B10" s="29">
        <v>39.18</v>
      </c>
      <c r="C10" s="149" t="s">
        <v>3842</v>
      </c>
      <c r="D10" s="149"/>
      <c r="E10" s="149"/>
      <c r="F10" s="18"/>
      <c r="G10" s="18"/>
      <c r="H10" s="18">
        <f t="shared" si="0"/>
        <v>0</v>
      </c>
      <c r="I10" s="150">
        <f t="shared" si="1"/>
        <v>0</v>
      </c>
      <c r="J10" s="52"/>
      <c r="K10" s="144"/>
      <c r="L10" s="144"/>
      <c r="M10" s="144"/>
      <c r="N10" s="144"/>
      <c r="O10" s="144"/>
      <c r="P10" s="144"/>
      <c r="Q10" s="144"/>
      <c r="R10" s="144"/>
      <c r="S10" s="144"/>
      <c r="T10" s="144"/>
      <c r="U10" s="144"/>
      <c r="V10" s="144"/>
      <c r="W10" s="144"/>
      <c r="X10" s="144"/>
      <c r="Y10" s="144"/>
      <c r="Z10" s="144"/>
    </row>
    <row r="11" spans="1:26" x14ac:dyDescent="0.3">
      <c r="A11" s="17"/>
      <c r="B11" s="145" t="s">
        <v>3843</v>
      </c>
      <c r="C11" s="151" t="s">
        <v>3844</v>
      </c>
      <c r="D11" s="145" t="s">
        <v>3845</v>
      </c>
      <c r="E11" s="153">
        <v>303245</v>
      </c>
      <c r="F11" s="152">
        <v>68</v>
      </c>
      <c r="G11" s="18">
        <v>7</v>
      </c>
      <c r="H11" s="18">
        <f t="shared" si="0"/>
        <v>20620660</v>
      </c>
      <c r="I11" s="150">
        <f t="shared" si="1"/>
        <v>2122715</v>
      </c>
      <c r="J11" s="52"/>
      <c r="K11" s="144"/>
      <c r="L11" s="144"/>
      <c r="M11" s="144"/>
      <c r="N11" s="144"/>
      <c r="O11" s="144"/>
      <c r="P11" s="144"/>
      <c r="Q11" s="144"/>
      <c r="R11" s="144"/>
      <c r="S11" s="144"/>
      <c r="T11" s="144"/>
      <c r="U11" s="144"/>
      <c r="V11" s="144"/>
      <c r="W11" s="144"/>
      <c r="X11" s="144"/>
      <c r="Y11" s="144"/>
      <c r="Z11" s="144"/>
    </row>
    <row r="12" spans="1:26" x14ac:dyDescent="0.3">
      <c r="A12" s="24">
        <v>7</v>
      </c>
      <c r="B12" s="17"/>
      <c r="C12" s="151" t="s">
        <v>3846</v>
      </c>
      <c r="D12" s="26" t="s">
        <v>3847</v>
      </c>
      <c r="E12" s="19">
        <v>5700</v>
      </c>
      <c r="F12" s="18">
        <v>575</v>
      </c>
      <c r="G12" s="152">
        <v>25</v>
      </c>
      <c r="H12" s="18">
        <f t="shared" si="0"/>
        <v>3277500</v>
      </c>
      <c r="I12" s="150">
        <f t="shared" si="1"/>
        <v>142500</v>
      </c>
      <c r="J12" s="52"/>
      <c r="K12" s="144"/>
      <c r="L12" s="144"/>
      <c r="M12" s="144"/>
      <c r="N12" s="144"/>
      <c r="O12" s="144"/>
      <c r="P12" s="144"/>
      <c r="Q12" s="144"/>
      <c r="R12" s="144"/>
      <c r="S12" s="144"/>
      <c r="T12" s="144"/>
      <c r="U12" s="144"/>
      <c r="V12" s="144"/>
      <c r="W12" s="144"/>
      <c r="X12" s="144"/>
      <c r="Y12" s="144"/>
      <c r="Z12" s="144"/>
    </row>
    <row r="13" spans="1:26" x14ac:dyDescent="0.3">
      <c r="A13" s="24">
        <v>8</v>
      </c>
      <c r="B13" s="156">
        <v>51106</v>
      </c>
      <c r="C13" s="151" t="s">
        <v>3848</v>
      </c>
      <c r="D13" s="26" t="s">
        <v>3849</v>
      </c>
      <c r="E13" s="19">
        <v>5700</v>
      </c>
      <c r="F13" s="152">
        <v>620</v>
      </c>
      <c r="G13" s="18">
        <v>25</v>
      </c>
      <c r="H13" s="18">
        <f t="shared" si="0"/>
        <v>3534000</v>
      </c>
      <c r="I13" s="150">
        <f t="shared" si="1"/>
        <v>142500</v>
      </c>
      <c r="J13" s="52"/>
      <c r="K13" s="144"/>
      <c r="L13" s="144"/>
      <c r="M13" s="144"/>
      <c r="N13" s="144"/>
      <c r="O13" s="144"/>
      <c r="P13" s="144"/>
      <c r="Q13" s="144"/>
      <c r="R13" s="144"/>
      <c r="S13" s="144"/>
      <c r="T13" s="144"/>
      <c r="U13" s="144"/>
      <c r="V13" s="144"/>
      <c r="W13" s="144"/>
      <c r="X13" s="144"/>
      <c r="Y13" s="144"/>
      <c r="Z13" s="144"/>
    </row>
    <row r="14" spans="1:26" x14ac:dyDescent="0.3">
      <c r="A14" s="24">
        <v>9</v>
      </c>
      <c r="B14" s="149"/>
      <c r="C14" s="149" t="s">
        <v>3850</v>
      </c>
      <c r="D14" s="149"/>
      <c r="E14" s="149"/>
      <c r="F14" s="18"/>
      <c r="G14" s="18"/>
      <c r="H14" s="18">
        <f t="shared" si="0"/>
        <v>0</v>
      </c>
      <c r="I14" s="150">
        <f t="shared" si="1"/>
        <v>0</v>
      </c>
      <c r="J14" s="52"/>
      <c r="K14" s="144"/>
      <c r="L14" s="144"/>
      <c r="M14" s="144"/>
      <c r="N14" s="144"/>
      <c r="O14" s="144"/>
      <c r="P14" s="144"/>
      <c r="Q14" s="144"/>
      <c r="R14" s="144"/>
      <c r="S14" s="144"/>
      <c r="T14" s="144"/>
      <c r="U14" s="144"/>
      <c r="V14" s="144"/>
      <c r="W14" s="144"/>
      <c r="X14" s="144"/>
      <c r="Y14" s="144"/>
      <c r="Z14" s="144"/>
    </row>
    <row r="15" spans="1:26" x14ac:dyDescent="0.3">
      <c r="A15" s="146"/>
      <c r="B15" s="146"/>
      <c r="C15" s="151" t="s">
        <v>3851</v>
      </c>
      <c r="D15" s="145" t="s">
        <v>3852</v>
      </c>
      <c r="E15" s="153">
        <v>2650</v>
      </c>
      <c r="F15" s="18">
        <v>390</v>
      </c>
      <c r="G15" s="152">
        <v>60</v>
      </c>
      <c r="H15" s="18">
        <f t="shared" si="0"/>
        <v>1033500</v>
      </c>
      <c r="I15" s="150">
        <f t="shared" si="1"/>
        <v>159000</v>
      </c>
      <c r="J15" s="52"/>
      <c r="K15" s="144"/>
      <c r="L15" s="144"/>
      <c r="M15" s="144"/>
      <c r="N15" s="144"/>
      <c r="O15" s="144"/>
      <c r="P15" s="144"/>
      <c r="Q15" s="144"/>
      <c r="R15" s="144"/>
      <c r="S15" s="144"/>
      <c r="T15" s="144"/>
      <c r="U15" s="144"/>
      <c r="V15" s="144"/>
      <c r="W15" s="144"/>
      <c r="X15" s="144"/>
      <c r="Y15" s="144"/>
      <c r="Z15" s="144"/>
    </row>
    <row r="16" spans="1:26" x14ac:dyDescent="0.3">
      <c r="A16" s="24">
        <v>10</v>
      </c>
      <c r="B16" s="149"/>
      <c r="C16" s="149" t="s">
        <v>3853</v>
      </c>
      <c r="D16" s="26" t="s">
        <v>3854</v>
      </c>
      <c r="E16" s="24">
        <v>270</v>
      </c>
      <c r="F16" s="18">
        <v>19500</v>
      </c>
      <c r="G16" s="150">
        <v>2000</v>
      </c>
      <c r="H16" s="18">
        <f t="shared" si="0"/>
        <v>5265000</v>
      </c>
      <c r="I16" s="150">
        <f t="shared" si="1"/>
        <v>540000</v>
      </c>
      <c r="J16" s="52"/>
      <c r="K16" s="144"/>
      <c r="L16" s="144"/>
      <c r="M16" s="144"/>
      <c r="N16" s="144"/>
      <c r="O16" s="144"/>
      <c r="P16" s="144"/>
      <c r="Q16" s="144"/>
      <c r="R16" s="144"/>
      <c r="S16" s="144"/>
      <c r="T16" s="144"/>
      <c r="U16" s="144"/>
      <c r="V16" s="144"/>
      <c r="W16" s="144"/>
      <c r="X16" s="144"/>
      <c r="Y16" s="144"/>
      <c r="Z16" s="144"/>
    </row>
    <row r="17" spans="1:26" x14ac:dyDescent="0.3">
      <c r="A17" s="24">
        <v>11</v>
      </c>
      <c r="B17" s="26" t="s">
        <v>3855</v>
      </c>
      <c r="C17" s="151" t="s">
        <v>3856</v>
      </c>
      <c r="D17" s="26" t="s">
        <v>3857</v>
      </c>
      <c r="E17" s="24">
        <v>22</v>
      </c>
      <c r="F17" s="150">
        <v>64000</v>
      </c>
      <c r="G17" s="18">
        <v>5000</v>
      </c>
      <c r="H17" s="18">
        <f t="shared" si="0"/>
        <v>1408000</v>
      </c>
      <c r="I17" s="150">
        <f t="shared" si="1"/>
        <v>110000</v>
      </c>
      <c r="J17" s="52"/>
      <c r="K17" s="144"/>
      <c r="L17" s="144"/>
      <c r="M17" s="144"/>
      <c r="N17" s="144"/>
      <c r="O17" s="144"/>
      <c r="P17" s="144"/>
      <c r="Q17" s="144"/>
      <c r="R17" s="144"/>
      <c r="S17" s="144"/>
      <c r="T17" s="144"/>
      <c r="U17" s="144"/>
      <c r="V17" s="144"/>
      <c r="W17" s="144"/>
      <c r="X17" s="144"/>
      <c r="Y17" s="144"/>
      <c r="Z17" s="144"/>
    </row>
    <row r="18" spans="1:26" x14ac:dyDescent="0.3">
      <c r="A18" s="24">
        <v>12</v>
      </c>
      <c r="B18" s="149"/>
      <c r="C18" s="151" t="s">
        <v>3858</v>
      </c>
      <c r="D18" s="26" t="s">
        <v>3859</v>
      </c>
      <c r="E18" s="24">
        <v>16</v>
      </c>
      <c r="F18" s="18">
        <v>50400</v>
      </c>
      <c r="G18" s="150">
        <v>6300</v>
      </c>
      <c r="H18" s="18">
        <f t="shared" si="0"/>
        <v>806400</v>
      </c>
      <c r="I18" s="150">
        <f t="shared" si="1"/>
        <v>100800</v>
      </c>
      <c r="J18" s="52"/>
      <c r="K18" s="144"/>
      <c r="L18" s="144"/>
      <c r="M18" s="144"/>
      <c r="N18" s="144"/>
      <c r="O18" s="144"/>
      <c r="P18" s="144"/>
      <c r="Q18" s="144"/>
      <c r="R18" s="144"/>
      <c r="S18" s="144"/>
      <c r="T18" s="144"/>
      <c r="U18" s="144"/>
      <c r="V18" s="144"/>
      <c r="W18" s="144"/>
      <c r="X18" s="144"/>
      <c r="Y18" s="144"/>
      <c r="Z18" s="144"/>
    </row>
    <row r="19" spans="1:26" x14ac:dyDescent="0.3">
      <c r="A19" s="24">
        <v>13</v>
      </c>
      <c r="B19" s="149"/>
      <c r="C19" s="151" t="s">
        <v>3860</v>
      </c>
      <c r="D19" s="26" t="s">
        <v>3861</v>
      </c>
      <c r="E19" s="24">
        <v>14</v>
      </c>
      <c r="F19" s="18">
        <v>50400</v>
      </c>
      <c r="G19" s="150">
        <v>6300</v>
      </c>
      <c r="H19" s="18">
        <f t="shared" si="0"/>
        <v>705600</v>
      </c>
      <c r="I19" s="150">
        <f t="shared" si="1"/>
        <v>88200</v>
      </c>
      <c r="J19" s="52"/>
      <c r="K19" s="144"/>
      <c r="L19" s="144"/>
      <c r="M19" s="144"/>
      <c r="N19" s="144"/>
      <c r="O19" s="144"/>
      <c r="P19" s="144"/>
      <c r="Q19" s="144"/>
      <c r="R19" s="144"/>
      <c r="S19" s="144"/>
      <c r="T19" s="144"/>
      <c r="U19" s="144"/>
      <c r="V19" s="144"/>
      <c r="W19" s="144"/>
      <c r="X19" s="144"/>
      <c r="Y19" s="144"/>
      <c r="Z19" s="144"/>
    </row>
    <row r="20" spans="1:26" x14ac:dyDescent="0.3">
      <c r="A20" s="24">
        <v>14</v>
      </c>
      <c r="B20" s="26" t="s">
        <v>3862</v>
      </c>
      <c r="C20" s="151" t="s">
        <v>3863</v>
      </c>
      <c r="D20" s="26" t="s">
        <v>3864</v>
      </c>
      <c r="E20" s="24">
        <v>5</v>
      </c>
      <c r="F20" s="150">
        <v>18000</v>
      </c>
      <c r="G20" s="18">
        <v>2250</v>
      </c>
      <c r="H20" s="18">
        <f t="shared" si="0"/>
        <v>90000</v>
      </c>
      <c r="I20" s="150">
        <f t="shared" si="1"/>
        <v>11250</v>
      </c>
      <c r="J20" s="52"/>
      <c r="K20" s="144"/>
      <c r="L20" s="144"/>
      <c r="M20" s="144"/>
      <c r="N20" s="144"/>
      <c r="O20" s="144"/>
      <c r="P20" s="144"/>
      <c r="Q20" s="144"/>
      <c r="R20" s="144"/>
      <c r="S20" s="144"/>
      <c r="T20" s="144"/>
      <c r="U20" s="144"/>
      <c r="V20" s="144"/>
      <c r="W20" s="144"/>
      <c r="X20" s="144"/>
      <c r="Y20" s="144"/>
      <c r="Z20" s="144"/>
    </row>
    <row r="21" spans="1:26" x14ac:dyDescent="0.3">
      <c r="A21" s="146"/>
      <c r="B21" s="146"/>
      <c r="C21" s="147" t="s">
        <v>3865</v>
      </c>
      <c r="D21" s="146"/>
      <c r="E21" s="146"/>
      <c r="F21" s="18"/>
      <c r="G21" s="18"/>
      <c r="H21" s="18">
        <f t="shared" si="0"/>
        <v>0</v>
      </c>
      <c r="I21" s="150">
        <f t="shared" si="1"/>
        <v>0</v>
      </c>
      <c r="J21" s="52"/>
      <c r="K21" s="144"/>
      <c r="L21" s="144"/>
      <c r="M21" s="144"/>
      <c r="N21" s="144"/>
      <c r="O21" s="144"/>
      <c r="P21" s="144"/>
      <c r="Q21" s="144"/>
      <c r="R21" s="144"/>
      <c r="S21" s="144"/>
      <c r="T21" s="144"/>
      <c r="U21" s="144"/>
      <c r="V21" s="144"/>
      <c r="W21" s="144"/>
      <c r="X21" s="144"/>
      <c r="Y21" s="144"/>
      <c r="Z21" s="144"/>
    </row>
    <row r="22" spans="1:26" x14ac:dyDescent="0.3">
      <c r="A22" s="24">
        <v>15</v>
      </c>
      <c r="B22" s="149"/>
      <c r="C22" s="149" t="s">
        <v>3866</v>
      </c>
      <c r="D22" s="26" t="s">
        <v>3867</v>
      </c>
      <c r="E22" s="24">
        <v>218</v>
      </c>
      <c r="F22" s="34"/>
      <c r="G22" s="155"/>
      <c r="H22" s="34">
        <f t="shared" si="0"/>
        <v>0</v>
      </c>
      <c r="I22" s="155">
        <f t="shared" si="1"/>
        <v>0</v>
      </c>
      <c r="J22" s="52"/>
      <c r="K22" s="144"/>
      <c r="L22" s="144"/>
      <c r="M22" s="144"/>
      <c r="N22" s="144"/>
      <c r="O22" s="144"/>
      <c r="P22" s="144"/>
      <c r="Q22" s="144"/>
      <c r="R22" s="144"/>
      <c r="S22" s="144"/>
      <c r="T22" s="144"/>
      <c r="U22" s="144"/>
      <c r="V22" s="144"/>
      <c r="W22" s="144"/>
      <c r="X22" s="144"/>
      <c r="Y22" s="144"/>
      <c r="Z22" s="144"/>
    </row>
    <row r="23" spans="1:26" x14ac:dyDescent="0.3">
      <c r="A23" s="148">
        <v>16</v>
      </c>
      <c r="B23" s="17"/>
      <c r="C23" s="151" t="s">
        <v>3868</v>
      </c>
      <c r="D23" s="145" t="s">
        <v>3869</v>
      </c>
      <c r="E23" s="148">
        <v>218</v>
      </c>
      <c r="F23" s="34"/>
      <c r="G23" s="155"/>
      <c r="H23" s="34">
        <f t="shared" si="0"/>
        <v>0</v>
      </c>
      <c r="I23" s="155">
        <f t="shared" si="1"/>
        <v>0</v>
      </c>
      <c r="J23" s="52"/>
      <c r="K23" s="144"/>
      <c r="L23" s="144"/>
      <c r="M23" s="144"/>
      <c r="N23" s="144"/>
      <c r="O23" s="144"/>
      <c r="P23" s="144"/>
      <c r="Q23" s="144"/>
      <c r="R23" s="144"/>
      <c r="S23" s="144"/>
      <c r="T23" s="144"/>
      <c r="U23" s="144"/>
      <c r="V23" s="144"/>
      <c r="W23" s="144"/>
      <c r="X23" s="144"/>
      <c r="Y23" s="144"/>
      <c r="Z23" s="144"/>
    </row>
    <row r="24" spans="1:26" x14ac:dyDescent="0.3">
      <c r="A24" s="24">
        <v>17</v>
      </c>
      <c r="B24" s="149"/>
      <c r="C24" s="149" t="s">
        <v>3870</v>
      </c>
      <c r="D24" s="26" t="s">
        <v>3871</v>
      </c>
      <c r="E24" s="24">
        <v>2</v>
      </c>
      <c r="F24" s="34"/>
      <c r="G24" s="155"/>
      <c r="H24" s="34">
        <f t="shared" si="0"/>
        <v>0</v>
      </c>
      <c r="I24" s="155">
        <f t="shared" si="1"/>
        <v>0</v>
      </c>
      <c r="J24" s="52"/>
      <c r="K24" s="144"/>
      <c r="L24" s="144"/>
      <c r="M24" s="144"/>
      <c r="N24" s="144"/>
      <c r="O24" s="144"/>
      <c r="P24" s="144"/>
      <c r="Q24" s="144"/>
      <c r="R24" s="144"/>
      <c r="S24" s="144"/>
      <c r="T24" s="144"/>
      <c r="U24" s="144"/>
      <c r="V24" s="144"/>
      <c r="W24" s="144"/>
      <c r="X24" s="144"/>
      <c r="Y24" s="144"/>
      <c r="Z24" s="144"/>
    </row>
    <row r="25" spans="1:26" x14ac:dyDescent="0.3">
      <c r="A25" s="146"/>
      <c r="B25" s="146"/>
      <c r="C25" s="147" t="s">
        <v>3872</v>
      </c>
      <c r="D25" s="146"/>
      <c r="E25" s="146"/>
      <c r="F25" s="18"/>
      <c r="G25" s="18"/>
      <c r="H25" s="18">
        <f t="shared" si="0"/>
        <v>0</v>
      </c>
      <c r="I25" s="150">
        <f t="shared" si="1"/>
        <v>0</v>
      </c>
      <c r="J25" s="52"/>
      <c r="K25" s="144"/>
      <c r="L25" s="144"/>
      <c r="M25" s="144"/>
      <c r="N25" s="144"/>
      <c r="O25" s="144"/>
      <c r="P25" s="144"/>
      <c r="Q25" s="144"/>
      <c r="R25" s="144"/>
      <c r="S25" s="144"/>
      <c r="T25" s="144"/>
      <c r="U25" s="144"/>
      <c r="V25" s="144"/>
      <c r="W25" s="144"/>
      <c r="X25" s="144"/>
      <c r="Y25" s="144"/>
      <c r="Z25" s="144"/>
    </row>
    <row r="26" spans="1:26" x14ac:dyDescent="0.3">
      <c r="A26" s="148">
        <v>18</v>
      </c>
      <c r="B26" s="149"/>
      <c r="C26" s="149" t="s">
        <v>3873</v>
      </c>
      <c r="D26" s="145" t="s">
        <v>3874</v>
      </c>
      <c r="E26" s="148">
        <v>116</v>
      </c>
      <c r="F26" s="18">
        <v>42500</v>
      </c>
      <c r="G26" s="150">
        <v>3500</v>
      </c>
      <c r="H26" s="18">
        <f t="shared" si="0"/>
        <v>4930000</v>
      </c>
      <c r="I26" s="150">
        <f t="shared" si="1"/>
        <v>406000</v>
      </c>
      <c r="J26" s="52"/>
      <c r="K26" s="144"/>
      <c r="L26" s="144"/>
      <c r="M26" s="144"/>
      <c r="N26" s="144"/>
      <c r="O26" s="144"/>
      <c r="P26" s="144"/>
      <c r="Q26" s="144"/>
      <c r="R26" s="144"/>
      <c r="S26" s="144"/>
      <c r="T26" s="144"/>
      <c r="U26" s="144"/>
      <c r="V26" s="144"/>
      <c r="W26" s="144"/>
      <c r="X26" s="144"/>
      <c r="Y26" s="144"/>
      <c r="Z26" s="144"/>
    </row>
    <row r="27" spans="1:26" x14ac:dyDescent="0.3">
      <c r="A27" s="148">
        <v>19</v>
      </c>
      <c r="B27" s="149"/>
      <c r="C27" s="149" t="s">
        <v>3875</v>
      </c>
      <c r="D27" s="145" t="s">
        <v>3876</v>
      </c>
      <c r="E27" s="148">
        <v>5</v>
      </c>
      <c r="F27" s="18">
        <v>21250</v>
      </c>
      <c r="G27" s="150">
        <v>2500</v>
      </c>
      <c r="H27" s="18">
        <f t="shared" si="0"/>
        <v>106250</v>
      </c>
      <c r="I27" s="150">
        <f t="shared" si="1"/>
        <v>12500</v>
      </c>
      <c r="J27" s="52"/>
      <c r="K27" s="144"/>
      <c r="L27" s="144"/>
      <c r="M27" s="144"/>
      <c r="N27" s="144"/>
      <c r="O27" s="144"/>
      <c r="P27" s="144"/>
      <c r="Q27" s="144"/>
      <c r="R27" s="144"/>
      <c r="S27" s="144"/>
      <c r="T27" s="144"/>
      <c r="U27" s="144"/>
      <c r="V27" s="144"/>
      <c r="W27" s="144"/>
      <c r="X27" s="144"/>
      <c r="Y27" s="144"/>
      <c r="Z27" s="144"/>
    </row>
    <row r="28" spans="1:26" x14ac:dyDescent="0.3">
      <c r="A28" s="157"/>
      <c r="B28" s="158"/>
      <c r="C28" s="244" t="s">
        <v>3877</v>
      </c>
      <c r="D28" s="220"/>
      <c r="E28" s="220"/>
      <c r="F28" s="220"/>
      <c r="G28" s="221"/>
      <c r="H28" s="159"/>
      <c r="I28" s="159"/>
      <c r="J28" s="52"/>
      <c r="K28" s="144"/>
      <c r="L28" s="144"/>
      <c r="M28" s="144"/>
      <c r="N28" s="144"/>
      <c r="O28" s="144"/>
      <c r="P28" s="144"/>
      <c r="Q28" s="144"/>
      <c r="R28" s="144"/>
      <c r="S28" s="144"/>
      <c r="T28" s="144"/>
      <c r="U28" s="144"/>
      <c r="V28" s="144"/>
      <c r="W28" s="144"/>
      <c r="X28" s="144"/>
      <c r="Y28" s="144"/>
      <c r="Z28" s="144"/>
    </row>
    <row r="29" spans="1:26" x14ac:dyDescent="0.3">
      <c r="A29" s="17"/>
      <c r="B29" s="17"/>
      <c r="C29" s="245" t="s">
        <v>3878</v>
      </c>
      <c r="D29" s="220"/>
      <c r="E29" s="221"/>
      <c r="F29" s="18"/>
      <c r="G29" s="18"/>
      <c r="H29" s="246">
        <v>115651428.23999999</v>
      </c>
      <c r="I29" s="221"/>
      <c r="J29" s="52"/>
      <c r="K29" s="144"/>
      <c r="L29" s="144"/>
      <c r="M29" s="144"/>
      <c r="N29" s="144"/>
      <c r="O29" s="144"/>
      <c r="P29" s="144"/>
      <c r="Q29" s="144"/>
      <c r="R29" s="144"/>
      <c r="S29" s="144"/>
      <c r="T29" s="144"/>
      <c r="U29" s="144"/>
      <c r="V29" s="144"/>
      <c r="W29" s="144"/>
      <c r="X29" s="144"/>
      <c r="Y29" s="144"/>
      <c r="Z29" s="144"/>
    </row>
    <row r="30" spans="1:26" x14ac:dyDescent="0.3">
      <c r="A30" s="144"/>
      <c r="B30" s="144"/>
      <c r="C30" s="144"/>
      <c r="D30" s="144"/>
      <c r="E30" s="144"/>
      <c r="F30" s="52"/>
      <c r="G30" s="52"/>
      <c r="H30" s="52"/>
      <c r="I30" s="52"/>
      <c r="J30" s="52"/>
      <c r="K30" s="144"/>
      <c r="L30" s="144"/>
      <c r="M30" s="144"/>
      <c r="N30" s="144"/>
      <c r="O30" s="144"/>
      <c r="P30" s="144"/>
      <c r="Q30" s="144"/>
      <c r="R30" s="144"/>
      <c r="S30" s="144"/>
      <c r="T30" s="144"/>
      <c r="U30" s="144"/>
      <c r="V30" s="144"/>
      <c r="W30" s="144"/>
      <c r="X30" s="144"/>
      <c r="Y30" s="144"/>
      <c r="Z30" s="144"/>
    </row>
    <row r="31" spans="1:26" x14ac:dyDescent="0.3">
      <c r="A31" s="144"/>
      <c r="B31" s="144"/>
      <c r="C31" s="144"/>
      <c r="D31" s="144"/>
      <c r="E31" s="144"/>
      <c r="F31" s="52"/>
      <c r="G31" s="52"/>
      <c r="H31" s="52"/>
      <c r="I31" s="52"/>
      <c r="J31" s="52"/>
      <c r="K31" s="144"/>
      <c r="L31" s="144"/>
      <c r="M31" s="144"/>
      <c r="N31" s="144"/>
      <c r="O31" s="144"/>
      <c r="P31" s="144"/>
      <c r="Q31" s="144"/>
      <c r="R31" s="144"/>
      <c r="S31" s="144"/>
      <c r="T31" s="144"/>
      <c r="U31" s="144"/>
      <c r="V31" s="144"/>
      <c r="W31" s="144"/>
      <c r="X31" s="144"/>
      <c r="Y31" s="144"/>
      <c r="Z31" s="144"/>
    </row>
    <row r="32" spans="1:26" x14ac:dyDescent="0.3">
      <c r="A32" s="144"/>
      <c r="B32" s="144"/>
      <c r="C32" s="144"/>
      <c r="D32" s="144"/>
      <c r="E32" s="144"/>
      <c r="F32" s="52"/>
      <c r="G32" s="52"/>
      <c r="H32" s="52"/>
      <c r="I32" s="52"/>
      <c r="J32" s="52"/>
      <c r="K32" s="144"/>
      <c r="L32" s="144"/>
      <c r="M32" s="144"/>
      <c r="N32" s="144"/>
      <c r="O32" s="144"/>
      <c r="P32" s="144"/>
      <c r="Q32" s="144"/>
      <c r="R32" s="144"/>
      <c r="S32" s="144"/>
      <c r="T32" s="144"/>
      <c r="U32" s="144"/>
      <c r="V32" s="144"/>
      <c r="W32" s="144"/>
      <c r="X32" s="144"/>
      <c r="Y32" s="144"/>
      <c r="Z32" s="144"/>
    </row>
    <row r="33" spans="1:26" x14ac:dyDescent="0.3">
      <c r="A33" s="144"/>
      <c r="B33" s="144"/>
      <c r="C33" s="144"/>
      <c r="D33" s="144"/>
      <c r="E33" s="144"/>
      <c r="F33" s="52"/>
      <c r="G33" s="52"/>
      <c r="H33" s="52"/>
      <c r="I33" s="52"/>
      <c r="J33" s="52"/>
      <c r="K33" s="144"/>
      <c r="L33" s="144"/>
      <c r="M33" s="144"/>
      <c r="N33" s="144"/>
      <c r="O33" s="144"/>
      <c r="P33" s="144"/>
      <c r="Q33" s="144"/>
      <c r="R33" s="144"/>
      <c r="S33" s="144"/>
      <c r="T33" s="144"/>
      <c r="U33" s="144"/>
      <c r="V33" s="144"/>
      <c r="W33" s="144"/>
      <c r="X33" s="144"/>
      <c r="Y33" s="144"/>
      <c r="Z33" s="144"/>
    </row>
    <row r="34" spans="1:26" x14ac:dyDescent="0.3">
      <c r="A34" s="144"/>
      <c r="B34" s="144"/>
      <c r="C34" s="144"/>
      <c r="D34" s="144"/>
      <c r="E34" s="144"/>
      <c r="F34" s="52"/>
      <c r="G34" s="52"/>
      <c r="H34" s="52"/>
      <c r="I34" s="52"/>
      <c r="J34" s="52"/>
      <c r="K34" s="144"/>
      <c r="L34" s="144"/>
      <c r="M34" s="144"/>
      <c r="N34" s="144"/>
      <c r="O34" s="144"/>
      <c r="P34" s="144"/>
      <c r="Q34" s="144"/>
      <c r="R34" s="144"/>
      <c r="S34" s="144"/>
      <c r="T34" s="144"/>
      <c r="U34" s="144"/>
      <c r="V34" s="144"/>
      <c r="W34" s="144"/>
      <c r="X34" s="144"/>
      <c r="Y34" s="144"/>
      <c r="Z34" s="144"/>
    </row>
    <row r="35" spans="1:26" x14ac:dyDescent="0.3">
      <c r="A35" s="144"/>
      <c r="B35" s="144"/>
      <c r="C35" s="144"/>
      <c r="D35" s="144"/>
      <c r="E35" s="144"/>
      <c r="F35" s="52"/>
      <c r="G35" s="52"/>
      <c r="H35" s="52"/>
      <c r="I35" s="52"/>
      <c r="J35" s="52"/>
      <c r="K35" s="144"/>
      <c r="L35" s="144"/>
      <c r="M35" s="144"/>
      <c r="N35" s="144"/>
      <c r="O35" s="144"/>
      <c r="P35" s="144"/>
      <c r="Q35" s="144"/>
      <c r="R35" s="144"/>
      <c r="S35" s="144"/>
      <c r="T35" s="144"/>
      <c r="U35" s="144"/>
      <c r="V35" s="144"/>
      <c r="W35" s="144"/>
      <c r="X35" s="144"/>
      <c r="Y35" s="144"/>
      <c r="Z35" s="144"/>
    </row>
    <row r="36" spans="1:26" x14ac:dyDescent="0.3">
      <c r="A36" s="144"/>
      <c r="B36" s="144"/>
      <c r="C36" s="144"/>
      <c r="D36" s="144"/>
      <c r="E36" s="144"/>
      <c r="F36" s="52"/>
      <c r="G36" s="52"/>
      <c r="H36" s="52"/>
      <c r="I36" s="52"/>
      <c r="J36" s="52"/>
      <c r="K36" s="144"/>
      <c r="L36" s="144"/>
      <c r="M36" s="144"/>
      <c r="N36" s="144"/>
      <c r="O36" s="144"/>
      <c r="P36" s="144"/>
      <c r="Q36" s="144"/>
      <c r="R36" s="144"/>
      <c r="S36" s="144"/>
      <c r="T36" s="144"/>
      <c r="U36" s="144"/>
      <c r="V36" s="144"/>
      <c r="W36" s="144"/>
      <c r="X36" s="144"/>
      <c r="Y36" s="144"/>
      <c r="Z36" s="144"/>
    </row>
    <row r="37" spans="1:26" x14ac:dyDescent="0.3">
      <c r="A37" s="144"/>
      <c r="B37" s="144"/>
      <c r="C37" s="144"/>
      <c r="D37" s="144"/>
      <c r="E37" s="144"/>
      <c r="F37" s="52"/>
      <c r="G37" s="52"/>
      <c r="H37" s="52"/>
      <c r="I37" s="52"/>
      <c r="J37" s="52"/>
      <c r="K37" s="144"/>
      <c r="L37" s="144"/>
      <c r="M37" s="144"/>
      <c r="N37" s="144"/>
      <c r="O37" s="144"/>
      <c r="P37" s="144"/>
      <c r="Q37" s="144"/>
      <c r="R37" s="144"/>
      <c r="S37" s="144"/>
      <c r="T37" s="144"/>
      <c r="U37" s="144"/>
      <c r="V37" s="144"/>
      <c r="W37" s="144"/>
      <c r="X37" s="144"/>
      <c r="Y37" s="144"/>
      <c r="Z37" s="144"/>
    </row>
    <row r="38" spans="1:26" x14ac:dyDescent="0.3">
      <c r="A38" s="144"/>
      <c r="B38" s="144"/>
      <c r="C38" s="144"/>
      <c r="D38" s="144"/>
      <c r="E38" s="144"/>
      <c r="F38" s="52"/>
      <c r="G38" s="52"/>
      <c r="H38" s="52"/>
      <c r="I38" s="52"/>
      <c r="J38" s="52"/>
      <c r="K38" s="144"/>
      <c r="L38" s="144"/>
      <c r="M38" s="144"/>
      <c r="N38" s="144"/>
      <c r="O38" s="144"/>
      <c r="P38" s="144"/>
      <c r="Q38" s="144"/>
      <c r="R38" s="144"/>
      <c r="S38" s="144"/>
      <c r="T38" s="144"/>
      <c r="U38" s="144"/>
      <c r="V38" s="144"/>
      <c r="W38" s="144"/>
      <c r="X38" s="144"/>
      <c r="Y38" s="144"/>
      <c r="Z38" s="144"/>
    </row>
    <row r="39" spans="1:26" x14ac:dyDescent="0.3">
      <c r="A39" s="144"/>
      <c r="B39" s="144"/>
      <c r="C39" s="144"/>
      <c r="D39" s="144"/>
      <c r="E39" s="144"/>
      <c r="F39" s="52"/>
      <c r="G39" s="52"/>
      <c r="H39" s="52"/>
      <c r="I39" s="52"/>
      <c r="J39" s="52"/>
      <c r="K39" s="144"/>
      <c r="L39" s="144"/>
      <c r="M39" s="144"/>
      <c r="N39" s="144"/>
      <c r="O39" s="144"/>
      <c r="P39" s="144"/>
      <c r="Q39" s="144"/>
      <c r="R39" s="144"/>
      <c r="S39" s="144"/>
      <c r="T39" s="144"/>
      <c r="U39" s="144"/>
      <c r="V39" s="144"/>
      <c r="W39" s="144"/>
      <c r="X39" s="144"/>
      <c r="Y39" s="144"/>
      <c r="Z39" s="144"/>
    </row>
    <row r="40" spans="1:26" x14ac:dyDescent="0.3">
      <c r="A40" s="144"/>
      <c r="B40" s="144"/>
      <c r="C40" s="144"/>
      <c r="D40" s="144"/>
      <c r="E40" s="144"/>
      <c r="F40" s="52"/>
      <c r="G40" s="52"/>
      <c r="H40" s="52"/>
      <c r="I40" s="52"/>
      <c r="J40" s="52"/>
      <c r="K40" s="144"/>
      <c r="L40" s="144"/>
      <c r="M40" s="144"/>
      <c r="N40" s="144"/>
      <c r="O40" s="144"/>
      <c r="P40" s="144"/>
      <c r="Q40" s="144"/>
      <c r="R40" s="144"/>
      <c r="S40" s="144"/>
      <c r="T40" s="144"/>
      <c r="U40" s="144"/>
      <c r="V40" s="144"/>
      <c r="W40" s="144"/>
      <c r="X40" s="144"/>
      <c r="Y40" s="144"/>
      <c r="Z40" s="144"/>
    </row>
    <row r="41" spans="1:26" x14ac:dyDescent="0.3">
      <c r="A41" s="144"/>
      <c r="B41" s="144"/>
      <c r="C41" s="144"/>
      <c r="D41" s="144"/>
      <c r="E41" s="144"/>
      <c r="F41" s="52"/>
      <c r="G41" s="52"/>
      <c r="H41" s="52"/>
      <c r="I41" s="52"/>
      <c r="J41" s="52"/>
      <c r="K41" s="144"/>
      <c r="L41" s="144"/>
      <c r="M41" s="144"/>
      <c r="N41" s="144"/>
      <c r="O41" s="144"/>
      <c r="P41" s="144"/>
      <c r="Q41" s="144"/>
      <c r="R41" s="144"/>
      <c r="S41" s="144"/>
      <c r="T41" s="144"/>
      <c r="U41" s="144"/>
      <c r="V41" s="144"/>
      <c r="W41" s="144"/>
      <c r="X41" s="144"/>
      <c r="Y41" s="144"/>
      <c r="Z41" s="144"/>
    </row>
    <row r="42" spans="1:26" x14ac:dyDescent="0.3">
      <c r="A42" s="144"/>
      <c r="B42" s="144"/>
      <c r="C42" s="144"/>
      <c r="D42" s="144"/>
      <c r="E42" s="144"/>
      <c r="F42" s="52"/>
      <c r="G42" s="52"/>
      <c r="H42" s="52"/>
      <c r="I42" s="52"/>
      <c r="J42" s="52"/>
      <c r="K42" s="144"/>
      <c r="L42" s="144"/>
      <c r="M42" s="144"/>
      <c r="N42" s="144"/>
      <c r="O42" s="144"/>
      <c r="P42" s="144"/>
      <c r="Q42" s="144"/>
      <c r="R42" s="144"/>
      <c r="S42" s="144"/>
      <c r="T42" s="144"/>
      <c r="U42" s="144"/>
      <c r="V42" s="144"/>
      <c r="W42" s="144"/>
      <c r="X42" s="144"/>
      <c r="Y42" s="144"/>
      <c r="Z42" s="144"/>
    </row>
    <row r="43" spans="1:26" x14ac:dyDescent="0.3">
      <c r="A43" s="144"/>
      <c r="B43" s="144"/>
      <c r="C43" s="144"/>
      <c r="D43" s="144"/>
      <c r="E43" s="144"/>
      <c r="F43" s="52"/>
      <c r="G43" s="52"/>
      <c r="H43" s="52"/>
      <c r="I43" s="52"/>
      <c r="J43" s="52"/>
      <c r="K43" s="144"/>
      <c r="L43" s="144"/>
      <c r="M43" s="144"/>
      <c r="N43" s="144"/>
      <c r="O43" s="144"/>
      <c r="P43" s="144"/>
      <c r="Q43" s="144"/>
      <c r="R43" s="144"/>
      <c r="S43" s="144"/>
      <c r="T43" s="144"/>
      <c r="U43" s="144"/>
      <c r="V43" s="144"/>
      <c r="W43" s="144"/>
      <c r="X43" s="144"/>
      <c r="Y43" s="144"/>
      <c r="Z43" s="144"/>
    </row>
    <row r="44" spans="1:26" x14ac:dyDescent="0.3">
      <c r="A44" s="144"/>
      <c r="B44" s="144"/>
      <c r="C44" s="144"/>
      <c r="D44" s="144"/>
      <c r="E44" s="144"/>
      <c r="F44" s="52"/>
      <c r="G44" s="52"/>
      <c r="H44" s="52"/>
      <c r="I44" s="52"/>
      <c r="J44" s="52"/>
      <c r="K44" s="144"/>
      <c r="L44" s="144"/>
      <c r="M44" s="144"/>
      <c r="N44" s="144"/>
      <c r="O44" s="144"/>
      <c r="P44" s="144"/>
      <c r="Q44" s="144"/>
      <c r="R44" s="144"/>
      <c r="S44" s="144"/>
      <c r="T44" s="144"/>
      <c r="U44" s="144"/>
      <c r="V44" s="144"/>
      <c r="W44" s="144"/>
      <c r="X44" s="144"/>
      <c r="Y44" s="144"/>
      <c r="Z44" s="144"/>
    </row>
    <row r="45" spans="1:26" x14ac:dyDescent="0.3">
      <c r="A45" s="144"/>
      <c r="B45" s="144"/>
      <c r="C45" s="144"/>
      <c r="D45" s="144"/>
      <c r="E45" s="144"/>
      <c r="F45" s="52"/>
      <c r="G45" s="52"/>
      <c r="H45" s="52"/>
      <c r="I45" s="52"/>
      <c r="J45" s="52"/>
      <c r="K45" s="144"/>
      <c r="L45" s="144"/>
      <c r="M45" s="144"/>
      <c r="N45" s="144"/>
      <c r="O45" s="144"/>
      <c r="P45" s="144"/>
      <c r="Q45" s="144"/>
      <c r="R45" s="144"/>
      <c r="S45" s="144"/>
      <c r="T45" s="144"/>
      <c r="U45" s="144"/>
      <c r="V45" s="144"/>
      <c r="W45" s="144"/>
      <c r="X45" s="144"/>
      <c r="Y45" s="144"/>
      <c r="Z45" s="144"/>
    </row>
    <row r="46" spans="1:26" x14ac:dyDescent="0.3">
      <c r="A46" s="144"/>
      <c r="B46" s="144"/>
      <c r="C46" s="144"/>
      <c r="D46" s="144"/>
      <c r="E46" s="144"/>
      <c r="F46" s="52"/>
      <c r="G46" s="52"/>
      <c r="H46" s="52"/>
      <c r="I46" s="52"/>
      <c r="J46" s="52"/>
      <c r="K46" s="144"/>
      <c r="L46" s="144"/>
      <c r="M46" s="144"/>
      <c r="N46" s="144"/>
      <c r="O46" s="144"/>
      <c r="P46" s="144"/>
      <c r="Q46" s="144"/>
      <c r="R46" s="144"/>
      <c r="S46" s="144"/>
      <c r="T46" s="144"/>
      <c r="U46" s="144"/>
      <c r="V46" s="144"/>
      <c r="W46" s="144"/>
      <c r="X46" s="144"/>
      <c r="Y46" s="144"/>
      <c r="Z46" s="144"/>
    </row>
    <row r="47" spans="1:26" x14ac:dyDescent="0.3">
      <c r="A47" s="144"/>
      <c r="B47" s="144"/>
      <c r="C47" s="144"/>
      <c r="D47" s="144"/>
      <c r="E47" s="144"/>
      <c r="F47" s="52"/>
      <c r="G47" s="52"/>
      <c r="H47" s="52"/>
      <c r="I47" s="52"/>
      <c r="J47" s="52"/>
      <c r="K47" s="144"/>
      <c r="L47" s="144"/>
      <c r="M47" s="144"/>
      <c r="N47" s="144"/>
      <c r="O47" s="144"/>
      <c r="P47" s="144"/>
      <c r="Q47" s="144"/>
      <c r="R47" s="144"/>
      <c r="S47" s="144"/>
      <c r="T47" s="144"/>
      <c r="U47" s="144"/>
      <c r="V47" s="144"/>
      <c r="W47" s="144"/>
      <c r="X47" s="144"/>
      <c r="Y47" s="144"/>
      <c r="Z47" s="144"/>
    </row>
    <row r="48" spans="1:26" x14ac:dyDescent="0.3">
      <c r="A48" s="144"/>
      <c r="B48" s="144"/>
      <c r="C48" s="144"/>
      <c r="D48" s="144"/>
      <c r="E48" s="144"/>
      <c r="F48" s="52"/>
      <c r="G48" s="52"/>
      <c r="H48" s="52"/>
      <c r="I48" s="52"/>
      <c r="J48" s="52"/>
      <c r="K48" s="144"/>
      <c r="L48" s="144"/>
      <c r="M48" s="144"/>
      <c r="N48" s="144"/>
      <c r="O48" s="144"/>
      <c r="P48" s="144"/>
      <c r="Q48" s="144"/>
      <c r="R48" s="144"/>
      <c r="S48" s="144"/>
      <c r="T48" s="144"/>
      <c r="U48" s="144"/>
      <c r="V48" s="144"/>
      <c r="W48" s="144"/>
      <c r="X48" s="144"/>
      <c r="Y48" s="144"/>
      <c r="Z48" s="144"/>
    </row>
    <row r="49" spans="1:26" x14ac:dyDescent="0.3">
      <c r="A49" s="144"/>
      <c r="B49" s="144"/>
      <c r="C49" s="144"/>
      <c r="D49" s="144"/>
      <c r="E49" s="144"/>
      <c r="F49" s="52"/>
      <c r="G49" s="52"/>
      <c r="H49" s="52"/>
      <c r="I49" s="52"/>
      <c r="J49" s="52"/>
      <c r="K49" s="144"/>
      <c r="L49" s="144"/>
      <c r="M49" s="144"/>
      <c r="N49" s="144"/>
      <c r="O49" s="144"/>
      <c r="P49" s="144"/>
      <c r="Q49" s="144"/>
      <c r="R49" s="144"/>
      <c r="S49" s="144"/>
      <c r="T49" s="144"/>
      <c r="U49" s="144"/>
      <c r="V49" s="144"/>
      <c r="W49" s="144"/>
      <c r="X49" s="144"/>
      <c r="Y49" s="144"/>
      <c r="Z49" s="144"/>
    </row>
    <row r="50" spans="1:26" x14ac:dyDescent="0.3">
      <c r="A50" s="144"/>
      <c r="B50" s="144"/>
      <c r="C50" s="144"/>
      <c r="D50" s="144"/>
      <c r="E50" s="144"/>
      <c r="F50" s="52"/>
      <c r="G50" s="52"/>
      <c r="H50" s="52"/>
      <c r="I50" s="52"/>
      <c r="J50" s="52"/>
      <c r="K50" s="144"/>
      <c r="L50" s="144"/>
      <c r="M50" s="144"/>
      <c r="N50" s="144"/>
      <c r="O50" s="144"/>
      <c r="P50" s="144"/>
      <c r="Q50" s="144"/>
      <c r="R50" s="144"/>
      <c r="S50" s="144"/>
      <c r="T50" s="144"/>
      <c r="U50" s="144"/>
      <c r="V50" s="144"/>
      <c r="W50" s="144"/>
      <c r="X50" s="144"/>
      <c r="Y50" s="144"/>
      <c r="Z50" s="144"/>
    </row>
    <row r="51" spans="1:26" x14ac:dyDescent="0.3">
      <c r="A51" s="144"/>
      <c r="B51" s="144"/>
      <c r="C51" s="144"/>
      <c r="D51" s="144"/>
      <c r="E51" s="144"/>
      <c r="F51" s="52"/>
      <c r="G51" s="52"/>
      <c r="H51" s="52"/>
      <c r="I51" s="52"/>
      <c r="J51" s="52"/>
      <c r="K51" s="144"/>
      <c r="L51" s="144"/>
      <c r="M51" s="144"/>
      <c r="N51" s="144"/>
      <c r="O51" s="144"/>
      <c r="P51" s="144"/>
      <c r="Q51" s="144"/>
      <c r="R51" s="144"/>
      <c r="S51" s="144"/>
      <c r="T51" s="144"/>
      <c r="U51" s="144"/>
      <c r="V51" s="144"/>
      <c r="W51" s="144"/>
      <c r="X51" s="144"/>
      <c r="Y51" s="144"/>
      <c r="Z51" s="144"/>
    </row>
    <row r="52" spans="1:26" x14ac:dyDescent="0.3">
      <c r="A52" s="144"/>
      <c r="B52" s="144"/>
      <c r="C52" s="144"/>
      <c r="D52" s="144"/>
      <c r="E52" s="144"/>
      <c r="F52" s="52"/>
      <c r="G52" s="52"/>
      <c r="H52" s="52"/>
      <c r="I52" s="52"/>
      <c r="J52" s="52"/>
      <c r="K52" s="144"/>
      <c r="L52" s="144"/>
      <c r="M52" s="144"/>
      <c r="N52" s="144"/>
      <c r="O52" s="144"/>
      <c r="P52" s="144"/>
      <c r="Q52" s="144"/>
      <c r="R52" s="144"/>
      <c r="S52" s="144"/>
      <c r="T52" s="144"/>
      <c r="U52" s="144"/>
      <c r="V52" s="144"/>
      <c r="W52" s="144"/>
      <c r="X52" s="144"/>
      <c r="Y52" s="144"/>
      <c r="Z52" s="144"/>
    </row>
    <row r="53" spans="1:26" x14ac:dyDescent="0.3">
      <c r="A53" s="144"/>
      <c r="B53" s="144"/>
      <c r="C53" s="144"/>
      <c r="D53" s="144"/>
      <c r="E53" s="144"/>
      <c r="F53" s="52"/>
      <c r="G53" s="52"/>
      <c r="H53" s="52"/>
      <c r="I53" s="52"/>
      <c r="J53" s="52"/>
      <c r="K53" s="144"/>
      <c r="L53" s="144"/>
      <c r="M53" s="144"/>
      <c r="N53" s="144"/>
      <c r="O53" s="144"/>
      <c r="P53" s="144"/>
      <c r="Q53" s="144"/>
      <c r="R53" s="144"/>
      <c r="S53" s="144"/>
      <c r="T53" s="144"/>
      <c r="U53" s="144"/>
      <c r="V53" s="144"/>
      <c r="W53" s="144"/>
      <c r="X53" s="144"/>
      <c r="Y53" s="144"/>
      <c r="Z53" s="144"/>
    </row>
    <row r="54" spans="1:26" x14ac:dyDescent="0.3">
      <c r="A54" s="144"/>
      <c r="B54" s="144"/>
      <c r="C54" s="144"/>
      <c r="D54" s="144"/>
      <c r="E54" s="144"/>
      <c r="F54" s="52"/>
      <c r="G54" s="52"/>
      <c r="H54" s="52"/>
      <c r="I54" s="52"/>
      <c r="J54" s="52"/>
      <c r="K54" s="144"/>
      <c r="L54" s="144"/>
      <c r="M54" s="144"/>
      <c r="N54" s="144"/>
      <c r="O54" s="144"/>
      <c r="P54" s="144"/>
      <c r="Q54" s="144"/>
      <c r="R54" s="144"/>
      <c r="S54" s="144"/>
      <c r="T54" s="144"/>
      <c r="U54" s="144"/>
      <c r="V54" s="144"/>
      <c r="W54" s="144"/>
      <c r="X54" s="144"/>
      <c r="Y54" s="144"/>
      <c r="Z54" s="144"/>
    </row>
    <row r="55" spans="1:26" x14ac:dyDescent="0.3">
      <c r="A55" s="144"/>
      <c r="B55" s="144"/>
      <c r="C55" s="144"/>
      <c r="D55" s="144"/>
      <c r="E55" s="144"/>
      <c r="F55" s="52"/>
      <c r="G55" s="52"/>
      <c r="H55" s="52"/>
      <c r="I55" s="52"/>
      <c r="J55" s="52"/>
      <c r="K55" s="144"/>
      <c r="L55" s="144"/>
      <c r="M55" s="144"/>
      <c r="N55" s="144"/>
      <c r="O55" s="144"/>
      <c r="P55" s="144"/>
      <c r="Q55" s="144"/>
      <c r="R55" s="144"/>
      <c r="S55" s="144"/>
      <c r="T55" s="144"/>
      <c r="U55" s="144"/>
      <c r="V55" s="144"/>
      <c r="W55" s="144"/>
      <c r="X55" s="144"/>
      <c r="Y55" s="144"/>
      <c r="Z55" s="144"/>
    </row>
    <row r="56" spans="1:26" x14ac:dyDescent="0.3">
      <c r="A56" s="144"/>
      <c r="B56" s="144"/>
      <c r="C56" s="144"/>
      <c r="D56" s="144"/>
      <c r="E56" s="144"/>
      <c r="F56" s="52"/>
      <c r="G56" s="52"/>
      <c r="H56" s="52"/>
      <c r="I56" s="52"/>
      <c r="J56" s="52"/>
      <c r="K56" s="144"/>
      <c r="L56" s="144"/>
      <c r="M56" s="144"/>
      <c r="N56" s="144"/>
      <c r="O56" s="144"/>
      <c r="P56" s="144"/>
      <c r="Q56" s="144"/>
      <c r="R56" s="144"/>
      <c r="S56" s="144"/>
      <c r="T56" s="144"/>
      <c r="U56" s="144"/>
      <c r="V56" s="144"/>
      <c r="W56" s="144"/>
      <c r="X56" s="144"/>
      <c r="Y56" s="144"/>
      <c r="Z56" s="144"/>
    </row>
    <row r="57" spans="1:26" x14ac:dyDescent="0.3">
      <c r="A57" s="144"/>
      <c r="B57" s="144"/>
      <c r="C57" s="144"/>
      <c r="D57" s="144"/>
      <c r="E57" s="144"/>
      <c r="F57" s="52"/>
      <c r="G57" s="52"/>
      <c r="H57" s="52"/>
      <c r="I57" s="52"/>
      <c r="J57" s="52"/>
      <c r="K57" s="144"/>
      <c r="L57" s="144"/>
      <c r="M57" s="144"/>
      <c r="N57" s="144"/>
      <c r="O57" s="144"/>
      <c r="P57" s="144"/>
      <c r="Q57" s="144"/>
      <c r="R57" s="144"/>
      <c r="S57" s="144"/>
      <c r="T57" s="144"/>
      <c r="U57" s="144"/>
      <c r="V57" s="144"/>
      <c r="W57" s="144"/>
      <c r="X57" s="144"/>
      <c r="Y57" s="144"/>
      <c r="Z57" s="144"/>
    </row>
    <row r="58" spans="1:26" x14ac:dyDescent="0.3">
      <c r="A58" s="144"/>
      <c r="B58" s="144"/>
      <c r="C58" s="144"/>
      <c r="D58" s="144"/>
      <c r="E58" s="144"/>
      <c r="F58" s="52"/>
      <c r="G58" s="52"/>
      <c r="H58" s="52"/>
      <c r="I58" s="52"/>
      <c r="J58" s="52"/>
      <c r="K58" s="144"/>
      <c r="L58" s="144"/>
      <c r="M58" s="144"/>
      <c r="N58" s="144"/>
      <c r="O58" s="144"/>
      <c r="P58" s="144"/>
      <c r="Q58" s="144"/>
      <c r="R58" s="144"/>
      <c r="S58" s="144"/>
      <c r="T58" s="144"/>
      <c r="U58" s="144"/>
      <c r="V58" s="144"/>
      <c r="W58" s="144"/>
      <c r="X58" s="144"/>
      <c r="Y58" s="144"/>
      <c r="Z58" s="144"/>
    </row>
    <row r="59" spans="1:26" x14ac:dyDescent="0.3">
      <c r="A59" s="144"/>
      <c r="B59" s="144"/>
      <c r="C59" s="144"/>
      <c r="D59" s="144"/>
      <c r="E59" s="144"/>
      <c r="F59" s="52"/>
      <c r="G59" s="52"/>
      <c r="H59" s="52"/>
      <c r="I59" s="52"/>
      <c r="J59" s="52"/>
      <c r="K59" s="144"/>
      <c r="L59" s="144"/>
      <c r="M59" s="144"/>
      <c r="N59" s="144"/>
      <c r="O59" s="144"/>
      <c r="P59" s="144"/>
      <c r="Q59" s="144"/>
      <c r="R59" s="144"/>
      <c r="S59" s="144"/>
      <c r="T59" s="144"/>
      <c r="U59" s="144"/>
      <c r="V59" s="144"/>
      <c r="W59" s="144"/>
      <c r="X59" s="144"/>
      <c r="Y59" s="144"/>
      <c r="Z59" s="144"/>
    </row>
    <row r="60" spans="1:26" x14ac:dyDescent="0.3">
      <c r="A60" s="144"/>
      <c r="B60" s="144"/>
      <c r="C60" s="144"/>
      <c r="D60" s="144"/>
      <c r="E60" s="144"/>
      <c r="F60" s="52"/>
      <c r="G60" s="52"/>
      <c r="H60" s="52"/>
      <c r="I60" s="52"/>
      <c r="J60" s="52"/>
      <c r="K60" s="144"/>
      <c r="L60" s="144"/>
      <c r="M60" s="144"/>
      <c r="N60" s="144"/>
      <c r="O60" s="144"/>
      <c r="P60" s="144"/>
      <c r="Q60" s="144"/>
      <c r="R60" s="144"/>
      <c r="S60" s="144"/>
      <c r="T60" s="144"/>
      <c r="U60" s="144"/>
      <c r="V60" s="144"/>
      <c r="W60" s="144"/>
      <c r="X60" s="144"/>
      <c r="Y60" s="144"/>
      <c r="Z60" s="144"/>
    </row>
    <row r="61" spans="1:26" x14ac:dyDescent="0.3">
      <c r="A61" s="144"/>
      <c r="B61" s="144"/>
      <c r="C61" s="144"/>
      <c r="D61" s="144"/>
      <c r="E61" s="144"/>
      <c r="F61" s="52"/>
      <c r="G61" s="52"/>
      <c r="H61" s="52"/>
      <c r="I61" s="52"/>
      <c r="J61" s="52"/>
      <c r="K61" s="144"/>
      <c r="L61" s="144"/>
      <c r="M61" s="144"/>
      <c r="N61" s="144"/>
      <c r="O61" s="144"/>
      <c r="P61" s="144"/>
      <c r="Q61" s="144"/>
      <c r="R61" s="144"/>
      <c r="S61" s="144"/>
      <c r="T61" s="144"/>
      <c r="U61" s="144"/>
      <c r="V61" s="144"/>
      <c r="W61" s="144"/>
      <c r="X61" s="144"/>
      <c r="Y61" s="144"/>
      <c r="Z61" s="144"/>
    </row>
    <row r="62" spans="1:26" x14ac:dyDescent="0.3">
      <c r="A62" s="144"/>
      <c r="B62" s="144"/>
      <c r="C62" s="144"/>
      <c r="D62" s="144"/>
      <c r="E62" s="144"/>
      <c r="F62" s="52"/>
      <c r="G62" s="52"/>
      <c r="H62" s="52"/>
      <c r="I62" s="52"/>
      <c r="J62" s="52"/>
      <c r="K62" s="144"/>
      <c r="L62" s="144"/>
      <c r="M62" s="144"/>
      <c r="N62" s="144"/>
      <c r="O62" s="144"/>
      <c r="P62" s="144"/>
      <c r="Q62" s="144"/>
      <c r="R62" s="144"/>
      <c r="S62" s="144"/>
      <c r="T62" s="144"/>
      <c r="U62" s="144"/>
      <c r="V62" s="144"/>
      <c r="W62" s="144"/>
      <c r="X62" s="144"/>
      <c r="Y62" s="144"/>
      <c r="Z62" s="144"/>
    </row>
    <row r="63" spans="1:26" x14ac:dyDescent="0.3">
      <c r="A63" s="144"/>
      <c r="B63" s="144"/>
      <c r="C63" s="144"/>
      <c r="D63" s="144"/>
      <c r="E63" s="144"/>
      <c r="F63" s="52"/>
      <c r="G63" s="52"/>
      <c r="H63" s="52"/>
      <c r="I63" s="52"/>
      <c r="J63" s="52"/>
      <c r="K63" s="144"/>
      <c r="L63" s="144"/>
      <c r="M63" s="144"/>
      <c r="N63" s="144"/>
      <c r="O63" s="144"/>
      <c r="P63" s="144"/>
      <c r="Q63" s="144"/>
      <c r="R63" s="144"/>
      <c r="S63" s="144"/>
      <c r="T63" s="144"/>
      <c r="U63" s="144"/>
      <c r="V63" s="144"/>
      <c r="W63" s="144"/>
      <c r="X63" s="144"/>
      <c r="Y63" s="144"/>
      <c r="Z63" s="144"/>
    </row>
    <row r="64" spans="1:26" x14ac:dyDescent="0.3">
      <c r="A64" s="144"/>
      <c r="B64" s="144"/>
      <c r="C64" s="144"/>
      <c r="D64" s="144"/>
      <c r="E64" s="144"/>
      <c r="F64" s="52"/>
      <c r="G64" s="52"/>
      <c r="H64" s="52"/>
      <c r="I64" s="52"/>
      <c r="J64" s="52"/>
      <c r="K64" s="144"/>
      <c r="L64" s="144"/>
      <c r="M64" s="144"/>
      <c r="N64" s="144"/>
      <c r="O64" s="144"/>
      <c r="P64" s="144"/>
      <c r="Q64" s="144"/>
      <c r="R64" s="144"/>
      <c r="S64" s="144"/>
      <c r="T64" s="144"/>
      <c r="U64" s="144"/>
      <c r="V64" s="144"/>
      <c r="W64" s="144"/>
      <c r="X64" s="144"/>
      <c r="Y64" s="144"/>
      <c r="Z64" s="144"/>
    </row>
    <row r="65" spans="1:26" x14ac:dyDescent="0.3">
      <c r="A65" s="144"/>
      <c r="B65" s="144"/>
      <c r="C65" s="144"/>
      <c r="D65" s="144"/>
      <c r="E65" s="144"/>
      <c r="F65" s="52"/>
      <c r="G65" s="52"/>
      <c r="H65" s="52"/>
      <c r="I65" s="52"/>
      <c r="J65" s="52"/>
      <c r="K65" s="144"/>
      <c r="L65" s="144"/>
      <c r="M65" s="144"/>
      <c r="N65" s="144"/>
      <c r="O65" s="144"/>
      <c r="P65" s="144"/>
      <c r="Q65" s="144"/>
      <c r="R65" s="144"/>
      <c r="S65" s="144"/>
      <c r="T65" s="144"/>
      <c r="U65" s="144"/>
      <c r="V65" s="144"/>
      <c r="W65" s="144"/>
      <c r="X65" s="144"/>
      <c r="Y65" s="144"/>
      <c r="Z65" s="144"/>
    </row>
    <row r="66" spans="1:26" x14ac:dyDescent="0.3">
      <c r="A66" s="144"/>
      <c r="B66" s="144"/>
      <c r="C66" s="144"/>
      <c r="D66" s="144"/>
      <c r="E66" s="144"/>
      <c r="F66" s="52"/>
      <c r="G66" s="52"/>
      <c r="H66" s="52"/>
      <c r="I66" s="52"/>
      <c r="J66" s="52"/>
      <c r="K66" s="144"/>
      <c r="L66" s="144"/>
      <c r="M66" s="144"/>
      <c r="N66" s="144"/>
      <c r="O66" s="144"/>
      <c r="P66" s="144"/>
      <c r="Q66" s="144"/>
      <c r="R66" s="144"/>
      <c r="S66" s="144"/>
      <c r="T66" s="144"/>
      <c r="U66" s="144"/>
      <c r="V66" s="144"/>
      <c r="W66" s="144"/>
      <c r="X66" s="144"/>
      <c r="Y66" s="144"/>
      <c r="Z66" s="144"/>
    </row>
    <row r="67" spans="1:26" x14ac:dyDescent="0.3">
      <c r="A67" s="144"/>
      <c r="B67" s="144"/>
      <c r="C67" s="144"/>
      <c r="D67" s="144"/>
      <c r="E67" s="144"/>
      <c r="F67" s="52"/>
      <c r="G67" s="52"/>
      <c r="H67" s="52"/>
      <c r="I67" s="52"/>
      <c r="J67" s="52"/>
      <c r="K67" s="144"/>
      <c r="L67" s="144"/>
      <c r="M67" s="144"/>
      <c r="N67" s="144"/>
      <c r="O67" s="144"/>
      <c r="P67" s="144"/>
      <c r="Q67" s="144"/>
      <c r="R67" s="144"/>
      <c r="S67" s="144"/>
      <c r="T67" s="144"/>
      <c r="U67" s="144"/>
      <c r="V67" s="144"/>
      <c r="W67" s="144"/>
      <c r="X67" s="144"/>
      <c r="Y67" s="144"/>
      <c r="Z67" s="144"/>
    </row>
    <row r="68" spans="1:26" x14ac:dyDescent="0.3">
      <c r="A68" s="144"/>
      <c r="B68" s="144"/>
      <c r="C68" s="144"/>
      <c r="D68" s="144"/>
      <c r="E68" s="144"/>
      <c r="F68" s="52"/>
      <c r="G68" s="52"/>
      <c r="H68" s="52"/>
      <c r="I68" s="52"/>
      <c r="J68" s="52"/>
      <c r="K68" s="144"/>
      <c r="L68" s="144"/>
      <c r="M68" s="144"/>
      <c r="N68" s="144"/>
      <c r="O68" s="144"/>
      <c r="P68" s="144"/>
      <c r="Q68" s="144"/>
      <c r="R68" s="144"/>
      <c r="S68" s="144"/>
      <c r="T68" s="144"/>
      <c r="U68" s="144"/>
      <c r="V68" s="144"/>
      <c r="W68" s="144"/>
      <c r="X68" s="144"/>
      <c r="Y68" s="144"/>
      <c r="Z68" s="144"/>
    </row>
    <row r="69" spans="1:26" x14ac:dyDescent="0.3">
      <c r="A69" s="144"/>
      <c r="B69" s="144"/>
      <c r="C69" s="144"/>
      <c r="D69" s="144"/>
      <c r="E69" s="144"/>
      <c r="F69" s="52"/>
      <c r="G69" s="52"/>
      <c r="H69" s="52"/>
      <c r="I69" s="52"/>
      <c r="J69" s="52"/>
      <c r="K69" s="144"/>
      <c r="L69" s="144"/>
      <c r="M69" s="144"/>
      <c r="N69" s="144"/>
      <c r="O69" s="144"/>
      <c r="P69" s="144"/>
      <c r="Q69" s="144"/>
      <c r="R69" s="144"/>
      <c r="S69" s="144"/>
      <c r="T69" s="144"/>
      <c r="U69" s="144"/>
      <c r="V69" s="144"/>
      <c r="W69" s="144"/>
      <c r="X69" s="144"/>
      <c r="Y69" s="144"/>
      <c r="Z69" s="144"/>
    </row>
    <row r="70" spans="1:26" x14ac:dyDescent="0.3">
      <c r="A70" s="144"/>
      <c r="B70" s="144"/>
      <c r="C70" s="144"/>
      <c r="D70" s="144"/>
      <c r="E70" s="144"/>
      <c r="F70" s="52"/>
      <c r="G70" s="52"/>
      <c r="H70" s="52"/>
      <c r="I70" s="52"/>
      <c r="J70" s="52"/>
      <c r="K70" s="144"/>
      <c r="L70" s="144"/>
      <c r="M70" s="144"/>
      <c r="N70" s="144"/>
      <c r="O70" s="144"/>
      <c r="P70" s="144"/>
      <c r="Q70" s="144"/>
      <c r="R70" s="144"/>
      <c r="S70" s="144"/>
      <c r="T70" s="144"/>
      <c r="U70" s="144"/>
      <c r="V70" s="144"/>
      <c r="W70" s="144"/>
      <c r="X70" s="144"/>
      <c r="Y70" s="144"/>
      <c r="Z70" s="144"/>
    </row>
    <row r="71" spans="1:26" x14ac:dyDescent="0.3">
      <c r="A71" s="144"/>
      <c r="B71" s="144"/>
      <c r="C71" s="144"/>
      <c r="D71" s="144"/>
      <c r="E71" s="144"/>
      <c r="F71" s="52"/>
      <c r="G71" s="52"/>
      <c r="H71" s="52"/>
      <c r="I71" s="52"/>
      <c r="J71" s="52"/>
      <c r="K71" s="144"/>
      <c r="L71" s="144"/>
      <c r="M71" s="144"/>
      <c r="N71" s="144"/>
      <c r="O71" s="144"/>
      <c r="P71" s="144"/>
      <c r="Q71" s="144"/>
      <c r="R71" s="144"/>
      <c r="S71" s="144"/>
      <c r="T71" s="144"/>
      <c r="U71" s="144"/>
      <c r="V71" s="144"/>
      <c r="W71" s="144"/>
      <c r="X71" s="144"/>
      <c r="Y71" s="144"/>
      <c r="Z71" s="144"/>
    </row>
    <row r="72" spans="1:26" x14ac:dyDescent="0.3">
      <c r="A72" s="144"/>
      <c r="B72" s="144"/>
      <c r="C72" s="144"/>
      <c r="D72" s="144"/>
      <c r="E72" s="144"/>
      <c r="F72" s="52"/>
      <c r="G72" s="52"/>
      <c r="H72" s="52"/>
      <c r="I72" s="52"/>
      <c r="J72" s="52"/>
      <c r="K72" s="144"/>
      <c r="L72" s="144"/>
      <c r="M72" s="144"/>
      <c r="N72" s="144"/>
      <c r="O72" s="144"/>
      <c r="P72" s="144"/>
      <c r="Q72" s="144"/>
      <c r="R72" s="144"/>
      <c r="S72" s="144"/>
      <c r="T72" s="144"/>
      <c r="U72" s="144"/>
      <c r="V72" s="144"/>
      <c r="W72" s="144"/>
      <c r="X72" s="144"/>
      <c r="Y72" s="144"/>
      <c r="Z72" s="144"/>
    </row>
    <row r="73" spans="1:26" x14ac:dyDescent="0.3">
      <c r="A73" s="144"/>
      <c r="B73" s="144"/>
      <c r="C73" s="144"/>
      <c r="D73" s="144"/>
      <c r="E73" s="144"/>
      <c r="F73" s="52"/>
      <c r="G73" s="52"/>
      <c r="H73" s="52"/>
      <c r="I73" s="52"/>
      <c r="J73" s="52"/>
      <c r="K73" s="144"/>
      <c r="L73" s="144"/>
      <c r="M73" s="144"/>
      <c r="N73" s="144"/>
      <c r="O73" s="144"/>
      <c r="P73" s="144"/>
      <c r="Q73" s="144"/>
      <c r="R73" s="144"/>
      <c r="S73" s="144"/>
      <c r="T73" s="144"/>
      <c r="U73" s="144"/>
      <c r="V73" s="144"/>
      <c r="W73" s="144"/>
      <c r="X73" s="144"/>
      <c r="Y73" s="144"/>
      <c r="Z73" s="144"/>
    </row>
    <row r="74" spans="1:26" x14ac:dyDescent="0.3">
      <c r="A74" s="144"/>
      <c r="B74" s="144"/>
      <c r="C74" s="144"/>
      <c r="D74" s="144"/>
      <c r="E74" s="144"/>
      <c r="F74" s="52"/>
      <c r="G74" s="52"/>
      <c r="H74" s="52"/>
      <c r="I74" s="52"/>
      <c r="J74" s="52"/>
      <c r="K74" s="144"/>
      <c r="L74" s="144"/>
      <c r="M74" s="144"/>
      <c r="N74" s="144"/>
      <c r="O74" s="144"/>
      <c r="P74" s="144"/>
      <c r="Q74" s="144"/>
      <c r="R74" s="144"/>
      <c r="S74" s="144"/>
      <c r="T74" s="144"/>
      <c r="U74" s="144"/>
      <c r="V74" s="144"/>
      <c r="W74" s="144"/>
      <c r="X74" s="144"/>
      <c r="Y74" s="144"/>
      <c r="Z74" s="144"/>
    </row>
    <row r="75" spans="1:26" x14ac:dyDescent="0.3">
      <c r="A75" s="144"/>
      <c r="B75" s="144"/>
      <c r="C75" s="144"/>
      <c r="D75" s="144"/>
      <c r="E75" s="144"/>
      <c r="F75" s="52"/>
      <c r="G75" s="52"/>
      <c r="H75" s="52"/>
      <c r="I75" s="52"/>
      <c r="J75" s="52"/>
      <c r="K75" s="144"/>
      <c r="L75" s="144"/>
      <c r="M75" s="144"/>
      <c r="N75" s="144"/>
      <c r="O75" s="144"/>
      <c r="P75" s="144"/>
      <c r="Q75" s="144"/>
      <c r="R75" s="144"/>
      <c r="S75" s="144"/>
      <c r="T75" s="144"/>
      <c r="U75" s="144"/>
      <c r="V75" s="144"/>
      <c r="W75" s="144"/>
      <c r="X75" s="144"/>
      <c r="Y75" s="144"/>
      <c r="Z75" s="144"/>
    </row>
    <row r="76" spans="1:26" x14ac:dyDescent="0.3">
      <c r="A76" s="144"/>
      <c r="B76" s="144"/>
      <c r="C76" s="144"/>
      <c r="D76" s="144"/>
      <c r="E76" s="144"/>
      <c r="F76" s="52"/>
      <c r="G76" s="52"/>
      <c r="H76" s="52"/>
      <c r="I76" s="52"/>
      <c r="J76" s="52"/>
      <c r="K76" s="144"/>
      <c r="L76" s="144"/>
      <c r="M76" s="144"/>
      <c r="N76" s="144"/>
      <c r="O76" s="144"/>
      <c r="P76" s="144"/>
      <c r="Q76" s="144"/>
      <c r="R76" s="144"/>
      <c r="S76" s="144"/>
      <c r="T76" s="144"/>
      <c r="U76" s="144"/>
      <c r="V76" s="144"/>
      <c r="W76" s="144"/>
      <c r="X76" s="144"/>
      <c r="Y76" s="144"/>
      <c r="Z76" s="144"/>
    </row>
    <row r="77" spans="1:26" x14ac:dyDescent="0.3">
      <c r="A77" s="144"/>
      <c r="B77" s="144"/>
      <c r="C77" s="144"/>
      <c r="D77" s="144"/>
      <c r="E77" s="144"/>
      <c r="F77" s="52"/>
      <c r="G77" s="52"/>
      <c r="H77" s="52"/>
      <c r="I77" s="52"/>
      <c r="J77" s="52"/>
      <c r="K77" s="144"/>
      <c r="L77" s="144"/>
      <c r="M77" s="144"/>
      <c r="N77" s="144"/>
      <c r="O77" s="144"/>
      <c r="P77" s="144"/>
      <c r="Q77" s="144"/>
      <c r="R77" s="144"/>
      <c r="S77" s="144"/>
      <c r="T77" s="144"/>
      <c r="U77" s="144"/>
      <c r="V77" s="144"/>
      <c r="W77" s="144"/>
      <c r="X77" s="144"/>
      <c r="Y77" s="144"/>
      <c r="Z77" s="144"/>
    </row>
    <row r="78" spans="1:26" x14ac:dyDescent="0.3">
      <c r="A78" s="144"/>
      <c r="B78" s="144"/>
      <c r="C78" s="144"/>
      <c r="D78" s="144"/>
      <c r="E78" s="144"/>
      <c r="F78" s="52"/>
      <c r="G78" s="52"/>
      <c r="H78" s="52"/>
      <c r="I78" s="52"/>
      <c r="J78" s="52"/>
      <c r="K78" s="144"/>
      <c r="L78" s="144"/>
      <c r="M78" s="144"/>
      <c r="N78" s="144"/>
      <c r="O78" s="144"/>
      <c r="P78" s="144"/>
      <c r="Q78" s="144"/>
      <c r="R78" s="144"/>
      <c r="S78" s="144"/>
      <c r="T78" s="144"/>
      <c r="U78" s="144"/>
      <c r="V78" s="144"/>
      <c r="W78" s="144"/>
      <c r="X78" s="144"/>
      <c r="Y78" s="144"/>
      <c r="Z78" s="144"/>
    </row>
    <row r="79" spans="1:26" x14ac:dyDescent="0.3">
      <c r="A79" s="144"/>
      <c r="B79" s="144"/>
      <c r="C79" s="144"/>
      <c r="D79" s="144"/>
      <c r="E79" s="144"/>
      <c r="F79" s="52"/>
      <c r="G79" s="52"/>
      <c r="H79" s="52"/>
      <c r="I79" s="52"/>
      <c r="J79" s="52"/>
      <c r="K79" s="144"/>
      <c r="L79" s="144"/>
      <c r="M79" s="144"/>
      <c r="N79" s="144"/>
      <c r="O79" s="144"/>
      <c r="P79" s="144"/>
      <c r="Q79" s="144"/>
      <c r="R79" s="144"/>
      <c r="S79" s="144"/>
      <c r="T79" s="144"/>
      <c r="U79" s="144"/>
      <c r="V79" s="144"/>
      <c r="W79" s="144"/>
      <c r="X79" s="144"/>
      <c r="Y79" s="144"/>
      <c r="Z79" s="144"/>
    </row>
    <row r="80" spans="1:26" x14ac:dyDescent="0.3">
      <c r="A80" s="144"/>
      <c r="B80" s="144"/>
      <c r="C80" s="144"/>
      <c r="D80" s="144"/>
      <c r="E80" s="144"/>
      <c r="F80" s="52"/>
      <c r="G80" s="52"/>
      <c r="H80" s="52"/>
      <c r="I80" s="52"/>
      <c r="J80" s="52"/>
      <c r="K80" s="144"/>
      <c r="L80" s="144"/>
      <c r="M80" s="144"/>
      <c r="N80" s="144"/>
      <c r="O80" s="144"/>
      <c r="P80" s="144"/>
      <c r="Q80" s="144"/>
      <c r="R80" s="144"/>
      <c r="S80" s="144"/>
      <c r="T80" s="144"/>
      <c r="U80" s="144"/>
      <c r="V80" s="144"/>
      <c r="W80" s="144"/>
      <c r="X80" s="144"/>
      <c r="Y80" s="144"/>
      <c r="Z80" s="144"/>
    </row>
    <row r="81" spans="1:26" x14ac:dyDescent="0.3">
      <c r="A81" s="144"/>
      <c r="B81" s="144"/>
      <c r="C81" s="144"/>
      <c r="D81" s="144"/>
      <c r="E81" s="144"/>
      <c r="F81" s="52"/>
      <c r="G81" s="52"/>
      <c r="H81" s="52"/>
      <c r="I81" s="52"/>
      <c r="J81" s="52"/>
      <c r="K81" s="144"/>
      <c r="L81" s="144"/>
      <c r="M81" s="144"/>
      <c r="N81" s="144"/>
      <c r="O81" s="144"/>
      <c r="P81" s="144"/>
      <c r="Q81" s="144"/>
      <c r="R81" s="144"/>
      <c r="S81" s="144"/>
      <c r="T81" s="144"/>
      <c r="U81" s="144"/>
      <c r="V81" s="144"/>
      <c r="W81" s="144"/>
      <c r="X81" s="144"/>
      <c r="Y81" s="144"/>
      <c r="Z81" s="144"/>
    </row>
    <row r="82" spans="1:26" x14ac:dyDescent="0.3">
      <c r="A82" s="144"/>
      <c r="B82" s="144"/>
      <c r="C82" s="144"/>
      <c r="D82" s="144"/>
      <c r="E82" s="144"/>
      <c r="F82" s="52"/>
      <c r="G82" s="52"/>
      <c r="H82" s="52"/>
      <c r="I82" s="52"/>
      <c r="J82" s="52"/>
      <c r="K82" s="144"/>
      <c r="L82" s="144"/>
      <c r="M82" s="144"/>
      <c r="N82" s="144"/>
      <c r="O82" s="144"/>
      <c r="P82" s="144"/>
      <c r="Q82" s="144"/>
      <c r="R82" s="144"/>
      <c r="S82" s="144"/>
      <c r="T82" s="144"/>
      <c r="U82" s="144"/>
      <c r="V82" s="144"/>
      <c r="W82" s="144"/>
      <c r="X82" s="144"/>
      <c r="Y82" s="144"/>
      <c r="Z82" s="144"/>
    </row>
    <row r="83" spans="1:26" x14ac:dyDescent="0.3">
      <c r="A83" s="144"/>
      <c r="B83" s="144"/>
      <c r="C83" s="144"/>
      <c r="D83" s="144"/>
      <c r="E83" s="144"/>
      <c r="F83" s="52"/>
      <c r="G83" s="52"/>
      <c r="H83" s="52"/>
      <c r="I83" s="52"/>
      <c r="J83" s="52"/>
      <c r="K83" s="144"/>
      <c r="L83" s="144"/>
      <c r="M83" s="144"/>
      <c r="N83" s="144"/>
      <c r="O83" s="144"/>
      <c r="P83" s="144"/>
      <c r="Q83" s="144"/>
      <c r="R83" s="144"/>
      <c r="S83" s="144"/>
      <c r="T83" s="144"/>
      <c r="U83" s="144"/>
      <c r="V83" s="144"/>
      <c r="W83" s="144"/>
      <c r="X83" s="144"/>
      <c r="Y83" s="144"/>
      <c r="Z83" s="144"/>
    </row>
    <row r="84" spans="1:26" x14ac:dyDescent="0.3">
      <c r="A84" s="144"/>
      <c r="B84" s="144"/>
      <c r="C84" s="144"/>
      <c r="D84" s="144"/>
      <c r="E84" s="144"/>
      <c r="F84" s="52"/>
      <c r="G84" s="52"/>
      <c r="H84" s="52"/>
      <c r="I84" s="52"/>
      <c r="J84" s="52"/>
      <c r="K84" s="144"/>
      <c r="L84" s="144"/>
      <c r="M84" s="144"/>
      <c r="N84" s="144"/>
      <c r="O84" s="144"/>
      <c r="P84" s="144"/>
      <c r="Q84" s="144"/>
      <c r="R84" s="144"/>
      <c r="S84" s="144"/>
      <c r="T84" s="144"/>
      <c r="U84" s="144"/>
      <c r="V84" s="144"/>
      <c r="W84" s="144"/>
      <c r="X84" s="144"/>
      <c r="Y84" s="144"/>
      <c r="Z84" s="144"/>
    </row>
    <row r="85" spans="1:26" x14ac:dyDescent="0.3">
      <c r="A85" s="144"/>
      <c r="B85" s="144"/>
      <c r="C85" s="144"/>
      <c r="D85" s="144"/>
      <c r="E85" s="144"/>
      <c r="F85" s="52"/>
      <c r="G85" s="52"/>
      <c r="H85" s="52"/>
      <c r="I85" s="52"/>
      <c r="J85" s="52"/>
      <c r="K85" s="144"/>
      <c r="L85" s="144"/>
      <c r="M85" s="144"/>
      <c r="N85" s="144"/>
      <c r="O85" s="144"/>
      <c r="P85" s="144"/>
      <c r="Q85" s="144"/>
      <c r="R85" s="144"/>
      <c r="S85" s="144"/>
      <c r="T85" s="144"/>
      <c r="U85" s="144"/>
      <c r="V85" s="144"/>
      <c r="W85" s="144"/>
      <c r="X85" s="144"/>
      <c r="Y85" s="144"/>
      <c r="Z85" s="144"/>
    </row>
    <row r="86" spans="1:26" x14ac:dyDescent="0.3">
      <c r="A86" s="144"/>
      <c r="B86" s="144"/>
      <c r="C86" s="144"/>
      <c r="D86" s="144"/>
      <c r="E86" s="144"/>
      <c r="F86" s="52"/>
      <c r="G86" s="52"/>
      <c r="H86" s="52"/>
      <c r="I86" s="52"/>
      <c r="J86" s="52"/>
      <c r="K86" s="144"/>
      <c r="L86" s="144"/>
      <c r="M86" s="144"/>
      <c r="N86" s="144"/>
      <c r="O86" s="144"/>
      <c r="P86" s="144"/>
      <c r="Q86" s="144"/>
      <c r="R86" s="144"/>
      <c r="S86" s="144"/>
      <c r="T86" s="144"/>
      <c r="U86" s="144"/>
      <c r="V86" s="144"/>
      <c r="W86" s="144"/>
      <c r="X86" s="144"/>
      <c r="Y86" s="144"/>
      <c r="Z86" s="144"/>
    </row>
    <row r="87" spans="1:26" x14ac:dyDescent="0.3">
      <c r="A87" s="144"/>
      <c r="B87" s="144"/>
      <c r="C87" s="144"/>
      <c r="D87" s="144"/>
      <c r="E87" s="144"/>
      <c r="F87" s="52"/>
      <c r="G87" s="52"/>
      <c r="H87" s="52"/>
      <c r="I87" s="52"/>
      <c r="J87" s="52"/>
      <c r="K87" s="144"/>
      <c r="L87" s="144"/>
      <c r="M87" s="144"/>
      <c r="N87" s="144"/>
      <c r="O87" s="144"/>
      <c r="P87" s="144"/>
      <c r="Q87" s="144"/>
      <c r="R87" s="144"/>
      <c r="S87" s="144"/>
      <c r="T87" s="144"/>
      <c r="U87" s="144"/>
      <c r="V87" s="144"/>
      <c r="W87" s="144"/>
      <c r="X87" s="144"/>
      <c r="Y87" s="144"/>
      <c r="Z87" s="144"/>
    </row>
    <row r="88" spans="1:26" x14ac:dyDescent="0.3">
      <c r="A88" s="144"/>
      <c r="B88" s="144"/>
      <c r="C88" s="144"/>
      <c r="D88" s="144"/>
      <c r="E88" s="144"/>
      <c r="F88" s="52"/>
      <c r="G88" s="52"/>
      <c r="H88" s="52"/>
      <c r="I88" s="52"/>
      <c r="J88" s="52"/>
      <c r="K88" s="144"/>
      <c r="L88" s="144"/>
      <c r="M88" s="144"/>
      <c r="N88" s="144"/>
      <c r="O88" s="144"/>
      <c r="P88" s="144"/>
      <c r="Q88" s="144"/>
      <c r="R88" s="144"/>
      <c r="S88" s="144"/>
      <c r="T88" s="144"/>
      <c r="U88" s="144"/>
      <c r="V88" s="144"/>
      <c r="W88" s="144"/>
      <c r="X88" s="144"/>
      <c r="Y88" s="144"/>
      <c r="Z88" s="144"/>
    </row>
    <row r="89" spans="1:26" x14ac:dyDescent="0.3">
      <c r="A89" s="144"/>
      <c r="B89" s="144"/>
      <c r="C89" s="144"/>
      <c r="D89" s="144"/>
      <c r="E89" s="144"/>
      <c r="F89" s="52"/>
      <c r="G89" s="52"/>
      <c r="H89" s="52"/>
      <c r="I89" s="52"/>
      <c r="J89" s="52"/>
      <c r="K89" s="144"/>
      <c r="L89" s="144"/>
      <c r="M89" s="144"/>
      <c r="N89" s="144"/>
      <c r="O89" s="144"/>
      <c r="P89" s="144"/>
      <c r="Q89" s="144"/>
      <c r="R89" s="144"/>
      <c r="S89" s="144"/>
      <c r="T89" s="144"/>
      <c r="U89" s="144"/>
      <c r="V89" s="144"/>
      <c r="W89" s="144"/>
      <c r="X89" s="144"/>
      <c r="Y89" s="144"/>
      <c r="Z89" s="144"/>
    </row>
    <row r="90" spans="1:26" x14ac:dyDescent="0.3">
      <c r="A90" s="144"/>
      <c r="B90" s="144"/>
      <c r="C90" s="144"/>
      <c r="D90" s="144"/>
      <c r="E90" s="144"/>
      <c r="F90" s="52"/>
      <c r="G90" s="52"/>
      <c r="H90" s="52"/>
      <c r="I90" s="52"/>
      <c r="J90" s="52"/>
      <c r="K90" s="144"/>
      <c r="L90" s="144"/>
      <c r="M90" s="144"/>
      <c r="N90" s="144"/>
      <c r="O90" s="144"/>
      <c r="P90" s="144"/>
      <c r="Q90" s="144"/>
      <c r="R90" s="144"/>
      <c r="S90" s="144"/>
      <c r="T90" s="144"/>
      <c r="U90" s="144"/>
      <c r="V90" s="144"/>
      <c r="W90" s="144"/>
      <c r="X90" s="144"/>
      <c r="Y90" s="144"/>
      <c r="Z90" s="144"/>
    </row>
    <row r="91" spans="1:26" x14ac:dyDescent="0.3">
      <c r="A91" s="144"/>
      <c r="B91" s="144"/>
      <c r="C91" s="144"/>
      <c r="D91" s="144"/>
      <c r="E91" s="144"/>
      <c r="F91" s="52"/>
      <c r="G91" s="52"/>
      <c r="H91" s="52"/>
      <c r="I91" s="52"/>
      <c r="J91" s="52"/>
      <c r="K91" s="144"/>
      <c r="L91" s="144"/>
      <c r="M91" s="144"/>
      <c r="N91" s="144"/>
      <c r="O91" s="144"/>
      <c r="P91" s="144"/>
      <c r="Q91" s="144"/>
      <c r="R91" s="144"/>
      <c r="S91" s="144"/>
      <c r="T91" s="144"/>
      <c r="U91" s="144"/>
      <c r="V91" s="144"/>
      <c r="W91" s="144"/>
      <c r="X91" s="144"/>
      <c r="Y91" s="144"/>
      <c r="Z91" s="144"/>
    </row>
    <row r="92" spans="1:26" x14ac:dyDescent="0.3">
      <c r="A92" s="144"/>
      <c r="B92" s="144"/>
      <c r="C92" s="144"/>
      <c r="D92" s="144"/>
      <c r="E92" s="144"/>
      <c r="F92" s="52"/>
      <c r="G92" s="52"/>
      <c r="H92" s="52"/>
      <c r="I92" s="52"/>
      <c r="J92" s="52"/>
      <c r="K92" s="144"/>
      <c r="L92" s="144"/>
      <c r="M92" s="144"/>
      <c r="N92" s="144"/>
      <c r="O92" s="144"/>
      <c r="P92" s="144"/>
      <c r="Q92" s="144"/>
      <c r="R92" s="144"/>
      <c r="S92" s="144"/>
      <c r="T92" s="144"/>
      <c r="U92" s="144"/>
      <c r="V92" s="144"/>
      <c r="W92" s="144"/>
      <c r="X92" s="144"/>
      <c r="Y92" s="144"/>
      <c r="Z92" s="144"/>
    </row>
    <row r="93" spans="1:26" x14ac:dyDescent="0.3">
      <c r="A93" s="144"/>
      <c r="B93" s="144"/>
      <c r="C93" s="144"/>
      <c r="D93" s="144"/>
      <c r="E93" s="144"/>
      <c r="F93" s="52"/>
      <c r="G93" s="52"/>
      <c r="H93" s="52"/>
      <c r="I93" s="52"/>
      <c r="J93" s="52"/>
      <c r="K93" s="144"/>
      <c r="L93" s="144"/>
      <c r="M93" s="144"/>
      <c r="N93" s="144"/>
      <c r="O93" s="144"/>
      <c r="P93" s="144"/>
      <c r="Q93" s="144"/>
      <c r="R93" s="144"/>
      <c r="S93" s="144"/>
      <c r="T93" s="144"/>
      <c r="U93" s="144"/>
      <c r="V93" s="144"/>
      <c r="W93" s="144"/>
      <c r="X93" s="144"/>
      <c r="Y93" s="144"/>
      <c r="Z93" s="144"/>
    </row>
    <row r="94" spans="1:26" x14ac:dyDescent="0.3">
      <c r="A94" s="144"/>
      <c r="B94" s="144"/>
      <c r="C94" s="144"/>
      <c r="D94" s="144"/>
      <c r="E94" s="144"/>
      <c r="F94" s="52"/>
      <c r="G94" s="52"/>
      <c r="H94" s="52"/>
      <c r="I94" s="52"/>
      <c r="J94" s="52"/>
      <c r="K94" s="144"/>
      <c r="L94" s="144"/>
      <c r="M94" s="144"/>
      <c r="N94" s="144"/>
      <c r="O94" s="144"/>
      <c r="P94" s="144"/>
      <c r="Q94" s="144"/>
      <c r="R94" s="144"/>
      <c r="S94" s="144"/>
      <c r="T94" s="144"/>
      <c r="U94" s="144"/>
      <c r="V94" s="144"/>
      <c r="W94" s="144"/>
      <c r="X94" s="144"/>
      <c r="Y94" s="144"/>
      <c r="Z94" s="144"/>
    </row>
    <row r="95" spans="1:26" x14ac:dyDescent="0.3">
      <c r="A95" s="144"/>
      <c r="B95" s="144"/>
      <c r="C95" s="144"/>
      <c r="D95" s="144"/>
      <c r="E95" s="144"/>
      <c r="F95" s="52"/>
      <c r="G95" s="52"/>
      <c r="H95" s="52"/>
      <c r="I95" s="52"/>
      <c r="J95" s="52"/>
      <c r="K95" s="144"/>
      <c r="L95" s="144"/>
      <c r="M95" s="144"/>
      <c r="N95" s="144"/>
      <c r="O95" s="144"/>
      <c r="P95" s="144"/>
      <c r="Q95" s="144"/>
      <c r="R95" s="144"/>
      <c r="S95" s="144"/>
      <c r="T95" s="144"/>
      <c r="U95" s="144"/>
      <c r="V95" s="144"/>
      <c r="W95" s="144"/>
      <c r="X95" s="144"/>
      <c r="Y95" s="144"/>
      <c r="Z95" s="144"/>
    </row>
    <row r="96" spans="1:26" x14ac:dyDescent="0.3">
      <c r="A96" s="144"/>
      <c r="B96" s="144"/>
      <c r="C96" s="144"/>
      <c r="D96" s="144"/>
      <c r="E96" s="144"/>
      <c r="F96" s="52"/>
      <c r="G96" s="52"/>
      <c r="H96" s="52"/>
      <c r="I96" s="52"/>
      <c r="J96" s="52"/>
      <c r="K96" s="144"/>
      <c r="L96" s="144"/>
      <c r="M96" s="144"/>
      <c r="N96" s="144"/>
      <c r="O96" s="144"/>
      <c r="P96" s="144"/>
      <c r="Q96" s="144"/>
      <c r="R96" s="144"/>
      <c r="S96" s="144"/>
      <c r="T96" s="144"/>
      <c r="U96" s="144"/>
      <c r="V96" s="144"/>
      <c r="W96" s="144"/>
      <c r="X96" s="144"/>
      <c r="Y96" s="144"/>
      <c r="Z96" s="144"/>
    </row>
    <row r="97" spans="1:26" x14ac:dyDescent="0.3">
      <c r="A97" s="144"/>
      <c r="B97" s="144"/>
      <c r="C97" s="144"/>
      <c r="D97" s="144"/>
      <c r="E97" s="144"/>
      <c r="F97" s="52"/>
      <c r="G97" s="52"/>
      <c r="H97" s="52"/>
      <c r="I97" s="52"/>
      <c r="J97" s="52"/>
      <c r="K97" s="144"/>
      <c r="L97" s="144"/>
      <c r="M97" s="144"/>
      <c r="N97" s="144"/>
      <c r="O97" s="144"/>
      <c r="P97" s="144"/>
      <c r="Q97" s="144"/>
      <c r="R97" s="144"/>
      <c r="S97" s="144"/>
      <c r="T97" s="144"/>
      <c r="U97" s="144"/>
      <c r="V97" s="144"/>
      <c r="W97" s="144"/>
      <c r="X97" s="144"/>
      <c r="Y97" s="144"/>
      <c r="Z97" s="144"/>
    </row>
    <row r="98" spans="1:26" x14ac:dyDescent="0.3">
      <c r="A98" s="144"/>
      <c r="B98" s="144"/>
      <c r="C98" s="144"/>
      <c r="D98" s="144"/>
      <c r="E98" s="144"/>
      <c r="F98" s="52"/>
      <c r="G98" s="52"/>
      <c r="H98" s="52"/>
      <c r="I98" s="52"/>
      <c r="J98" s="52"/>
      <c r="K98" s="144"/>
      <c r="L98" s="144"/>
      <c r="M98" s="144"/>
      <c r="N98" s="144"/>
      <c r="O98" s="144"/>
      <c r="P98" s="144"/>
      <c r="Q98" s="144"/>
      <c r="R98" s="144"/>
      <c r="S98" s="144"/>
      <c r="T98" s="144"/>
      <c r="U98" s="144"/>
      <c r="V98" s="144"/>
      <c r="W98" s="144"/>
      <c r="X98" s="144"/>
      <c r="Y98" s="144"/>
      <c r="Z98" s="144"/>
    </row>
    <row r="99" spans="1:26" x14ac:dyDescent="0.3">
      <c r="A99" s="144"/>
      <c r="B99" s="144"/>
      <c r="C99" s="144"/>
      <c r="D99" s="144"/>
      <c r="E99" s="144"/>
      <c r="F99" s="52"/>
      <c r="G99" s="52"/>
      <c r="H99" s="52"/>
      <c r="I99" s="52"/>
      <c r="J99" s="52"/>
      <c r="K99" s="144"/>
      <c r="L99" s="144"/>
      <c r="M99" s="144"/>
      <c r="N99" s="144"/>
      <c r="O99" s="144"/>
      <c r="P99" s="144"/>
      <c r="Q99" s="144"/>
      <c r="R99" s="144"/>
      <c r="S99" s="144"/>
      <c r="T99" s="144"/>
      <c r="U99" s="144"/>
      <c r="V99" s="144"/>
      <c r="W99" s="144"/>
      <c r="X99" s="144"/>
      <c r="Y99" s="144"/>
      <c r="Z99" s="144"/>
    </row>
    <row r="100" spans="1:26" x14ac:dyDescent="0.3">
      <c r="A100" s="144"/>
      <c r="B100" s="144"/>
      <c r="C100" s="144"/>
      <c r="D100" s="144"/>
      <c r="E100" s="144"/>
      <c r="F100" s="52"/>
      <c r="G100" s="52"/>
      <c r="H100" s="52"/>
      <c r="I100" s="52"/>
      <c r="J100" s="52"/>
      <c r="K100" s="144"/>
      <c r="L100" s="144"/>
      <c r="M100" s="144"/>
      <c r="N100" s="144"/>
      <c r="O100" s="144"/>
      <c r="P100" s="144"/>
      <c r="Q100" s="144"/>
      <c r="R100" s="144"/>
      <c r="S100" s="144"/>
      <c r="T100" s="144"/>
      <c r="U100" s="144"/>
      <c r="V100" s="144"/>
      <c r="W100" s="144"/>
      <c r="X100" s="144"/>
      <c r="Y100" s="144"/>
      <c r="Z100" s="144"/>
    </row>
    <row r="101" spans="1:26" x14ac:dyDescent="0.3">
      <c r="A101" s="144"/>
      <c r="B101" s="144"/>
      <c r="C101" s="144"/>
      <c r="D101" s="144"/>
      <c r="E101" s="144"/>
      <c r="F101" s="52"/>
      <c r="G101" s="52"/>
      <c r="H101" s="52"/>
      <c r="I101" s="52"/>
      <c r="J101" s="52"/>
      <c r="K101" s="144"/>
      <c r="L101" s="144"/>
      <c r="M101" s="144"/>
      <c r="N101" s="144"/>
      <c r="O101" s="144"/>
      <c r="P101" s="144"/>
      <c r="Q101" s="144"/>
      <c r="R101" s="144"/>
      <c r="S101" s="144"/>
      <c r="T101" s="144"/>
      <c r="U101" s="144"/>
      <c r="V101" s="144"/>
      <c r="W101" s="144"/>
      <c r="X101" s="144"/>
      <c r="Y101" s="144"/>
      <c r="Z101" s="144"/>
    </row>
    <row r="102" spans="1:26" x14ac:dyDescent="0.3">
      <c r="A102" s="144"/>
      <c r="B102" s="144"/>
      <c r="C102" s="144"/>
      <c r="D102" s="144"/>
      <c r="E102" s="144"/>
      <c r="F102" s="52"/>
      <c r="G102" s="52"/>
      <c r="H102" s="52"/>
      <c r="I102" s="52"/>
      <c r="J102" s="52"/>
      <c r="K102" s="144"/>
      <c r="L102" s="144"/>
      <c r="M102" s="144"/>
      <c r="N102" s="144"/>
      <c r="O102" s="144"/>
      <c r="P102" s="144"/>
      <c r="Q102" s="144"/>
      <c r="R102" s="144"/>
      <c r="S102" s="144"/>
      <c r="T102" s="144"/>
      <c r="U102" s="144"/>
      <c r="V102" s="144"/>
      <c r="W102" s="144"/>
      <c r="X102" s="144"/>
      <c r="Y102" s="144"/>
      <c r="Z102" s="144"/>
    </row>
    <row r="103" spans="1:26" x14ac:dyDescent="0.3">
      <c r="A103" s="144"/>
      <c r="B103" s="144"/>
      <c r="C103" s="144"/>
      <c r="D103" s="144"/>
      <c r="E103" s="144"/>
      <c r="F103" s="52"/>
      <c r="G103" s="52"/>
      <c r="H103" s="52"/>
      <c r="I103" s="52"/>
      <c r="J103" s="52"/>
      <c r="K103" s="144"/>
      <c r="L103" s="144"/>
      <c r="M103" s="144"/>
      <c r="N103" s="144"/>
      <c r="O103" s="144"/>
      <c r="P103" s="144"/>
      <c r="Q103" s="144"/>
      <c r="R103" s="144"/>
      <c r="S103" s="144"/>
      <c r="T103" s="144"/>
      <c r="U103" s="144"/>
      <c r="V103" s="144"/>
      <c r="W103" s="144"/>
      <c r="X103" s="144"/>
      <c r="Y103" s="144"/>
      <c r="Z103" s="144"/>
    </row>
    <row r="104" spans="1:26" x14ac:dyDescent="0.3">
      <c r="A104" s="144"/>
      <c r="B104" s="144"/>
      <c r="C104" s="144"/>
      <c r="D104" s="144"/>
      <c r="E104" s="144"/>
      <c r="F104" s="52"/>
      <c r="G104" s="52"/>
      <c r="H104" s="52"/>
      <c r="I104" s="52"/>
      <c r="J104" s="52"/>
      <c r="K104" s="144"/>
      <c r="L104" s="144"/>
      <c r="M104" s="144"/>
      <c r="N104" s="144"/>
      <c r="O104" s="144"/>
      <c r="P104" s="144"/>
      <c r="Q104" s="144"/>
      <c r="R104" s="144"/>
      <c r="S104" s="144"/>
      <c r="T104" s="144"/>
      <c r="U104" s="144"/>
      <c r="V104" s="144"/>
      <c r="W104" s="144"/>
      <c r="X104" s="144"/>
      <c r="Y104" s="144"/>
      <c r="Z104" s="144"/>
    </row>
    <row r="105" spans="1:26" x14ac:dyDescent="0.3">
      <c r="A105" s="144"/>
      <c r="B105" s="144"/>
      <c r="C105" s="144"/>
      <c r="D105" s="144"/>
      <c r="E105" s="144"/>
      <c r="F105" s="52"/>
      <c r="G105" s="52"/>
      <c r="H105" s="52"/>
      <c r="I105" s="52"/>
      <c r="J105" s="52"/>
      <c r="K105" s="144"/>
      <c r="L105" s="144"/>
      <c r="M105" s="144"/>
      <c r="N105" s="144"/>
      <c r="O105" s="144"/>
      <c r="P105" s="144"/>
      <c r="Q105" s="144"/>
      <c r="R105" s="144"/>
      <c r="S105" s="144"/>
      <c r="T105" s="144"/>
      <c r="U105" s="144"/>
      <c r="V105" s="144"/>
      <c r="W105" s="144"/>
      <c r="X105" s="144"/>
      <c r="Y105" s="144"/>
      <c r="Z105" s="144"/>
    </row>
    <row r="106" spans="1:26" x14ac:dyDescent="0.3">
      <c r="A106" s="144"/>
      <c r="B106" s="144"/>
      <c r="C106" s="144"/>
      <c r="D106" s="144"/>
      <c r="E106" s="144"/>
      <c r="F106" s="52"/>
      <c r="G106" s="52"/>
      <c r="H106" s="52"/>
      <c r="I106" s="52"/>
      <c r="J106" s="52"/>
      <c r="K106" s="144"/>
      <c r="L106" s="144"/>
      <c r="M106" s="144"/>
      <c r="N106" s="144"/>
      <c r="O106" s="144"/>
      <c r="P106" s="144"/>
      <c r="Q106" s="144"/>
      <c r="R106" s="144"/>
      <c r="S106" s="144"/>
      <c r="T106" s="144"/>
      <c r="U106" s="144"/>
      <c r="V106" s="144"/>
      <c r="W106" s="144"/>
      <c r="X106" s="144"/>
      <c r="Y106" s="144"/>
      <c r="Z106" s="144"/>
    </row>
    <row r="107" spans="1:26" x14ac:dyDescent="0.3">
      <c r="A107" s="144"/>
      <c r="B107" s="144"/>
      <c r="C107" s="144"/>
      <c r="D107" s="144"/>
      <c r="E107" s="144"/>
      <c r="F107" s="52"/>
      <c r="G107" s="52"/>
      <c r="H107" s="52"/>
      <c r="I107" s="52"/>
      <c r="J107" s="52"/>
      <c r="K107" s="144"/>
      <c r="L107" s="144"/>
      <c r="M107" s="144"/>
      <c r="N107" s="144"/>
      <c r="O107" s="144"/>
      <c r="P107" s="144"/>
      <c r="Q107" s="144"/>
      <c r="R107" s="144"/>
      <c r="S107" s="144"/>
      <c r="T107" s="144"/>
      <c r="U107" s="144"/>
      <c r="V107" s="144"/>
      <c r="W107" s="144"/>
      <c r="X107" s="144"/>
      <c r="Y107" s="144"/>
      <c r="Z107" s="144"/>
    </row>
    <row r="108" spans="1:26" x14ac:dyDescent="0.3">
      <c r="A108" s="144"/>
      <c r="B108" s="144"/>
      <c r="C108" s="144"/>
      <c r="D108" s="144"/>
      <c r="E108" s="144"/>
      <c r="F108" s="52"/>
      <c r="G108" s="52"/>
      <c r="H108" s="52"/>
      <c r="I108" s="52"/>
      <c r="J108" s="52"/>
      <c r="K108" s="144"/>
      <c r="L108" s="144"/>
      <c r="M108" s="144"/>
      <c r="N108" s="144"/>
      <c r="O108" s="144"/>
      <c r="P108" s="144"/>
      <c r="Q108" s="144"/>
      <c r="R108" s="144"/>
      <c r="S108" s="144"/>
      <c r="T108" s="144"/>
      <c r="U108" s="144"/>
      <c r="V108" s="144"/>
      <c r="W108" s="144"/>
      <c r="X108" s="144"/>
      <c r="Y108" s="144"/>
      <c r="Z108" s="144"/>
    </row>
    <row r="109" spans="1:26" x14ac:dyDescent="0.3">
      <c r="A109" s="144"/>
      <c r="B109" s="144"/>
      <c r="C109" s="144"/>
      <c r="D109" s="144"/>
      <c r="E109" s="144"/>
      <c r="F109" s="52"/>
      <c r="G109" s="52"/>
      <c r="H109" s="52"/>
      <c r="I109" s="52"/>
      <c r="J109" s="52"/>
      <c r="K109" s="144"/>
      <c r="L109" s="144"/>
      <c r="M109" s="144"/>
      <c r="N109" s="144"/>
      <c r="O109" s="144"/>
      <c r="P109" s="144"/>
      <c r="Q109" s="144"/>
      <c r="R109" s="144"/>
      <c r="S109" s="144"/>
      <c r="T109" s="144"/>
      <c r="U109" s="144"/>
      <c r="V109" s="144"/>
      <c r="W109" s="144"/>
      <c r="X109" s="144"/>
      <c r="Y109" s="144"/>
      <c r="Z109" s="144"/>
    </row>
    <row r="110" spans="1:26" x14ac:dyDescent="0.3">
      <c r="A110" s="144"/>
      <c r="B110" s="144"/>
      <c r="C110" s="144"/>
      <c r="D110" s="144"/>
      <c r="E110" s="144"/>
      <c r="F110" s="52"/>
      <c r="G110" s="52"/>
      <c r="H110" s="52"/>
      <c r="I110" s="52"/>
      <c r="J110" s="52"/>
      <c r="K110" s="144"/>
      <c r="L110" s="144"/>
      <c r="M110" s="144"/>
      <c r="N110" s="144"/>
      <c r="O110" s="144"/>
      <c r="P110" s="144"/>
      <c r="Q110" s="144"/>
      <c r="R110" s="144"/>
      <c r="S110" s="144"/>
      <c r="T110" s="144"/>
      <c r="U110" s="144"/>
      <c r="V110" s="144"/>
      <c r="W110" s="144"/>
      <c r="X110" s="144"/>
      <c r="Y110" s="144"/>
      <c r="Z110" s="144"/>
    </row>
    <row r="111" spans="1:26" x14ac:dyDescent="0.3">
      <c r="A111" s="144"/>
      <c r="B111" s="144"/>
      <c r="C111" s="144"/>
      <c r="D111" s="144"/>
      <c r="E111" s="144"/>
      <c r="F111" s="52"/>
      <c r="G111" s="52"/>
      <c r="H111" s="52"/>
      <c r="I111" s="52"/>
      <c r="J111" s="52"/>
      <c r="K111" s="144"/>
      <c r="L111" s="144"/>
      <c r="M111" s="144"/>
      <c r="N111" s="144"/>
      <c r="O111" s="144"/>
      <c r="P111" s="144"/>
      <c r="Q111" s="144"/>
      <c r="R111" s="144"/>
      <c r="S111" s="144"/>
      <c r="T111" s="144"/>
      <c r="U111" s="144"/>
      <c r="V111" s="144"/>
      <c r="W111" s="144"/>
      <c r="X111" s="144"/>
      <c r="Y111" s="144"/>
      <c r="Z111" s="144"/>
    </row>
    <row r="112" spans="1:26" x14ac:dyDescent="0.3">
      <c r="A112" s="144"/>
      <c r="B112" s="144"/>
      <c r="C112" s="144"/>
      <c r="D112" s="144"/>
      <c r="E112" s="144"/>
      <c r="F112" s="52"/>
      <c r="G112" s="52"/>
      <c r="H112" s="52"/>
      <c r="I112" s="52"/>
      <c r="J112" s="52"/>
      <c r="K112" s="144"/>
      <c r="L112" s="144"/>
      <c r="M112" s="144"/>
      <c r="N112" s="144"/>
      <c r="O112" s="144"/>
      <c r="P112" s="144"/>
      <c r="Q112" s="144"/>
      <c r="R112" s="144"/>
      <c r="S112" s="144"/>
      <c r="T112" s="144"/>
      <c r="U112" s="144"/>
      <c r="V112" s="144"/>
      <c r="W112" s="144"/>
      <c r="X112" s="144"/>
      <c r="Y112" s="144"/>
      <c r="Z112" s="144"/>
    </row>
    <row r="113" spans="1:26" x14ac:dyDescent="0.3">
      <c r="A113" s="144"/>
      <c r="B113" s="144"/>
      <c r="C113" s="144"/>
      <c r="D113" s="144"/>
      <c r="E113" s="144"/>
      <c r="F113" s="52"/>
      <c r="G113" s="52"/>
      <c r="H113" s="52"/>
      <c r="I113" s="52"/>
      <c r="J113" s="52"/>
      <c r="K113" s="144"/>
      <c r="L113" s="144"/>
      <c r="M113" s="144"/>
      <c r="N113" s="144"/>
      <c r="O113" s="144"/>
      <c r="P113" s="144"/>
      <c r="Q113" s="144"/>
      <c r="R113" s="144"/>
      <c r="S113" s="144"/>
      <c r="T113" s="144"/>
      <c r="U113" s="144"/>
      <c r="V113" s="144"/>
      <c r="W113" s="144"/>
      <c r="X113" s="144"/>
      <c r="Y113" s="144"/>
      <c r="Z113" s="144"/>
    </row>
    <row r="114" spans="1:26" x14ac:dyDescent="0.3">
      <c r="A114" s="144"/>
      <c r="B114" s="144"/>
      <c r="C114" s="144"/>
      <c r="D114" s="144"/>
      <c r="E114" s="144"/>
      <c r="F114" s="52"/>
      <c r="G114" s="52"/>
      <c r="H114" s="52"/>
      <c r="I114" s="52"/>
      <c r="J114" s="52"/>
      <c r="K114" s="144"/>
      <c r="L114" s="144"/>
      <c r="M114" s="144"/>
      <c r="N114" s="144"/>
      <c r="O114" s="144"/>
      <c r="P114" s="144"/>
      <c r="Q114" s="144"/>
      <c r="R114" s="144"/>
      <c r="S114" s="144"/>
      <c r="T114" s="144"/>
      <c r="U114" s="144"/>
      <c r="V114" s="144"/>
      <c r="W114" s="144"/>
      <c r="X114" s="144"/>
      <c r="Y114" s="144"/>
      <c r="Z114" s="144"/>
    </row>
    <row r="115" spans="1:26" x14ac:dyDescent="0.3">
      <c r="A115" s="144"/>
      <c r="B115" s="144"/>
      <c r="C115" s="144"/>
      <c r="D115" s="144"/>
      <c r="E115" s="144"/>
      <c r="F115" s="52"/>
      <c r="G115" s="52"/>
      <c r="H115" s="52"/>
      <c r="I115" s="52"/>
      <c r="J115" s="52"/>
      <c r="K115" s="144"/>
      <c r="L115" s="144"/>
      <c r="M115" s="144"/>
      <c r="N115" s="144"/>
      <c r="O115" s="144"/>
      <c r="P115" s="144"/>
      <c r="Q115" s="144"/>
      <c r="R115" s="144"/>
      <c r="S115" s="144"/>
      <c r="T115" s="144"/>
      <c r="U115" s="144"/>
      <c r="V115" s="144"/>
      <c r="W115" s="144"/>
      <c r="X115" s="144"/>
      <c r="Y115" s="144"/>
      <c r="Z115" s="144"/>
    </row>
    <row r="116" spans="1:26" x14ac:dyDescent="0.3">
      <c r="A116" s="144"/>
      <c r="B116" s="144"/>
      <c r="C116" s="144"/>
      <c r="D116" s="144"/>
      <c r="E116" s="144"/>
      <c r="F116" s="52"/>
      <c r="G116" s="52"/>
      <c r="H116" s="52"/>
      <c r="I116" s="52"/>
      <c r="J116" s="52"/>
      <c r="K116" s="144"/>
      <c r="L116" s="144"/>
      <c r="M116" s="144"/>
      <c r="N116" s="144"/>
      <c r="O116" s="144"/>
      <c r="P116" s="144"/>
      <c r="Q116" s="144"/>
      <c r="R116" s="144"/>
      <c r="S116" s="144"/>
      <c r="T116" s="144"/>
      <c r="U116" s="144"/>
      <c r="V116" s="144"/>
      <c r="W116" s="144"/>
      <c r="X116" s="144"/>
      <c r="Y116" s="144"/>
      <c r="Z116" s="144"/>
    </row>
    <row r="117" spans="1:26" x14ac:dyDescent="0.3">
      <c r="A117" s="144"/>
      <c r="B117" s="144"/>
      <c r="C117" s="144"/>
      <c r="D117" s="144"/>
      <c r="E117" s="144"/>
      <c r="F117" s="52"/>
      <c r="G117" s="52"/>
      <c r="H117" s="52"/>
      <c r="I117" s="52"/>
      <c r="J117" s="52"/>
      <c r="K117" s="144"/>
      <c r="L117" s="144"/>
      <c r="M117" s="144"/>
      <c r="N117" s="144"/>
      <c r="O117" s="144"/>
      <c r="P117" s="144"/>
      <c r="Q117" s="144"/>
      <c r="R117" s="144"/>
      <c r="S117" s="144"/>
      <c r="T117" s="144"/>
      <c r="U117" s="144"/>
      <c r="V117" s="144"/>
      <c r="W117" s="144"/>
      <c r="X117" s="144"/>
      <c r="Y117" s="144"/>
      <c r="Z117" s="144"/>
    </row>
    <row r="118" spans="1:26" x14ac:dyDescent="0.3">
      <c r="A118" s="144"/>
      <c r="B118" s="144"/>
      <c r="C118" s="144"/>
      <c r="D118" s="144"/>
      <c r="E118" s="144"/>
      <c r="F118" s="52"/>
      <c r="G118" s="52"/>
      <c r="H118" s="52"/>
      <c r="I118" s="52"/>
      <c r="J118" s="52"/>
      <c r="K118" s="144"/>
      <c r="L118" s="144"/>
      <c r="M118" s="144"/>
      <c r="N118" s="144"/>
      <c r="O118" s="144"/>
      <c r="P118" s="144"/>
      <c r="Q118" s="144"/>
      <c r="R118" s="144"/>
      <c r="S118" s="144"/>
      <c r="T118" s="144"/>
      <c r="U118" s="144"/>
      <c r="V118" s="144"/>
      <c r="W118" s="144"/>
      <c r="X118" s="144"/>
      <c r="Y118" s="144"/>
      <c r="Z118" s="144"/>
    </row>
    <row r="119" spans="1:26" x14ac:dyDescent="0.3">
      <c r="A119" s="144"/>
      <c r="B119" s="144"/>
      <c r="C119" s="144"/>
      <c r="D119" s="144"/>
      <c r="E119" s="144"/>
      <c r="F119" s="52"/>
      <c r="G119" s="52"/>
      <c r="H119" s="52"/>
      <c r="I119" s="52"/>
      <c r="J119" s="52"/>
      <c r="K119" s="144"/>
      <c r="L119" s="144"/>
      <c r="M119" s="144"/>
      <c r="N119" s="144"/>
      <c r="O119" s="144"/>
      <c r="P119" s="144"/>
      <c r="Q119" s="144"/>
      <c r="R119" s="144"/>
      <c r="S119" s="144"/>
      <c r="T119" s="144"/>
      <c r="U119" s="144"/>
      <c r="V119" s="144"/>
      <c r="W119" s="144"/>
      <c r="X119" s="144"/>
      <c r="Y119" s="144"/>
      <c r="Z119" s="144"/>
    </row>
    <row r="120" spans="1:26" x14ac:dyDescent="0.3">
      <c r="A120" s="144"/>
      <c r="B120" s="144"/>
      <c r="C120" s="144"/>
      <c r="D120" s="144"/>
      <c r="E120" s="144"/>
      <c r="F120" s="52"/>
      <c r="G120" s="52"/>
      <c r="H120" s="52"/>
      <c r="I120" s="52"/>
      <c r="J120" s="52"/>
      <c r="K120" s="144"/>
      <c r="L120" s="144"/>
      <c r="M120" s="144"/>
      <c r="N120" s="144"/>
      <c r="O120" s="144"/>
      <c r="P120" s="144"/>
      <c r="Q120" s="144"/>
      <c r="R120" s="144"/>
      <c r="S120" s="144"/>
      <c r="T120" s="144"/>
      <c r="U120" s="144"/>
      <c r="V120" s="144"/>
      <c r="W120" s="144"/>
      <c r="X120" s="144"/>
      <c r="Y120" s="144"/>
      <c r="Z120" s="144"/>
    </row>
    <row r="121" spans="1:26" x14ac:dyDescent="0.3">
      <c r="A121" s="144"/>
      <c r="B121" s="144"/>
      <c r="C121" s="144"/>
      <c r="D121" s="144"/>
      <c r="E121" s="144"/>
      <c r="F121" s="52"/>
      <c r="G121" s="52"/>
      <c r="H121" s="52"/>
      <c r="I121" s="52"/>
      <c r="J121" s="52"/>
      <c r="K121" s="144"/>
      <c r="L121" s="144"/>
      <c r="M121" s="144"/>
      <c r="N121" s="144"/>
      <c r="O121" s="144"/>
      <c r="P121" s="144"/>
      <c r="Q121" s="144"/>
      <c r="R121" s="144"/>
      <c r="S121" s="144"/>
      <c r="T121" s="144"/>
      <c r="U121" s="144"/>
      <c r="V121" s="144"/>
      <c r="W121" s="144"/>
      <c r="X121" s="144"/>
      <c r="Y121" s="144"/>
      <c r="Z121" s="144"/>
    </row>
    <row r="122" spans="1:26" x14ac:dyDescent="0.3">
      <c r="A122" s="144"/>
      <c r="B122" s="144"/>
      <c r="C122" s="144"/>
      <c r="D122" s="144"/>
      <c r="E122" s="144"/>
      <c r="F122" s="52"/>
      <c r="G122" s="52"/>
      <c r="H122" s="52"/>
      <c r="I122" s="52"/>
      <c r="J122" s="52"/>
      <c r="K122" s="144"/>
      <c r="L122" s="144"/>
      <c r="M122" s="144"/>
      <c r="N122" s="144"/>
      <c r="O122" s="144"/>
      <c r="P122" s="144"/>
      <c r="Q122" s="144"/>
      <c r="R122" s="144"/>
      <c r="S122" s="144"/>
      <c r="T122" s="144"/>
      <c r="U122" s="144"/>
      <c r="V122" s="144"/>
      <c r="W122" s="144"/>
      <c r="X122" s="144"/>
      <c r="Y122" s="144"/>
      <c r="Z122" s="144"/>
    </row>
    <row r="123" spans="1:26" x14ac:dyDescent="0.3">
      <c r="A123" s="144"/>
      <c r="B123" s="144"/>
      <c r="C123" s="144"/>
      <c r="D123" s="144"/>
      <c r="E123" s="144"/>
      <c r="F123" s="52"/>
      <c r="G123" s="52"/>
      <c r="H123" s="52"/>
      <c r="I123" s="52"/>
      <c r="J123" s="52"/>
      <c r="K123" s="144"/>
      <c r="L123" s="144"/>
      <c r="M123" s="144"/>
      <c r="N123" s="144"/>
      <c r="O123" s="144"/>
      <c r="P123" s="144"/>
      <c r="Q123" s="144"/>
      <c r="R123" s="144"/>
      <c r="S123" s="144"/>
      <c r="T123" s="144"/>
      <c r="U123" s="144"/>
      <c r="V123" s="144"/>
      <c r="W123" s="144"/>
      <c r="X123" s="144"/>
      <c r="Y123" s="144"/>
      <c r="Z123" s="144"/>
    </row>
    <row r="124" spans="1:26" x14ac:dyDescent="0.3">
      <c r="A124" s="144"/>
      <c r="B124" s="144"/>
      <c r="C124" s="144"/>
      <c r="D124" s="144"/>
      <c r="E124" s="144"/>
      <c r="F124" s="52"/>
      <c r="G124" s="52"/>
      <c r="H124" s="52"/>
      <c r="I124" s="52"/>
      <c r="J124" s="52"/>
      <c r="K124" s="144"/>
      <c r="L124" s="144"/>
      <c r="M124" s="144"/>
      <c r="N124" s="144"/>
      <c r="O124" s="144"/>
      <c r="P124" s="144"/>
      <c r="Q124" s="144"/>
      <c r="R124" s="144"/>
      <c r="S124" s="144"/>
      <c r="T124" s="144"/>
      <c r="U124" s="144"/>
      <c r="V124" s="144"/>
      <c r="W124" s="144"/>
      <c r="X124" s="144"/>
      <c r="Y124" s="144"/>
      <c r="Z124" s="144"/>
    </row>
    <row r="125" spans="1:26" x14ac:dyDescent="0.3">
      <c r="A125" s="144"/>
      <c r="B125" s="144"/>
      <c r="C125" s="144"/>
      <c r="D125" s="144"/>
      <c r="E125" s="144"/>
      <c r="F125" s="52"/>
      <c r="G125" s="52"/>
      <c r="H125" s="52"/>
      <c r="I125" s="52"/>
      <c r="J125" s="52"/>
      <c r="K125" s="144"/>
      <c r="L125" s="144"/>
      <c r="M125" s="144"/>
      <c r="N125" s="144"/>
      <c r="O125" s="144"/>
      <c r="P125" s="144"/>
      <c r="Q125" s="144"/>
      <c r="R125" s="144"/>
      <c r="S125" s="144"/>
      <c r="T125" s="144"/>
      <c r="U125" s="144"/>
      <c r="V125" s="144"/>
      <c r="W125" s="144"/>
      <c r="X125" s="144"/>
      <c r="Y125" s="144"/>
      <c r="Z125" s="144"/>
    </row>
    <row r="126" spans="1:26" x14ac:dyDescent="0.3">
      <c r="A126" s="144"/>
      <c r="B126" s="144"/>
      <c r="C126" s="144"/>
      <c r="D126" s="144"/>
      <c r="E126" s="144"/>
      <c r="F126" s="52"/>
      <c r="G126" s="52"/>
      <c r="H126" s="52"/>
      <c r="I126" s="52"/>
      <c r="J126" s="52"/>
      <c r="K126" s="144"/>
      <c r="L126" s="144"/>
      <c r="M126" s="144"/>
      <c r="N126" s="144"/>
      <c r="O126" s="144"/>
      <c r="P126" s="144"/>
      <c r="Q126" s="144"/>
      <c r="R126" s="144"/>
      <c r="S126" s="144"/>
      <c r="T126" s="144"/>
      <c r="U126" s="144"/>
      <c r="V126" s="144"/>
      <c r="W126" s="144"/>
      <c r="X126" s="144"/>
      <c r="Y126" s="144"/>
      <c r="Z126" s="144"/>
    </row>
    <row r="127" spans="1:26" x14ac:dyDescent="0.3">
      <c r="A127" s="144"/>
      <c r="B127" s="144"/>
      <c r="C127" s="144"/>
      <c r="D127" s="144"/>
      <c r="E127" s="144"/>
      <c r="F127" s="52"/>
      <c r="G127" s="52"/>
      <c r="H127" s="52"/>
      <c r="I127" s="52"/>
      <c r="J127" s="52"/>
      <c r="K127" s="144"/>
      <c r="L127" s="144"/>
      <c r="M127" s="144"/>
      <c r="N127" s="144"/>
      <c r="O127" s="144"/>
      <c r="P127" s="144"/>
      <c r="Q127" s="144"/>
      <c r="R127" s="144"/>
      <c r="S127" s="144"/>
      <c r="T127" s="144"/>
      <c r="U127" s="144"/>
      <c r="V127" s="144"/>
      <c r="W127" s="144"/>
      <c r="X127" s="144"/>
      <c r="Y127" s="144"/>
      <c r="Z127" s="144"/>
    </row>
    <row r="128" spans="1:26" x14ac:dyDescent="0.3">
      <c r="A128" s="144"/>
      <c r="B128" s="144"/>
      <c r="C128" s="144"/>
      <c r="D128" s="144"/>
      <c r="E128" s="144"/>
      <c r="F128" s="52"/>
      <c r="G128" s="52"/>
      <c r="H128" s="52"/>
      <c r="I128" s="52"/>
      <c r="J128" s="52"/>
      <c r="K128" s="144"/>
      <c r="L128" s="144"/>
      <c r="M128" s="144"/>
      <c r="N128" s="144"/>
      <c r="O128" s="144"/>
      <c r="P128" s="144"/>
      <c r="Q128" s="144"/>
      <c r="R128" s="144"/>
      <c r="S128" s="144"/>
      <c r="T128" s="144"/>
      <c r="U128" s="144"/>
      <c r="V128" s="144"/>
      <c r="W128" s="144"/>
      <c r="X128" s="144"/>
      <c r="Y128" s="144"/>
      <c r="Z128" s="144"/>
    </row>
    <row r="129" spans="1:26" x14ac:dyDescent="0.3">
      <c r="A129" s="144"/>
      <c r="B129" s="144"/>
      <c r="C129" s="144"/>
      <c r="D129" s="144"/>
      <c r="E129" s="144"/>
      <c r="F129" s="52"/>
      <c r="G129" s="52"/>
      <c r="H129" s="52"/>
      <c r="I129" s="52"/>
      <c r="J129" s="52"/>
      <c r="K129" s="144"/>
      <c r="L129" s="144"/>
      <c r="M129" s="144"/>
      <c r="N129" s="144"/>
      <c r="O129" s="144"/>
      <c r="P129" s="144"/>
      <c r="Q129" s="144"/>
      <c r="R129" s="144"/>
      <c r="S129" s="144"/>
      <c r="T129" s="144"/>
      <c r="U129" s="144"/>
      <c r="V129" s="144"/>
      <c r="W129" s="144"/>
      <c r="X129" s="144"/>
      <c r="Y129" s="144"/>
      <c r="Z129" s="144"/>
    </row>
    <row r="130" spans="1:26" x14ac:dyDescent="0.3">
      <c r="A130" s="144"/>
      <c r="B130" s="144"/>
      <c r="C130" s="144"/>
      <c r="D130" s="144"/>
      <c r="E130" s="144"/>
      <c r="F130" s="52"/>
      <c r="G130" s="52"/>
      <c r="H130" s="52"/>
      <c r="I130" s="52"/>
      <c r="J130" s="52"/>
      <c r="K130" s="144"/>
      <c r="L130" s="144"/>
      <c r="M130" s="144"/>
      <c r="N130" s="144"/>
      <c r="O130" s="144"/>
      <c r="P130" s="144"/>
      <c r="Q130" s="144"/>
      <c r="R130" s="144"/>
      <c r="S130" s="144"/>
      <c r="T130" s="144"/>
      <c r="U130" s="144"/>
      <c r="V130" s="144"/>
      <c r="W130" s="144"/>
      <c r="X130" s="144"/>
      <c r="Y130" s="144"/>
      <c r="Z130" s="144"/>
    </row>
    <row r="131" spans="1:26" x14ac:dyDescent="0.3">
      <c r="A131" s="144"/>
      <c r="B131" s="144"/>
      <c r="C131" s="144"/>
      <c r="D131" s="144"/>
      <c r="E131" s="144"/>
      <c r="F131" s="52"/>
      <c r="G131" s="52"/>
      <c r="H131" s="52"/>
      <c r="I131" s="52"/>
      <c r="J131" s="52"/>
      <c r="K131" s="144"/>
      <c r="L131" s="144"/>
      <c r="M131" s="144"/>
      <c r="N131" s="144"/>
      <c r="O131" s="144"/>
      <c r="P131" s="144"/>
      <c r="Q131" s="144"/>
      <c r="R131" s="144"/>
      <c r="S131" s="144"/>
      <c r="T131" s="144"/>
      <c r="U131" s="144"/>
      <c r="V131" s="144"/>
      <c r="W131" s="144"/>
      <c r="X131" s="144"/>
      <c r="Y131" s="144"/>
      <c r="Z131" s="144"/>
    </row>
    <row r="132" spans="1:26" x14ac:dyDescent="0.3">
      <c r="A132" s="144"/>
      <c r="B132" s="144"/>
      <c r="C132" s="144"/>
      <c r="D132" s="144"/>
      <c r="E132" s="144"/>
      <c r="F132" s="52"/>
      <c r="G132" s="52"/>
      <c r="H132" s="52"/>
      <c r="I132" s="52"/>
      <c r="J132" s="52"/>
      <c r="K132" s="144"/>
      <c r="L132" s="144"/>
      <c r="M132" s="144"/>
      <c r="N132" s="144"/>
      <c r="O132" s="144"/>
      <c r="P132" s="144"/>
      <c r="Q132" s="144"/>
      <c r="R132" s="144"/>
      <c r="S132" s="144"/>
      <c r="T132" s="144"/>
      <c r="U132" s="144"/>
      <c r="V132" s="144"/>
      <c r="W132" s="144"/>
      <c r="X132" s="144"/>
      <c r="Y132" s="144"/>
      <c r="Z132" s="144"/>
    </row>
    <row r="133" spans="1:26" x14ac:dyDescent="0.3">
      <c r="A133" s="144"/>
      <c r="B133" s="144"/>
      <c r="C133" s="144"/>
      <c r="D133" s="144"/>
      <c r="E133" s="144"/>
      <c r="F133" s="52"/>
      <c r="G133" s="52"/>
      <c r="H133" s="52"/>
      <c r="I133" s="52"/>
      <c r="J133" s="52"/>
      <c r="K133" s="144"/>
      <c r="L133" s="144"/>
      <c r="M133" s="144"/>
      <c r="N133" s="144"/>
      <c r="O133" s="144"/>
      <c r="P133" s="144"/>
      <c r="Q133" s="144"/>
      <c r="R133" s="144"/>
      <c r="S133" s="144"/>
      <c r="T133" s="144"/>
      <c r="U133" s="144"/>
      <c r="V133" s="144"/>
      <c r="W133" s="144"/>
      <c r="X133" s="144"/>
      <c r="Y133" s="144"/>
      <c r="Z133" s="144"/>
    </row>
    <row r="134" spans="1:26" x14ac:dyDescent="0.3">
      <c r="A134" s="144"/>
      <c r="B134" s="144"/>
      <c r="C134" s="144"/>
      <c r="D134" s="144"/>
      <c r="E134" s="144"/>
      <c r="F134" s="52"/>
      <c r="G134" s="52"/>
      <c r="H134" s="52"/>
      <c r="I134" s="52"/>
      <c r="J134" s="52"/>
      <c r="K134" s="144"/>
      <c r="L134" s="144"/>
      <c r="M134" s="144"/>
      <c r="N134" s="144"/>
      <c r="O134" s="144"/>
      <c r="P134" s="144"/>
      <c r="Q134" s="144"/>
      <c r="R134" s="144"/>
      <c r="S134" s="144"/>
      <c r="T134" s="144"/>
      <c r="U134" s="144"/>
      <c r="V134" s="144"/>
      <c r="W134" s="144"/>
      <c r="X134" s="144"/>
      <c r="Y134" s="144"/>
      <c r="Z134" s="144"/>
    </row>
    <row r="135" spans="1:26" x14ac:dyDescent="0.3">
      <c r="A135" s="144"/>
      <c r="B135" s="144"/>
      <c r="C135" s="144"/>
      <c r="D135" s="144"/>
      <c r="E135" s="144"/>
      <c r="F135" s="52"/>
      <c r="G135" s="52"/>
      <c r="H135" s="52"/>
      <c r="I135" s="52"/>
      <c r="J135" s="52"/>
      <c r="K135" s="144"/>
      <c r="L135" s="144"/>
      <c r="M135" s="144"/>
      <c r="N135" s="144"/>
      <c r="O135" s="144"/>
      <c r="P135" s="144"/>
      <c r="Q135" s="144"/>
      <c r="R135" s="144"/>
      <c r="S135" s="144"/>
      <c r="T135" s="144"/>
      <c r="U135" s="144"/>
      <c r="V135" s="144"/>
      <c r="W135" s="144"/>
      <c r="X135" s="144"/>
      <c r="Y135" s="144"/>
      <c r="Z135" s="144"/>
    </row>
    <row r="136" spans="1:26" x14ac:dyDescent="0.3">
      <c r="A136" s="144"/>
      <c r="B136" s="144"/>
      <c r="C136" s="144"/>
      <c r="D136" s="144"/>
      <c r="E136" s="144"/>
      <c r="F136" s="52"/>
      <c r="G136" s="52"/>
      <c r="H136" s="52"/>
      <c r="I136" s="52"/>
      <c r="J136" s="52"/>
      <c r="K136" s="144"/>
      <c r="L136" s="144"/>
      <c r="M136" s="144"/>
      <c r="N136" s="144"/>
      <c r="O136" s="144"/>
      <c r="P136" s="144"/>
      <c r="Q136" s="144"/>
      <c r="R136" s="144"/>
      <c r="S136" s="144"/>
      <c r="T136" s="144"/>
      <c r="U136" s="144"/>
      <c r="V136" s="144"/>
      <c r="W136" s="144"/>
      <c r="X136" s="144"/>
      <c r="Y136" s="144"/>
      <c r="Z136" s="144"/>
    </row>
    <row r="137" spans="1:26" x14ac:dyDescent="0.3">
      <c r="A137" s="144"/>
      <c r="B137" s="144"/>
      <c r="C137" s="144"/>
      <c r="D137" s="144"/>
      <c r="E137" s="144"/>
      <c r="F137" s="52"/>
      <c r="G137" s="52"/>
      <c r="H137" s="52"/>
      <c r="I137" s="52"/>
      <c r="J137" s="52"/>
      <c r="K137" s="144"/>
      <c r="L137" s="144"/>
      <c r="M137" s="144"/>
      <c r="N137" s="144"/>
      <c r="O137" s="144"/>
      <c r="P137" s="144"/>
      <c r="Q137" s="144"/>
      <c r="R137" s="144"/>
      <c r="S137" s="144"/>
      <c r="T137" s="144"/>
      <c r="U137" s="144"/>
      <c r="V137" s="144"/>
      <c r="W137" s="144"/>
      <c r="X137" s="144"/>
      <c r="Y137" s="144"/>
      <c r="Z137" s="144"/>
    </row>
    <row r="138" spans="1:26" x14ac:dyDescent="0.3">
      <c r="A138" s="144"/>
      <c r="B138" s="144"/>
      <c r="C138" s="144"/>
      <c r="D138" s="144"/>
      <c r="E138" s="144"/>
      <c r="F138" s="52"/>
      <c r="G138" s="52"/>
      <c r="H138" s="52"/>
      <c r="I138" s="52"/>
      <c r="J138" s="52"/>
      <c r="K138" s="144"/>
      <c r="L138" s="144"/>
      <c r="M138" s="144"/>
      <c r="N138" s="144"/>
      <c r="O138" s="144"/>
      <c r="P138" s="144"/>
      <c r="Q138" s="144"/>
      <c r="R138" s="144"/>
      <c r="S138" s="144"/>
      <c r="T138" s="144"/>
      <c r="U138" s="144"/>
      <c r="V138" s="144"/>
      <c r="W138" s="144"/>
      <c r="X138" s="144"/>
      <c r="Y138" s="144"/>
      <c r="Z138" s="144"/>
    </row>
    <row r="139" spans="1:26" x14ac:dyDescent="0.3">
      <c r="A139" s="144"/>
      <c r="B139" s="144"/>
      <c r="C139" s="144"/>
      <c r="D139" s="144"/>
      <c r="E139" s="144"/>
      <c r="F139" s="52"/>
      <c r="G139" s="52"/>
      <c r="H139" s="52"/>
      <c r="I139" s="52"/>
      <c r="J139" s="52"/>
      <c r="K139" s="144"/>
      <c r="L139" s="144"/>
      <c r="M139" s="144"/>
      <c r="N139" s="144"/>
      <c r="O139" s="144"/>
      <c r="P139" s="144"/>
      <c r="Q139" s="144"/>
      <c r="R139" s="144"/>
      <c r="S139" s="144"/>
      <c r="T139" s="144"/>
      <c r="U139" s="144"/>
      <c r="V139" s="144"/>
      <c r="W139" s="144"/>
      <c r="X139" s="144"/>
      <c r="Y139" s="144"/>
      <c r="Z139" s="144"/>
    </row>
    <row r="140" spans="1:26" x14ac:dyDescent="0.3">
      <c r="A140" s="144"/>
      <c r="B140" s="144"/>
      <c r="C140" s="144"/>
      <c r="D140" s="144"/>
      <c r="E140" s="144"/>
      <c r="F140" s="52"/>
      <c r="G140" s="52"/>
      <c r="H140" s="52"/>
      <c r="I140" s="52"/>
      <c r="J140" s="52"/>
      <c r="K140" s="144"/>
      <c r="L140" s="144"/>
      <c r="M140" s="144"/>
      <c r="N140" s="144"/>
      <c r="O140" s="144"/>
      <c r="P140" s="144"/>
      <c r="Q140" s="144"/>
      <c r="R140" s="144"/>
      <c r="S140" s="144"/>
      <c r="T140" s="144"/>
      <c r="U140" s="144"/>
      <c r="V140" s="144"/>
      <c r="W140" s="144"/>
      <c r="X140" s="144"/>
      <c r="Y140" s="144"/>
      <c r="Z140" s="144"/>
    </row>
    <row r="141" spans="1:26" x14ac:dyDescent="0.3">
      <c r="A141" s="144"/>
      <c r="B141" s="144"/>
      <c r="C141" s="144"/>
      <c r="D141" s="144"/>
      <c r="E141" s="144"/>
      <c r="F141" s="52"/>
      <c r="G141" s="52"/>
      <c r="H141" s="52"/>
      <c r="I141" s="52"/>
      <c r="J141" s="52"/>
      <c r="K141" s="144"/>
      <c r="L141" s="144"/>
      <c r="M141" s="144"/>
      <c r="N141" s="144"/>
      <c r="O141" s="144"/>
      <c r="P141" s="144"/>
      <c r="Q141" s="144"/>
      <c r="R141" s="144"/>
      <c r="S141" s="144"/>
      <c r="T141" s="144"/>
      <c r="U141" s="144"/>
      <c r="V141" s="144"/>
      <c r="W141" s="144"/>
      <c r="X141" s="144"/>
      <c r="Y141" s="144"/>
      <c r="Z141" s="144"/>
    </row>
    <row r="142" spans="1:26" x14ac:dyDescent="0.3">
      <c r="A142" s="144"/>
      <c r="B142" s="144"/>
      <c r="C142" s="144"/>
      <c r="D142" s="144"/>
      <c r="E142" s="144"/>
      <c r="F142" s="52"/>
      <c r="G142" s="52"/>
      <c r="H142" s="52"/>
      <c r="I142" s="52"/>
      <c r="J142" s="52"/>
      <c r="K142" s="144"/>
      <c r="L142" s="144"/>
      <c r="M142" s="144"/>
      <c r="N142" s="144"/>
      <c r="O142" s="144"/>
      <c r="P142" s="144"/>
      <c r="Q142" s="144"/>
      <c r="R142" s="144"/>
      <c r="S142" s="144"/>
      <c r="T142" s="144"/>
      <c r="U142" s="144"/>
      <c r="V142" s="144"/>
      <c r="W142" s="144"/>
      <c r="X142" s="144"/>
      <c r="Y142" s="144"/>
      <c r="Z142" s="144"/>
    </row>
    <row r="143" spans="1:26" x14ac:dyDescent="0.3">
      <c r="A143" s="144"/>
      <c r="B143" s="144"/>
      <c r="C143" s="144"/>
      <c r="D143" s="144"/>
      <c r="E143" s="144"/>
      <c r="F143" s="52"/>
      <c r="G143" s="52"/>
      <c r="H143" s="52"/>
      <c r="I143" s="52"/>
      <c r="J143" s="52"/>
      <c r="K143" s="144"/>
      <c r="L143" s="144"/>
      <c r="M143" s="144"/>
      <c r="N143" s="144"/>
      <c r="O143" s="144"/>
      <c r="P143" s="144"/>
      <c r="Q143" s="144"/>
      <c r="R143" s="144"/>
      <c r="S143" s="144"/>
      <c r="T143" s="144"/>
      <c r="U143" s="144"/>
      <c r="V143" s="144"/>
      <c r="W143" s="144"/>
      <c r="X143" s="144"/>
      <c r="Y143" s="144"/>
      <c r="Z143" s="144"/>
    </row>
    <row r="144" spans="1:26" x14ac:dyDescent="0.3">
      <c r="A144" s="144"/>
      <c r="B144" s="144"/>
      <c r="C144" s="144"/>
      <c r="D144" s="144"/>
      <c r="E144" s="144"/>
      <c r="F144" s="52"/>
      <c r="G144" s="52"/>
      <c r="H144" s="52"/>
      <c r="I144" s="52"/>
      <c r="J144" s="52"/>
      <c r="K144" s="144"/>
      <c r="L144" s="144"/>
      <c r="M144" s="144"/>
      <c r="N144" s="144"/>
      <c r="O144" s="144"/>
      <c r="P144" s="144"/>
      <c r="Q144" s="144"/>
      <c r="R144" s="144"/>
      <c r="S144" s="144"/>
      <c r="T144" s="144"/>
      <c r="U144" s="144"/>
      <c r="V144" s="144"/>
      <c r="W144" s="144"/>
      <c r="X144" s="144"/>
      <c r="Y144" s="144"/>
      <c r="Z144" s="144"/>
    </row>
    <row r="145" spans="1:26" x14ac:dyDescent="0.3">
      <c r="A145" s="144"/>
      <c r="B145" s="144"/>
      <c r="C145" s="144"/>
      <c r="D145" s="144"/>
      <c r="E145" s="144"/>
      <c r="F145" s="52"/>
      <c r="G145" s="52"/>
      <c r="H145" s="52"/>
      <c r="I145" s="52"/>
      <c r="J145" s="52"/>
      <c r="K145" s="144"/>
      <c r="L145" s="144"/>
      <c r="M145" s="144"/>
      <c r="N145" s="144"/>
      <c r="O145" s="144"/>
      <c r="P145" s="144"/>
      <c r="Q145" s="144"/>
      <c r="R145" s="144"/>
      <c r="S145" s="144"/>
      <c r="T145" s="144"/>
      <c r="U145" s="144"/>
      <c r="V145" s="144"/>
      <c r="W145" s="144"/>
      <c r="X145" s="144"/>
      <c r="Y145" s="144"/>
      <c r="Z145" s="144"/>
    </row>
    <row r="146" spans="1:26" x14ac:dyDescent="0.3">
      <c r="A146" s="144"/>
      <c r="B146" s="144"/>
      <c r="C146" s="144"/>
      <c r="D146" s="144"/>
      <c r="E146" s="144"/>
      <c r="F146" s="52"/>
      <c r="G146" s="52"/>
      <c r="H146" s="52"/>
      <c r="I146" s="52"/>
      <c r="J146" s="52"/>
      <c r="K146" s="144"/>
      <c r="L146" s="144"/>
      <c r="M146" s="144"/>
      <c r="N146" s="144"/>
      <c r="O146" s="144"/>
      <c r="P146" s="144"/>
      <c r="Q146" s="144"/>
      <c r="R146" s="144"/>
      <c r="S146" s="144"/>
      <c r="T146" s="144"/>
      <c r="U146" s="144"/>
      <c r="V146" s="144"/>
      <c r="W146" s="144"/>
      <c r="X146" s="144"/>
      <c r="Y146" s="144"/>
      <c r="Z146" s="144"/>
    </row>
    <row r="147" spans="1:26" x14ac:dyDescent="0.3">
      <c r="A147" s="144"/>
      <c r="B147" s="144"/>
      <c r="C147" s="144"/>
      <c r="D147" s="144"/>
      <c r="E147" s="144"/>
      <c r="F147" s="52"/>
      <c r="G147" s="52"/>
      <c r="H147" s="52"/>
      <c r="I147" s="52"/>
      <c r="J147" s="52"/>
      <c r="K147" s="144"/>
      <c r="L147" s="144"/>
      <c r="M147" s="144"/>
      <c r="N147" s="144"/>
      <c r="O147" s="144"/>
      <c r="P147" s="144"/>
      <c r="Q147" s="144"/>
      <c r="R147" s="144"/>
      <c r="S147" s="144"/>
      <c r="T147" s="144"/>
      <c r="U147" s="144"/>
      <c r="V147" s="144"/>
      <c r="W147" s="144"/>
      <c r="X147" s="144"/>
      <c r="Y147" s="144"/>
      <c r="Z147" s="144"/>
    </row>
    <row r="148" spans="1:26" x14ac:dyDescent="0.3">
      <c r="A148" s="144"/>
      <c r="B148" s="144"/>
      <c r="C148" s="144"/>
      <c r="D148" s="144"/>
      <c r="E148" s="144"/>
      <c r="F148" s="52"/>
      <c r="G148" s="52"/>
      <c r="H148" s="52"/>
      <c r="I148" s="52"/>
      <c r="J148" s="52"/>
      <c r="K148" s="144"/>
      <c r="L148" s="144"/>
      <c r="M148" s="144"/>
      <c r="N148" s="144"/>
      <c r="O148" s="144"/>
      <c r="P148" s="144"/>
      <c r="Q148" s="144"/>
      <c r="R148" s="144"/>
      <c r="S148" s="144"/>
      <c r="T148" s="144"/>
      <c r="U148" s="144"/>
      <c r="V148" s="144"/>
      <c r="W148" s="144"/>
      <c r="X148" s="144"/>
      <c r="Y148" s="144"/>
      <c r="Z148" s="144"/>
    </row>
    <row r="149" spans="1:26" x14ac:dyDescent="0.3">
      <c r="A149" s="144"/>
      <c r="B149" s="144"/>
      <c r="C149" s="144"/>
      <c r="D149" s="144"/>
      <c r="E149" s="144"/>
      <c r="F149" s="52"/>
      <c r="G149" s="52"/>
      <c r="H149" s="52"/>
      <c r="I149" s="52"/>
      <c r="J149" s="52"/>
      <c r="K149" s="144"/>
      <c r="L149" s="144"/>
      <c r="M149" s="144"/>
      <c r="N149" s="144"/>
      <c r="O149" s="144"/>
      <c r="P149" s="144"/>
      <c r="Q149" s="144"/>
      <c r="R149" s="144"/>
      <c r="S149" s="144"/>
      <c r="T149" s="144"/>
      <c r="U149" s="144"/>
      <c r="V149" s="144"/>
      <c r="W149" s="144"/>
      <c r="X149" s="144"/>
      <c r="Y149" s="144"/>
      <c r="Z149" s="144"/>
    </row>
    <row r="150" spans="1:26" x14ac:dyDescent="0.3">
      <c r="A150" s="144"/>
      <c r="B150" s="144"/>
      <c r="C150" s="144"/>
      <c r="D150" s="144"/>
      <c r="E150" s="144"/>
      <c r="F150" s="52"/>
      <c r="G150" s="52"/>
      <c r="H150" s="52"/>
      <c r="I150" s="52"/>
      <c r="J150" s="52"/>
      <c r="K150" s="144"/>
      <c r="L150" s="144"/>
      <c r="M150" s="144"/>
      <c r="N150" s="144"/>
      <c r="O150" s="144"/>
      <c r="P150" s="144"/>
      <c r="Q150" s="144"/>
      <c r="R150" s="144"/>
      <c r="S150" s="144"/>
      <c r="T150" s="144"/>
      <c r="U150" s="144"/>
      <c r="V150" s="144"/>
      <c r="W150" s="144"/>
      <c r="X150" s="144"/>
      <c r="Y150" s="144"/>
      <c r="Z150" s="144"/>
    </row>
    <row r="151" spans="1:26" x14ac:dyDescent="0.3">
      <c r="A151" s="144"/>
      <c r="B151" s="144"/>
      <c r="C151" s="144"/>
      <c r="D151" s="144"/>
      <c r="E151" s="144"/>
      <c r="F151" s="52"/>
      <c r="G151" s="52"/>
      <c r="H151" s="52"/>
      <c r="I151" s="52"/>
      <c r="J151" s="52"/>
      <c r="K151" s="144"/>
      <c r="L151" s="144"/>
      <c r="M151" s="144"/>
      <c r="N151" s="144"/>
      <c r="O151" s="144"/>
      <c r="P151" s="144"/>
      <c r="Q151" s="144"/>
      <c r="R151" s="144"/>
      <c r="S151" s="144"/>
      <c r="T151" s="144"/>
      <c r="U151" s="144"/>
      <c r="V151" s="144"/>
      <c r="W151" s="144"/>
      <c r="X151" s="144"/>
      <c r="Y151" s="144"/>
      <c r="Z151" s="144"/>
    </row>
    <row r="152" spans="1:26" x14ac:dyDescent="0.3">
      <c r="A152" s="144"/>
      <c r="B152" s="144"/>
      <c r="C152" s="144"/>
      <c r="D152" s="144"/>
      <c r="E152" s="144"/>
      <c r="F152" s="52"/>
      <c r="G152" s="52"/>
      <c r="H152" s="52"/>
      <c r="I152" s="52"/>
      <c r="J152" s="52"/>
      <c r="K152" s="144"/>
      <c r="L152" s="144"/>
      <c r="M152" s="144"/>
      <c r="N152" s="144"/>
      <c r="O152" s="144"/>
      <c r="P152" s="144"/>
      <c r="Q152" s="144"/>
      <c r="R152" s="144"/>
      <c r="S152" s="144"/>
      <c r="T152" s="144"/>
      <c r="U152" s="144"/>
      <c r="V152" s="144"/>
      <c r="W152" s="144"/>
      <c r="X152" s="144"/>
      <c r="Y152" s="144"/>
      <c r="Z152" s="144"/>
    </row>
    <row r="153" spans="1:26" x14ac:dyDescent="0.3">
      <c r="A153" s="144"/>
      <c r="B153" s="144"/>
      <c r="C153" s="144"/>
      <c r="D153" s="144"/>
      <c r="E153" s="144"/>
      <c r="F153" s="52"/>
      <c r="G153" s="52"/>
      <c r="H153" s="52"/>
      <c r="I153" s="52"/>
      <c r="J153" s="52"/>
      <c r="K153" s="144"/>
      <c r="L153" s="144"/>
      <c r="M153" s="144"/>
      <c r="N153" s="144"/>
      <c r="O153" s="144"/>
      <c r="P153" s="144"/>
      <c r="Q153" s="144"/>
      <c r="R153" s="144"/>
      <c r="S153" s="144"/>
      <c r="T153" s="144"/>
      <c r="U153" s="144"/>
      <c r="V153" s="144"/>
      <c r="W153" s="144"/>
      <c r="X153" s="144"/>
      <c r="Y153" s="144"/>
      <c r="Z153" s="144"/>
    </row>
    <row r="154" spans="1:26" x14ac:dyDescent="0.3">
      <c r="A154" s="144"/>
      <c r="B154" s="144"/>
      <c r="C154" s="144"/>
      <c r="D154" s="144"/>
      <c r="E154" s="144"/>
      <c r="F154" s="52"/>
      <c r="G154" s="52"/>
      <c r="H154" s="52"/>
      <c r="I154" s="52"/>
      <c r="J154" s="52"/>
      <c r="K154" s="144"/>
      <c r="L154" s="144"/>
      <c r="M154" s="144"/>
      <c r="N154" s="144"/>
      <c r="O154" s="144"/>
      <c r="P154" s="144"/>
      <c r="Q154" s="144"/>
      <c r="R154" s="144"/>
      <c r="S154" s="144"/>
      <c r="T154" s="144"/>
      <c r="U154" s="144"/>
      <c r="V154" s="144"/>
      <c r="W154" s="144"/>
      <c r="X154" s="144"/>
      <c r="Y154" s="144"/>
      <c r="Z154" s="144"/>
    </row>
    <row r="155" spans="1:26" x14ac:dyDescent="0.3">
      <c r="A155" s="144"/>
      <c r="B155" s="144"/>
      <c r="C155" s="144"/>
      <c r="D155" s="144"/>
      <c r="E155" s="144"/>
      <c r="F155" s="52"/>
      <c r="G155" s="52"/>
      <c r="H155" s="52"/>
      <c r="I155" s="52"/>
      <c r="J155" s="52"/>
      <c r="K155" s="144"/>
      <c r="L155" s="144"/>
      <c r="M155" s="144"/>
      <c r="N155" s="144"/>
      <c r="O155" s="144"/>
      <c r="P155" s="144"/>
      <c r="Q155" s="144"/>
      <c r="R155" s="144"/>
      <c r="S155" s="144"/>
      <c r="T155" s="144"/>
      <c r="U155" s="144"/>
      <c r="V155" s="144"/>
      <c r="W155" s="144"/>
      <c r="X155" s="144"/>
      <c r="Y155" s="144"/>
      <c r="Z155" s="144"/>
    </row>
    <row r="156" spans="1:26" x14ac:dyDescent="0.3">
      <c r="A156" s="144"/>
      <c r="B156" s="144"/>
      <c r="C156" s="144"/>
      <c r="D156" s="144"/>
      <c r="E156" s="144"/>
      <c r="F156" s="52"/>
      <c r="G156" s="52"/>
      <c r="H156" s="52"/>
      <c r="I156" s="52"/>
      <c r="J156" s="52"/>
      <c r="K156" s="144"/>
      <c r="L156" s="144"/>
      <c r="M156" s="144"/>
      <c r="N156" s="144"/>
      <c r="O156" s="144"/>
      <c r="P156" s="144"/>
      <c r="Q156" s="144"/>
      <c r="R156" s="144"/>
      <c r="S156" s="144"/>
      <c r="T156" s="144"/>
      <c r="U156" s="144"/>
      <c r="V156" s="144"/>
      <c r="W156" s="144"/>
      <c r="X156" s="144"/>
      <c r="Y156" s="144"/>
      <c r="Z156" s="144"/>
    </row>
    <row r="157" spans="1:26" x14ac:dyDescent="0.3">
      <c r="A157" s="144"/>
      <c r="B157" s="144"/>
      <c r="C157" s="144"/>
      <c r="D157" s="144"/>
      <c r="E157" s="144"/>
      <c r="F157" s="52"/>
      <c r="G157" s="52"/>
      <c r="H157" s="52"/>
      <c r="I157" s="52"/>
      <c r="J157" s="52"/>
      <c r="K157" s="144"/>
      <c r="L157" s="144"/>
      <c r="M157" s="144"/>
      <c r="N157" s="144"/>
      <c r="O157" s="144"/>
      <c r="P157" s="144"/>
      <c r="Q157" s="144"/>
      <c r="R157" s="144"/>
      <c r="S157" s="144"/>
      <c r="T157" s="144"/>
      <c r="U157" s="144"/>
      <c r="V157" s="144"/>
      <c r="W157" s="144"/>
      <c r="X157" s="144"/>
      <c r="Y157" s="144"/>
      <c r="Z157" s="144"/>
    </row>
    <row r="158" spans="1:26" x14ac:dyDescent="0.3">
      <c r="A158" s="144"/>
      <c r="B158" s="144"/>
      <c r="C158" s="144"/>
      <c r="D158" s="144"/>
      <c r="E158" s="144"/>
      <c r="F158" s="52"/>
      <c r="G158" s="52"/>
      <c r="H158" s="52"/>
      <c r="I158" s="52"/>
      <c r="J158" s="52"/>
      <c r="K158" s="144"/>
      <c r="L158" s="144"/>
      <c r="M158" s="144"/>
      <c r="N158" s="144"/>
      <c r="O158" s="144"/>
      <c r="P158" s="144"/>
      <c r="Q158" s="144"/>
      <c r="R158" s="144"/>
      <c r="S158" s="144"/>
      <c r="T158" s="144"/>
      <c r="U158" s="144"/>
      <c r="V158" s="144"/>
      <c r="W158" s="144"/>
      <c r="X158" s="144"/>
      <c r="Y158" s="144"/>
      <c r="Z158" s="144"/>
    </row>
    <row r="159" spans="1:26" x14ac:dyDescent="0.3">
      <c r="A159" s="144"/>
      <c r="B159" s="144"/>
      <c r="C159" s="144"/>
      <c r="D159" s="144"/>
      <c r="E159" s="144"/>
      <c r="F159" s="52"/>
      <c r="G159" s="52"/>
      <c r="H159" s="52"/>
      <c r="I159" s="52"/>
      <c r="J159" s="52"/>
      <c r="K159" s="144"/>
      <c r="L159" s="144"/>
      <c r="M159" s="144"/>
      <c r="N159" s="144"/>
      <c r="O159" s="144"/>
      <c r="P159" s="144"/>
      <c r="Q159" s="144"/>
      <c r="R159" s="144"/>
      <c r="S159" s="144"/>
      <c r="T159" s="144"/>
      <c r="U159" s="144"/>
      <c r="V159" s="144"/>
      <c r="W159" s="144"/>
      <c r="X159" s="144"/>
      <c r="Y159" s="144"/>
      <c r="Z159" s="144"/>
    </row>
    <row r="160" spans="1:26" x14ac:dyDescent="0.3">
      <c r="A160" s="144"/>
      <c r="B160" s="144"/>
      <c r="C160" s="144"/>
      <c r="D160" s="144"/>
      <c r="E160" s="144"/>
      <c r="F160" s="52"/>
      <c r="G160" s="52"/>
      <c r="H160" s="52"/>
      <c r="I160" s="52"/>
      <c r="J160" s="52"/>
      <c r="K160" s="144"/>
      <c r="L160" s="144"/>
      <c r="M160" s="144"/>
      <c r="N160" s="144"/>
      <c r="O160" s="144"/>
      <c r="P160" s="144"/>
      <c r="Q160" s="144"/>
      <c r="R160" s="144"/>
      <c r="S160" s="144"/>
      <c r="T160" s="144"/>
      <c r="U160" s="144"/>
      <c r="V160" s="144"/>
      <c r="W160" s="144"/>
      <c r="X160" s="144"/>
      <c r="Y160" s="144"/>
      <c r="Z160" s="144"/>
    </row>
    <row r="161" spans="1:26" x14ac:dyDescent="0.3">
      <c r="A161" s="144"/>
      <c r="B161" s="144"/>
      <c r="C161" s="144"/>
      <c r="D161" s="144"/>
      <c r="E161" s="144"/>
      <c r="F161" s="52"/>
      <c r="G161" s="52"/>
      <c r="H161" s="52"/>
      <c r="I161" s="52"/>
      <c r="J161" s="52"/>
      <c r="K161" s="144"/>
      <c r="L161" s="144"/>
      <c r="M161" s="144"/>
      <c r="N161" s="144"/>
      <c r="O161" s="144"/>
      <c r="P161" s="144"/>
      <c r="Q161" s="144"/>
      <c r="R161" s="144"/>
      <c r="S161" s="144"/>
      <c r="T161" s="144"/>
      <c r="U161" s="144"/>
      <c r="V161" s="144"/>
      <c r="W161" s="144"/>
      <c r="X161" s="144"/>
      <c r="Y161" s="144"/>
      <c r="Z161" s="144"/>
    </row>
    <row r="162" spans="1:26" x14ac:dyDescent="0.3">
      <c r="A162" s="144"/>
      <c r="B162" s="144"/>
      <c r="C162" s="144"/>
      <c r="D162" s="144"/>
      <c r="E162" s="144"/>
      <c r="F162" s="52"/>
      <c r="G162" s="52"/>
      <c r="H162" s="52"/>
      <c r="I162" s="52"/>
      <c r="J162" s="52"/>
      <c r="K162" s="144"/>
      <c r="L162" s="144"/>
      <c r="M162" s="144"/>
      <c r="N162" s="144"/>
      <c r="O162" s="144"/>
      <c r="P162" s="144"/>
      <c r="Q162" s="144"/>
      <c r="R162" s="144"/>
      <c r="S162" s="144"/>
      <c r="T162" s="144"/>
      <c r="U162" s="144"/>
      <c r="V162" s="144"/>
      <c r="W162" s="144"/>
      <c r="X162" s="144"/>
      <c r="Y162" s="144"/>
      <c r="Z162" s="144"/>
    </row>
    <row r="163" spans="1:26" x14ac:dyDescent="0.3">
      <c r="A163" s="144"/>
      <c r="B163" s="144"/>
      <c r="C163" s="144"/>
      <c r="D163" s="144"/>
      <c r="E163" s="144"/>
      <c r="F163" s="52"/>
      <c r="G163" s="52"/>
      <c r="H163" s="52"/>
      <c r="I163" s="52"/>
      <c r="J163" s="52"/>
      <c r="K163" s="144"/>
      <c r="L163" s="144"/>
      <c r="M163" s="144"/>
      <c r="N163" s="144"/>
      <c r="O163" s="144"/>
      <c r="P163" s="144"/>
      <c r="Q163" s="144"/>
      <c r="R163" s="144"/>
      <c r="S163" s="144"/>
      <c r="T163" s="144"/>
      <c r="U163" s="144"/>
      <c r="V163" s="144"/>
      <c r="W163" s="144"/>
      <c r="X163" s="144"/>
      <c r="Y163" s="144"/>
      <c r="Z163" s="144"/>
    </row>
    <row r="164" spans="1:26" x14ac:dyDescent="0.3">
      <c r="A164" s="144"/>
      <c r="B164" s="144"/>
      <c r="C164" s="144"/>
      <c r="D164" s="144"/>
      <c r="E164" s="144"/>
      <c r="F164" s="52"/>
      <c r="G164" s="52"/>
      <c r="H164" s="52"/>
      <c r="I164" s="52"/>
      <c r="J164" s="52"/>
      <c r="K164" s="144"/>
      <c r="L164" s="144"/>
      <c r="M164" s="144"/>
      <c r="N164" s="144"/>
      <c r="O164" s="144"/>
      <c r="P164" s="144"/>
      <c r="Q164" s="144"/>
      <c r="R164" s="144"/>
      <c r="S164" s="144"/>
      <c r="T164" s="144"/>
      <c r="U164" s="144"/>
      <c r="V164" s="144"/>
      <c r="W164" s="144"/>
      <c r="X164" s="144"/>
      <c r="Y164" s="144"/>
      <c r="Z164" s="144"/>
    </row>
    <row r="165" spans="1:26" x14ac:dyDescent="0.3">
      <c r="A165" s="144"/>
      <c r="B165" s="144"/>
      <c r="C165" s="144"/>
      <c r="D165" s="144"/>
      <c r="E165" s="144"/>
      <c r="F165" s="52"/>
      <c r="G165" s="52"/>
      <c r="H165" s="52"/>
      <c r="I165" s="52"/>
      <c r="J165" s="52"/>
      <c r="K165" s="144"/>
      <c r="L165" s="144"/>
      <c r="M165" s="144"/>
      <c r="N165" s="144"/>
      <c r="O165" s="144"/>
      <c r="P165" s="144"/>
      <c r="Q165" s="144"/>
      <c r="R165" s="144"/>
      <c r="S165" s="144"/>
      <c r="T165" s="144"/>
      <c r="U165" s="144"/>
      <c r="V165" s="144"/>
      <c r="W165" s="144"/>
      <c r="X165" s="144"/>
      <c r="Y165" s="144"/>
      <c r="Z165" s="144"/>
    </row>
    <row r="166" spans="1:26" x14ac:dyDescent="0.3">
      <c r="A166" s="144"/>
      <c r="B166" s="144"/>
      <c r="C166" s="144"/>
      <c r="D166" s="144"/>
      <c r="E166" s="144"/>
      <c r="F166" s="52"/>
      <c r="G166" s="52"/>
      <c r="H166" s="52"/>
      <c r="I166" s="52"/>
      <c r="J166" s="52"/>
      <c r="K166" s="144"/>
      <c r="L166" s="144"/>
      <c r="M166" s="144"/>
      <c r="N166" s="144"/>
      <c r="O166" s="144"/>
      <c r="P166" s="144"/>
      <c r="Q166" s="144"/>
      <c r="R166" s="144"/>
      <c r="S166" s="144"/>
      <c r="T166" s="144"/>
      <c r="U166" s="144"/>
      <c r="V166" s="144"/>
      <c r="W166" s="144"/>
      <c r="X166" s="144"/>
      <c r="Y166" s="144"/>
      <c r="Z166" s="144"/>
    </row>
    <row r="167" spans="1:26" x14ac:dyDescent="0.3">
      <c r="A167" s="144"/>
      <c r="B167" s="144"/>
      <c r="C167" s="144"/>
      <c r="D167" s="144"/>
      <c r="E167" s="144"/>
      <c r="F167" s="52"/>
      <c r="G167" s="52"/>
      <c r="H167" s="52"/>
      <c r="I167" s="52"/>
      <c r="J167" s="52"/>
      <c r="K167" s="144"/>
      <c r="L167" s="144"/>
      <c r="M167" s="144"/>
      <c r="N167" s="144"/>
      <c r="O167" s="144"/>
      <c r="P167" s="144"/>
      <c r="Q167" s="144"/>
      <c r="R167" s="144"/>
      <c r="S167" s="144"/>
      <c r="T167" s="144"/>
      <c r="U167" s="144"/>
      <c r="V167" s="144"/>
      <c r="W167" s="144"/>
      <c r="X167" s="144"/>
      <c r="Y167" s="144"/>
      <c r="Z167" s="144"/>
    </row>
    <row r="168" spans="1:26" x14ac:dyDescent="0.3">
      <c r="A168" s="144"/>
      <c r="B168" s="144"/>
      <c r="C168" s="144"/>
      <c r="D168" s="144"/>
      <c r="E168" s="144"/>
      <c r="F168" s="52"/>
      <c r="G168" s="52"/>
      <c r="H168" s="52"/>
      <c r="I168" s="52"/>
      <c r="J168" s="52"/>
      <c r="K168" s="144"/>
      <c r="L168" s="144"/>
      <c r="M168" s="144"/>
      <c r="N168" s="144"/>
      <c r="O168" s="144"/>
      <c r="P168" s="144"/>
      <c r="Q168" s="144"/>
      <c r="R168" s="144"/>
      <c r="S168" s="144"/>
      <c r="T168" s="144"/>
      <c r="U168" s="144"/>
      <c r="V168" s="144"/>
      <c r="W168" s="144"/>
      <c r="X168" s="144"/>
      <c r="Y168" s="144"/>
      <c r="Z168" s="144"/>
    </row>
    <row r="169" spans="1:26" x14ac:dyDescent="0.3">
      <c r="A169" s="144"/>
      <c r="B169" s="144"/>
      <c r="C169" s="144"/>
      <c r="D169" s="144"/>
      <c r="E169" s="144"/>
      <c r="F169" s="52"/>
      <c r="G169" s="52"/>
      <c r="H169" s="52"/>
      <c r="I169" s="52"/>
      <c r="J169" s="52"/>
      <c r="K169" s="144"/>
      <c r="L169" s="144"/>
      <c r="M169" s="144"/>
      <c r="N169" s="144"/>
      <c r="O169" s="144"/>
      <c r="P169" s="144"/>
      <c r="Q169" s="144"/>
      <c r="R169" s="144"/>
      <c r="S169" s="144"/>
      <c r="T169" s="144"/>
      <c r="U169" s="144"/>
      <c r="V169" s="144"/>
      <c r="W169" s="144"/>
      <c r="X169" s="144"/>
      <c r="Y169" s="144"/>
      <c r="Z169" s="144"/>
    </row>
    <row r="170" spans="1:26" x14ac:dyDescent="0.3">
      <c r="A170" s="144"/>
      <c r="B170" s="144"/>
      <c r="C170" s="144"/>
      <c r="D170" s="144"/>
      <c r="E170" s="144"/>
      <c r="F170" s="52"/>
      <c r="G170" s="52"/>
      <c r="H170" s="52"/>
      <c r="I170" s="52"/>
      <c r="J170" s="52"/>
      <c r="K170" s="144"/>
      <c r="L170" s="144"/>
      <c r="M170" s="144"/>
      <c r="N170" s="144"/>
      <c r="O170" s="144"/>
      <c r="P170" s="144"/>
      <c r="Q170" s="144"/>
      <c r="R170" s="144"/>
      <c r="S170" s="144"/>
      <c r="T170" s="144"/>
      <c r="U170" s="144"/>
      <c r="V170" s="144"/>
      <c r="W170" s="144"/>
      <c r="X170" s="144"/>
      <c r="Y170" s="144"/>
      <c r="Z170" s="144"/>
    </row>
    <row r="171" spans="1:26" x14ac:dyDescent="0.3">
      <c r="A171" s="144"/>
      <c r="B171" s="144"/>
      <c r="C171" s="144"/>
      <c r="D171" s="144"/>
      <c r="E171" s="144"/>
      <c r="F171" s="52"/>
      <c r="G171" s="52"/>
      <c r="H171" s="52"/>
      <c r="I171" s="52"/>
      <c r="J171" s="52"/>
      <c r="K171" s="144"/>
      <c r="L171" s="144"/>
      <c r="M171" s="144"/>
      <c r="N171" s="144"/>
      <c r="O171" s="144"/>
      <c r="P171" s="144"/>
      <c r="Q171" s="144"/>
      <c r="R171" s="144"/>
      <c r="S171" s="144"/>
      <c r="T171" s="144"/>
      <c r="U171" s="144"/>
      <c r="V171" s="144"/>
      <c r="W171" s="144"/>
      <c r="X171" s="144"/>
      <c r="Y171" s="144"/>
      <c r="Z171" s="144"/>
    </row>
    <row r="172" spans="1:26" x14ac:dyDescent="0.3">
      <c r="A172" s="144"/>
      <c r="B172" s="144"/>
      <c r="C172" s="144"/>
      <c r="D172" s="144"/>
      <c r="E172" s="144"/>
      <c r="F172" s="52"/>
      <c r="G172" s="52"/>
      <c r="H172" s="52"/>
      <c r="I172" s="52"/>
      <c r="J172" s="52"/>
      <c r="K172" s="144"/>
      <c r="L172" s="144"/>
      <c r="M172" s="144"/>
      <c r="N172" s="144"/>
      <c r="O172" s="144"/>
      <c r="P172" s="144"/>
      <c r="Q172" s="144"/>
      <c r="R172" s="144"/>
      <c r="S172" s="144"/>
      <c r="T172" s="144"/>
      <c r="U172" s="144"/>
      <c r="V172" s="144"/>
      <c r="W172" s="144"/>
      <c r="X172" s="144"/>
      <c r="Y172" s="144"/>
      <c r="Z172" s="144"/>
    </row>
    <row r="173" spans="1:26" x14ac:dyDescent="0.3">
      <c r="A173" s="144"/>
      <c r="B173" s="144"/>
      <c r="C173" s="144"/>
      <c r="D173" s="144"/>
      <c r="E173" s="144"/>
      <c r="F173" s="52"/>
      <c r="G173" s="52"/>
      <c r="H173" s="52"/>
      <c r="I173" s="52"/>
      <c r="J173" s="52"/>
      <c r="K173" s="144"/>
      <c r="L173" s="144"/>
      <c r="M173" s="144"/>
      <c r="N173" s="144"/>
      <c r="O173" s="144"/>
      <c r="P173" s="144"/>
      <c r="Q173" s="144"/>
      <c r="R173" s="144"/>
      <c r="S173" s="144"/>
      <c r="T173" s="144"/>
      <c r="U173" s="144"/>
      <c r="V173" s="144"/>
      <c r="W173" s="144"/>
      <c r="X173" s="144"/>
      <c r="Y173" s="144"/>
      <c r="Z173" s="144"/>
    </row>
    <row r="174" spans="1:26" x14ac:dyDescent="0.3">
      <c r="A174" s="144"/>
      <c r="B174" s="144"/>
      <c r="C174" s="144"/>
      <c r="D174" s="144"/>
      <c r="E174" s="144"/>
      <c r="F174" s="52"/>
      <c r="G174" s="52"/>
      <c r="H174" s="52"/>
      <c r="I174" s="52"/>
      <c r="J174" s="52"/>
      <c r="K174" s="144"/>
      <c r="L174" s="144"/>
      <c r="M174" s="144"/>
      <c r="N174" s="144"/>
      <c r="O174" s="144"/>
      <c r="P174" s="144"/>
      <c r="Q174" s="144"/>
      <c r="R174" s="144"/>
      <c r="S174" s="144"/>
      <c r="T174" s="144"/>
      <c r="U174" s="144"/>
      <c r="V174" s="144"/>
      <c r="W174" s="144"/>
      <c r="X174" s="144"/>
      <c r="Y174" s="144"/>
      <c r="Z174" s="144"/>
    </row>
    <row r="175" spans="1:26" x14ac:dyDescent="0.3">
      <c r="A175" s="144"/>
      <c r="B175" s="144"/>
      <c r="C175" s="144"/>
      <c r="D175" s="144"/>
      <c r="E175" s="144"/>
      <c r="F175" s="52"/>
      <c r="G175" s="52"/>
      <c r="H175" s="52"/>
      <c r="I175" s="52"/>
      <c r="J175" s="52"/>
      <c r="K175" s="144"/>
      <c r="L175" s="144"/>
      <c r="M175" s="144"/>
      <c r="N175" s="144"/>
      <c r="O175" s="144"/>
      <c r="P175" s="144"/>
      <c r="Q175" s="144"/>
      <c r="R175" s="144"/>
      <c r="S175" s="144"/>
      <c r="T175" s="144"/>
      <c r="U175" s="144"/>
      <c r="V175" s="144"/>
      <c r="W175" s="144"/>
      <c r="X175" s="144"/>
      <c r="Y175" s="144"/>
      <c r="Z175" s="144"/>
    </row>
    <row r="176" spans="1:26" x14ac:dyDescent="0.3">
      <c r="A176" s="144"/>
      <c r="B176" s="144"/>
      <c r="C176" s="144"/>
      <c r="D176" s="144"/>
      <c r="E176" s="144"/>
      <c r="F176" s="52"/>
      <c r="G176" s="52"/>
      <c r="H176" s="52"/>
      <c r="I176" s="52"/>
      <c r="J176" s="52"/>
      <c r="K176" s="144"/>
      <c r="L176" s="144"/>
      <c r="M176" s="144"/>
      <c r="N176" s="144"/>
      <c r="O176" s="144"/>
      <c r="P176" s="144"/>
      <c r="Q176" s="144"/>
      <c r="R176" s="144"/>
      <c r="S176" s="144"/>
      <c r="T176" s="144"/>
      <c r="U176" s="144"/>
      <c r="V176" s="144"/>
      <c r="W176" s="144"/>
      <c r="X176" s="144"/>
      <c r="Y176" s="144"/>
      <c r="Z176" s="144"/>
    </row>
    <row r="177" spans="1:26" x14ac:dyDescent="0.3">
      <c r="A177" s="144"/>
      <c r="B177" s="144"/>
      <c r="C177" s="144"/>
      <c r="D177" s="144"/>
      <c r="E177" s="144"/>
      <c r="F177" s="52"/>
      <c r="G177" s="52"/>
      <c r="H177" s="52"/>
      <c r="I177" s="52"/>
      <c r="J177" s="52"/>
      <c r="K177" s="144"/>
      <c r="L177" s="144"/>
      <c r="M177" s="144"/>
      <c r="N177" s="144"/>
      <c r="O177" s="144"/>
      <c r="P177" s="144"/>
      <c r="Q177" s="144"/>
      <c r="R177" s="144"/>
      <c r="S177" s="144"/>
      <c r="T177" s="144"/>
      <c r="U177" s="144"/>
      <c r="V177" s="144"/>
      <c r="W177" s="144"/>
      <c r="X177" s="144"/>
      <c r="Y177" s="144"/>
      <c r="Z177" s="144"/>
    </row>
    <row r="178" spans="1:26" x14ac:dyDescent="0.3">
      <c r="A178" s="144"/>
      <c r="B178" s="144"/>
      <c r="C178" s="144"/>
      <c r="D178" s="144"/>
      <c r="E178" s="144"/>
      <c r="F178" s="52"/>
      <c r="G178" s="52"/>
      <c r="H178" s="52"/>
      <c r="I178" s="52"/>
      <c r="J178" s="52"/>
      <c r="K178" s="144"/>
      <c r="L178" s="144"/>
      <c r="M178" s="144"/>
      <c r="N178" s="144"/>
      <c r="O178" s="144"/>
      <c r="P178" s="144"/>
      <c r="Q178" s="144"/>
      <c r="R178" s="144"/>
      <c r="S178" s="144"/>
      <c r="T178" s="144"/>
      <c r="U178" s="144"/>
      <c r="V178" s="144"/>
      <c r="W178" s="144"/>
      <c r="X178" s="144"/>
      <c r="Y178" s="144"/>
      <c r="Z178" s="144"/>
    </row>
    <row r="179" spans="1:26" x14ac:dyDescent="0.3">
      <c r="A179" s="144"/>
      <c r="B179" s="144"/>
      <c r="C179" s="144"/>
      <c r="D179" s="144"/>
      <c r="E179" s="144"/>
      <c r="F179" s="52"/>
      <c r="G179" s="52"/>
      <c r="H179" s="52"/>
      <c r="I179" s="52"/>
      <c r="J179" s="52"/>
      <c r="K179" s="144"/>
      <c r="L179" s="144"/>
      <c r="M179" s="144"/>
      <c r="N179" s="144"/>
      <c r="O179" s="144"/>
      <c r="P179" s="144"/>
      <c r="Q179" s="144"/>
      <c r="R179" s="144"/>
      <c r="S179" s="144"/>
      <c r="T179" s="144"/>
      <c r="U179" s="144"/>
      <c r="V179" s="144"/>
      <c r="W179" s="144"/>
      <c r="X179" s="144"/>
      <c r="Y179" s="144"/>
      <c r="Z179" s="144"/>
    </row>
    <row r="180" spans="1:26" x14ac:dyDescent="0.3">
      <c r="A180" s="144"/>
      <c r="B180" s="144"/>
      <c r="C180" s="144"/>
      <c r="D180" s="144"/>
      <c r="E180" s="144"/>
      <c r="F180" s="52"/>
      <c r="G180" s="52"/>
      <c r="H180" s="52"/>
      <c r="I180" s="52"/>
      <c r="J180" s="52"/>
      <c r="K180" s="144"/>
      <c r="L180" s="144"/>
      <c r="M180" s="144"/>
      <c r="N180" s="144"/>
      <c r="O180" s="144"/>
      <c r="P180" s="144"/>
      <c r="Q180" s="144"/>
      <c r="R180" s="144"/>
      <c r="S180" s="144"/>
      <c r="T180" s="144"/>
      <c r="U180" s="144"/>
      <c r="V180" s="144"/>
      <c r="W180" s="144"/>
      <c r="X180" s="144"/>
      <c r="Y180" s="144"/>
      <c r="Z180" s="144"/>
    </row>
    <row r="181" spans="1:26" x14ac:dyDescent="0.3">
      <c r="A181" s="144"/>
      <c r="B181" s="144"/>
      <c r="C181" s="144"/>
      <c r="D181" s="144"/>
      <c r="E181" s="144"/>
      <c r="F181" s="52"/>
      <c r="G181" s="52"/>
      <c r="H181" s="52"/>
      <c r="I181" s="52"/>
      <c r="J181" s="52"/>
      <c r="K181" s="144"/>
      <c r="L181" s="144"/>
      <c r="M181" s="144"/>
      <c r="N181" s="144"/>
      <c r="O181" s="144"/>
      <c r="P181" s="144"/>
      <c r="Q181" s="144"/>
      <c r="R181" s="144"/>
      <c r="S181" s="144"/>
      <c r="T181" s="144"/>
      <c r="U181" s="144"/>
      <c r="V181" s="144"/>
      <c r="W181" s="144"/>
      <c r="X181" s="144"/>
      <c r="Y181" s="144"/>
      <c r="Z181" s="144"/>
    </row>
    <row r="182" spans="1:26" x14ac:dyDescent="0.3">
      <c r="A182" s="144"/>
      <c r="B182" s="144"/>
      <c r="C182" s="144"/>
      <c r="D182" s="144"/>
      <c r="E182" s="144"/>
      <c r="F182" s="52"/>
      <c r="G182" s="52"/>
      <c r="H182" s="52"/>
      <c r="I182" s="52"/>
      <c r="J182" s="52"/>
      <c r="K182" s="144"/>
      <c r="L182" s="144"/>
      <c r="M182" s="144"/>
      <c r="N182" s="144"/>
      <c r="O182" s="144"/>
      <c r="P182" s="144"/>
      <c r="Q182" s="144"/>
      <c r="R182" s="144"/>
      <c r="S182" s="144"/>
      <c r="T182" s="144"/>
      <c r="U182" s="144"/>
      <c r="V182" s="144"/>
      <c r="W182" s="144"/>
      <c r="X182" s="144"/>
      <c r="Y182" s="144"/>
      <c r="Z182" s="144"/>
    </row>
    <row r="183" spans="1:26" x14ac:dyDescent="0.3">
      <c r="A183" s="144"/>
      <c r="B183" s="144"/>
      <c r="C183" s="144"/>
      <c r="D183" s="144"/>
      <c r="E183" s="144"/>
      <c r="F183" s="52"/>
      <c r="G183" s="52"/>
      <c r="H183" s="52"/>
      <c r="I183" s="52"/>
      <c r="J183" s="52"/>
      <c r="K183" s="144"/>
      <c r="L183" s="144"/>
      <c r="M183" s="144"/>
      <c r="N183" s="144"/>
      <c r="O183" s="144"/>
      <c r="P183" s="144"/>
      <c r="Q183" s="144"/>
      <c r="R183" s="144"/>
      <c r="S183" s="144"/>
      <c r="T183" s="144"/>
      <c r="U183" s="144"/>
      <c r="V183" s="144"/>
      <c r="W183" s="144"/>
      <c r="X183" s="144"/>
      <c r="Y183" s="144"/>
      <c r="Z183" s="144"/>
    </row>
    <row r="184" spans="1:26" x14ac:dyDescent="0.3">
      <c r="A184" s="144"/>
      <c r="B184" s="144"/>
      <c r="C184" s="144"/>
      <c r="D184" s="144"/>
      <c r="E184" s="144"/>
      <c r="F184" s="52"/>
      <c r="G184" s="52"/>
      <c r="H184" s="52"/>
      <c r="I184" s="52"/>
      <c r="J184" s="52"/>
      <c r="K184" s="144"/>
      <c r="L184" s="144"/>
      <c r="M184" s="144"/>
      <c r="N184" s="144"/>
      <c r="O184" s="144"/>
      <c r="P184" s="144"/>
      <c r="Q184" s="144"/>
      <c r="R184" s="144"/>
      <c r="S184" s="144"/>
      <c r="T184" s="144"/>
      <c r="U184" s="144"/>
      <c r="V184" s="144"/>
      <c r="W184" s="144"/>
      <c r="X184" s="144"/>
      <c r="Y184" s="144"/>
      <c r="Z184" s="144"/>
    </row>
    <row r="185" spans="1:26" x14ac:dyDescent="0.3">
      <c r="A185" s="144"/>
      <c r="B185" s="144"/>
      <c r="C185" s="144"/>
      <c r="D185" s="144"/>
      <c r="E185" s="144"/>
      <c r="F185" s="52"/>
      <c r="G185" s="52"/>
      <c r="H185" s="52"/>
      <c r="I185" s="52"/>
      <c r="J185" s="52"/>
      <c r="K185" s="144"/>
      <c r="L185" s="144"/>
      <c r="M185" s="144"/>
      <c r="N185" s="144"/>
      <c r="O185" s="144"/>
      <c r="P185" s="144"/>
      <c r="Q185" s="144"/>
      <c r="R185" s="144"/>
      <c r="S185" s="144"/>
      <c r="T185" s="144"/>
      <c r="U185" s="144"/>
      <c r="V185" s="144"/>
      <c r="W185" s="144"/>
      <c r="X185" s="144"/>
      <c r="Y185" s="144"/>
      <c r="Z185" s="144"/>
    </row>
    <row r="186" spans="1:26" x14ac:dyDescent="0.3">
      <c r="A186" s="144"/>
      <c r="B186" s="144"/>
      <c r="C186" s="144"/>
      <c r="D186" s="144"/>
      <c r="E186" s="144"/>
      <c r="F186" s="52"/>
      <c r="G186" s="52"/>
      <c r="H186" s="52"/>
      <c r="I186" s="52"/>
      <c r="J186" s="52"/>
      <c r="K186" s="144"/>
      <c r="L186" s="144"/>
      <c r="M186" s="144"/>
      <c r="N186" s="144"/>
      <c r="O186" s="144"/>
      <c r="P186" s="144"/>
      <c r="Q186" s="144"/>
      <c r="R186" s="144"/>
      <c r="S186" s="144"/>
      <c r="T186" s="144"/>
      <c r="U186" s="144"/>
      <c r="V186" s="144"/>
      <c r="W186" s="144"/>
      <c r="X186" s="144"/>
      <c r="Y186" s="144"/>
      <c r="Z186" s="144"/>
    </row>
    <row r="187" spans="1:26" x14ac:dyDescent="0.3">
      <c r="A187" s="144"/>
      <c r="B187" s="144"/>
      <c r="C187" s="144"/>
      <c r="D187" s="144"/>
      <c r="E187" s="144"/>
      <c r="F187" s="52"/>
      <c r="G187" s="52"/>
      <c r="H187" s="52"/>
      <c r="I187" s="52"/>
      <c r="J187" s="52"/>
      <c r="K187" s="144"/>
      <c r="L187" s="144"/>
      <c r="M187" s="144"/>
      <c r="N187" s="144"/>
      <c r="O187" s="144"/>
      <c r="P187" s="144"/>
      <c r="Q187" s="144"/>
      <c r="R187" s="144"/>
      <c r="S187" s="144"/>
      <c r="T187" s="144"/>
      <c r="U187" s="144"/>
      <c r="V187" s="144"/>
      <c r="W187" s="144"/>
      <c r="X187" s="144"/>
      <c r="Y187" s="144"/>
      <c r="Z187" s="144"/>
    </row>
    <row r="188" spans="1:26" x14ac:dyDescent="0.3">
      <c r="A188" s="144"/>
      <c r="B188" s="144"/>
      <c r="C188" s="144"/>
      <c r="D188" s="144"/>
      <c r="E188" s="144"/>
      <c r="F188" s="52"/>
      <c r="G188" s="52"/>
      <c r="H188" s="52"/>
      <c r="I188" s="52"/>
      <c r="J188" s="52"/>
      <c r="K188" s="144"/>
      <c r="L188" s="144"/>
      <c r="M188" s="144"/>
      <c r="N188" s="144"/>
      <c r="O188" s="144"/>
      <c r="P188" s="144"/>
      <c r="Q188" s="144"/>
      <c r="R188" s="144"/>
      <c r="S188" s="144"/>
      <c r="T188" s="144"/>
      <c r="U188" s="144"/>
      <c r="V188" s="144"/>
      <c r="W188" s="144"/>
      <c r="X188" s="144"/>
      <c r="Y188" s="144"/>
      <c r="Z188" s="144"/>
    </row>
    <row r="189" spans="1:26" x14ac:dyDescent="0.3">
      <c r="A189" s="144"/>
      <c r="B189" s="144"/>
      <c r="C189" s="144"/>
      <c r="D189" s="144"/>
      <c r="E189" s="144"/>
      <c r="F189" s="52"/>
      <c r="G189" s="52"/>
      <c r="H189" s="52"/>
      <c r="I189" s="52"/>
      <c r="J189" s="52"/>
      <c r="K189" s="144"/>
      <c r="L189" s="144"/>
      <c r="M189" s="144"/>
      <c r="N189" s="144"/>
      <c r="O189" s="144"/>
      <c r="P189" s="144"/>
      <c r="Q189" s="144"/>
      <c r="R189" s="144"/>
      <c r="S189" s="144"/>
      <c r="T189" s="144"/>
      <c r="U189" s="144"/>
      <c r="V189" s="144"/>
      <c r="W189" s="144"/>
      <c r="X189" s="144"/>
      <c r="Y189" s="144"/>
      <c r="Z189" s="144"/>
    </row>
    <row r="190" spans="1:26" x14ac:dyDescent="0.3">
      <c r="A190" s="144"/>
      <c r="B190" s="144"/>
      <c r="C190" s="144"/>
      <c r="D190" s="144"/>
      <c r="E190" s="144"/>
      <c r="F190" s="52"/>
      <c r="G190" s="52"/>
      <c r="H190" s="52"/>
      <c r="I190" s="52"/>
      <c r="J190" s="52"/>
      <c r="K190" s="144"/>
      <c r="L190" s="144"/>
      <c r="M190" s="144"/>
      <c r="N190" s="144"/>
      <c r="O190" s="144"/>
      <c r="P190" s="144"/>
      <c r="Q190" s="144"/>
      <c r="R190" s="144"/>
      <c r="S190" s="144"/>
      <c r="T190" s="144"/>
      <c r="U190" s="144"/>
      <c r="V190" s="144"/>
      <c r="W190" s="144"/>
      <c r="X190" s="144"/>
      <c r="Y190" s="144"/>
      <c r="Z190" s="144"/>
    </row>
    <row r="191" spans="1:26" x14ac:dyDescent="0.3">
      <c r="A191" s="144"/>
      <c r="B191" s="144"/>
      <c r="C191" s="144"/>
      <c r="D191" s="144"/>
      <c r="E191" s="144"/>
      <c r="F191" s="52"/>
      <c r="G191" s="52"/>
      <c r="H191" s="52"/>
      <c r="I191" s="52"/>
      <c r="J191" s="52"/>
      <c r="K191" s="144"/>
      <c r="L191" s="144"/>
      <c r="M191" s="144"/>
      <c r="N191" s="144"/>
      <c r="O191" s="144"/>
      <c r="P191" s="144"/>
      <c r="Q191" s="144"/>
      <c r="R191" s="144"/>
      <c r="S191" s="144"/>
      <c r="T191" s="144"/>
      <c r="U191" s="144"/>
      <c r="V191" s="144"/>
      <c r="W191" s="144"/>
      <c r="X191" s="144"/>
      <c r="Y191" s="144"/>
      <c r="Z191" s="144"/>
    </row>
    <row r="192" spans="1:26" x14ac:dyDescent="0.3">
      <c r="A192" s="144"/>
      <c r="B192" s="144"/>
      <c r="C192" s="144"/>
      <c r="D192" s="144"/>
      <c r="E192" s="144"/>
      <c r="F192" s="52"/>
      <c r="G192" s="52"/>
      <c r="H192" s="52"/>
      <c r="I192" s="52"/>
      <c r="J192" s="52"/>
      <c r="K192" s="144"/>
      <c r="L192" s="144"/>
      <c r="M192" s="144"/>
      <c r="N192" s="144"/>
      <c r="O192" s="144"/>
      <c r="P192" s="144"/>
      <c r="Q192" s="144"/>
      <c r="R192" s="144"/>
      <c r="S192" s="144"/>
      <c r="T192" s="144"/>
      <c r="U192" s="144"/>
      <c r="V192" s="144"/>
      <c r="W192" s="144"/>
      <c r="X192" s="144"/>
      <c r="Y192" s="144"/>
      <c r="Z192" s="144"/>
    </row>
    <row r="193" spans="1:26" x14ac:dyDescent="0.3">
      <c r="A193" s="144"/>
      <c r="B193" s="144"/>
      <c r="C193" s="144"/>
      <c r="D193" s="144"/>
      <c r="E193" s="144"/>
      <c r="F193" s="52"/>
      <c r="G193" s="52"/>
      <c r="H193" s="52"/>
      <c r="I193" s="52"/>
      <c r="J193" s="52"/>
      <c r="K193" s="144"/>
      <c r="L193" s="144"/>
      <c r="M193" s="144"/>
      <c r="N193" s="144"/>
      <c r="O193" s="144"/>
      <c r="P193" s="144"/>
      <c r="Q193" s="144"/>
      <c r="R193" s="144"/>
      <c r="S193" s="144"/>
      <c r="T193" s="144"/>
      <c r="U193" s="144"/>
      <c r="V193" s="144"/>
      <c r="W193" s="144"/>
      <c r="X193" s="144"/>
      <c r="Y193" s="144"/>
      <c r="Z193" s="144"/>
    </row>
    <row r="194" spans="1:26" x14ac:dyDescent="0.3">
      <c r="A194" s="144"/>
      <c r="B194" s="144"/>
      <c r="C194" s="144"/>
      <c r="D194" s="144"/>
      <c r="E194" s="144"/>
      <c r="F194" s="52"/>
      <c r="G194" s="52"/>
      <c r="H194" s="52"/>
      <c r="I194" s="52"/>
      <c r="J194" s="52"/>
      <c r="K194" s="144"/>
      <c r="L194" s="144"/>
      <c r="M194" s="144"/>
      <c r="N194" s="144"/>
      <c r="O194" s="144"/>
      <c r="P194" s="144"/>
      <c r="Q194" s="144"/>
      <c r="R194" s="144"/>
      <c r="S194" s="144"/>
      <c r="T194" s="144"/>
      <c r="U194" s="144"/>
      <c r="V194" s="144"/>
      <c r="W194" s="144"/>
      <c r="X194" s="144"/>
      <c r="Y194" s="144"/>
      <c r="Z194" s="144"/>
    </row>
    <row r="195" spans="1:26" x14ac:dyDescent="0.3">
      <c r="A195" s="144"/>
      <c r="B195" s="144"/>
      <c r="C195" s="144"/>
      <c r="D195" s="144"/>
      <c r="E195" s="144"/>
      <c r="F195" s="52"/>
      <c r="G195" s="52"/>
      <c r="H195" s="52"/>
      <c r="I195" s="52"/>
      <c r="J195" s="52"/>
      <c r="K195" s="144"/>
      <c r="L195" s="144"/>
      <c r="M195" s="144"/>
      <c r="N195" s="144"/>
      <c r="O195" s="144"/>
      <c r="P195" s="144"/>
      <c r="Q195" s="144"/>
      <c r="R195" s="144"/>
      <c r="S195" s="144"/>
      <c r="T195" s="144"/>
      <c r="U195" s="144"/>
      <c r="V195" s="144"/>
      <c r="W195" s="144"/>
      <c r="X195" s="144"/>
      <c r="Y195" s="144"/>
      <c r="Z195" s="144"/>
    </row>
    <row r="196" spans="1:26" x14ac:dyDescent="0.3">
      <c r="A196" s="144"/>
      <c r="B196" s="144"/>
      <c r="C196" s="144"/>
      <c r="D196" s="144"/>
      <c r="E196" s="144"/>
      <c r="F196" s="52"/>
      <c r="G196" s="52"/>
      <c r="H196" s="52"/>
      <c r="I196" s="52"/>
      <c r="J196" s="52"/>
      <c r="K196" s="144"/>
      <c r="L196" s="144"/>
      <c r="M196" s="144"/>
      <c r="N196" s="144"/>
      <c r="O196" s="144"/>
      <c r="P196" s="144"/>
      <c r="Q196" s="144"/>
      <c r="R196" s="144"/>
      <c r="S196" s="144"/>
      <c r="T196" s="144"/>
      <c r="U196" s="144"/>
      <c r="V196" s="144"/>
      <c r="W196" s="144"/>
      <c r="X196" s="144"/>
      <c r="Y196" s="144"/>
      <c r="Z196" s="144"/>
    </row>
    <row r="197" spans="1:26" x14ac:dyDescent="0.3">
      <c r="A197" s="144"/>
      <c r="B197" s="144"/>
      <c r="C197" s="144"/>
      <c r="D197" s="144"/>
      <c r="E197" s="144"/>
      <c r="F197" s="52"/>
      <c r="G197" s="52"/>
      <c r="H197" s="52"/>
      <c r="I197" s="52"/>
      <c r="J197" s="52"/>
      <c r="K197" s="144"/>
      <c r="L197" s="144"/>
      <c r="M197" s="144"/>
      <c r="N197" s="144"/>
      <c r="O197" s="144"/>
      <c r="P197" s="144"/>
      <c r="Q197" s="144"/>
      <c r="R197" s="144"/>
      <c r="S197" s="144"/>
      <c r="T197" s="144"/>
      <c r="U197" s="144"/>
      <c r="V197" s="144"/>
      <c r="W197" s="144"/>
      <c r="X197" s="144"/>
      <c r="Y197" s="144"/>
      <c r="Z197" s="144"/>
    </row>
    <row r="198" spans="1:26" x14ac:dyDescent="0.3">
      <c r="A198" s="144"/>
      <c r="B198" s="144"/>
      <c r="C198" s="144"/>
      <c r="D198" s="144"/>
      <c r="E198" s="144"/>
      <c r="F198" s="52"/>
      <c r="G198" s="52"/>
      <c r="H198" s="52"/>
      <c r="I198" s="52"/>
      <c r="J198" s="52"/>
      <c r="K198" s="144"/>
      <c r="L198" s="144"/>
      <c r="M198" s="144"/>
      <c r="N198" s="144"/>
      <c r="O198" s="144"/>
      <c r="P198" s="144"/>
      <c r="Q198" s="144"/>
      <c r="R198" s="144"/>
      <c r="S198" s="144"/>
      <c r="T198" s="144"/>
      <c r="U198" s="144"/>
      <c r="V198" s="144"/>
      <c r="W198" s="144"/>
      <c r="X198" s="144"/>
      <c r="Y198" s="144"/>
      <c r="Z198" s="144"/>
    </row>
    <row r="199" spans="1:26" x14ac:dyDescent="0.3">
      <c r="A199" s="144"/>
      <c r="B199" s="144"/>
      <c r="C199" s="144"/>
      <c r="D199" s="144"/>
      <c r="E199" s="144"/>
      <c r="F199" s="52"/>
      <c r="G199" s="52"/>
      <c r="H199" s="52"/>
      <c r="I199" s="52"/>
      <c r="J199" s="52"/>
      <c r="K199" s="144"/>
      <c r="L199" s="144"/>
      <c r="M199" s="144"/>
      <c r="N199" s="144"/>
      <c r="O199" s="144"/>
      <c r="P199" s="144"/>
      <c r="Q199" s="144"/>
      <c r="R199" s="144"/>
      <c r="S199" s="144"/>
      <c r="T199" s="144"/>
      <c r="U199" s="144"/>
      <c r="V199" s="144"/>
      <c r="W199" s="144"/>
      <c r="X199" s="144"/>
      <c r="Y199" s="144"/>
      <c r="Z199" s="144"/>
    </row>
    <row r="200" spans="1:26" x14ac:dyDescent="0.3">
      <c r="A200" s="144"/>
      <c r="B200" s="144"/>
      <c r="C200" s="144"/>
      <c r="D200" s="144"/>
      <c r="E200" s="144"/>
      <c r="F200" s="52"/>
      <c r="G200" s="52"/>
      <c r="H200" s="52"/>
      <c r="I200" s="52"/>
      <c r="J200" s="52"/>
      <c r="K200" s="144"/>
      <c r="L200" s="144"/>
      <c r="M200" s="144"/>
      <c r="N200" s="144"/>
      <c r="O200" s="144"/>
      <c r="P200" s="144"/>
      <c r="Q200" s="144"/>
      <c r="R200" s="144"/>
      <c r="S200" s="144"/>
      <c r="T200" s="144"/>
      <c r="U200" s="144"/>
      <c r="V200" s="144"/>
      <c r="W200" s="144"/>
      <c r="X200" s="144"/>
      <c r="Y200" s="144"/>
      <c r="Z200" s="144"/>
    </row>
    <row r="201" spans="1:26" x14ac:dyDescent="0.3">
      <c r="A201" s="144"/>
      <c r="B201" s="144"/>
      <c r="C201" s="144"/>
      <c r="D201" s="144"/>
      <c r="E201" s="144"/>
      <c r="F201" s="52"/>
      <c r="G201" s="52"/>
      <c r="H201" s="52"/>
      <c r="I201" s="52"/>
      <c r="J201" s="52"/>
      <c r="K201" s="144"/>
      <c r="L201" s="144"/>
      <c r="M201" s="144"/>
      <c r="N201" s="144"/>
      <c r="O201" s="144"/>
      <c r="P201" s="144"/>
      <c r="Q201" s="144"/>
      <c r="R201" s="144"/>
      <c r="S201" s="144"/>
      <c r="T201" s="144"/>
      <c r="U201" s="144"/>
      <c r="V201" s="144"/>
      <c r="W201" s="144"/>
      <c r="X201" s="144"/>
      <c r="Y201" s="144"/>
      <c r="Z201" s="144"/>
    </row>
    <row r="202" spans="1:26" x14ac:dyDescent="0.3">
      <c r="A202" s="144"/>
      <c r="B202" s="144"/>
      <c r="C202" s="144"/>
      <c r="D202" s="144"/>
      <c r="E202" s="144"/>
      <c r="F202" s="52"/>
      <c r="G202" s="52"/>
      <c r="H202" s="52"/>
      <c r="I202" s="52"/>
      <c r="J202" s="52"/>
      <c r="K202" s="144"/>
      <c r="L202" s="144"/>
      <c r="M202" s="144"/>
      <c r="N202" s="144"/>
      <c r="O202" s="144"/>
      <c r="P202" s="144"/>
      <c r="Q202" s="144"/>
      <c r="R202" s="144"/>
      <c r="S202" s="144"/>
      <c r="T202" s="144"/>
      <c r="U202" s="144"/>
      <c r="V202" s="144"/>
      <c r="W202" s="144"/>
      <c r="X202" s="144"/>
      <c r="Y202" s="144"/>
      <c r="Z202" s="144"/>
    </row>
    <row r="203" spans="1:26" x14ac:dyDescent="0.3">
      <c r="A203" s="144"/>
      <c r="B203" s="144"/>
      <c r="C203" s="144"/>
      <c r="D203" s="144"/>
      <c r="E203" s="144"/>
      <c r="F203" s="52"/>
      <c r="G203" s="52"/>
      <c r="H203" s="52"/>
      <c r="I203" s="52"/>
      <c r="J203" s="52"/>
      <c r="K203" s="144"/>
      <c r="L203" s="144"/>
      <c r="M203" s="144"/>
      <c r="N203" s="144"/>
      <c r="O203" s="144"/>
      <c r="P203" s="144"/>
      <c r="Q203" s="144"/>
      <c r="R203" s="144"/>
      <c r="S203" s="144"/>
      <c r="T203" s="144"/>
      <c r="U203" s="144"/>
      <c r="V203" s="144"/>
      <c r="W203" s="144"/>
      <c r="X203" s="144"/>
      <c r="Y203" s="144"/>
      <c r="Z203" s="144"/>
    </row>
    <row r="204" spans="1:26" x14ac:dyDescent="0.3">
      <c r="A204" s="144"/>
      <c r="B204" s="144"/>
      <c r="C204" s="144"/>
      <c r="D204" s="144"/>
      <c r="E204" s="144"/>
      <c r="F204" s="52"/>
      <c r="G204" s="52"/>
      <c r="H204" s="52"/>
      <c r="I204" s="52"/>
      <c r="J204" s="52"/>
      <c r="K204" s="144"/>
      <c r="L204" s="144"/>
      <c r="M204" s="144"/>
      <c r="N204" s="144"/>
      <c r="O204" s="144"/>
      <c r="P204" s="144"/>
      <c r="Q204" s="144"/>
      <c r="R204" s="144"/>
      <c r="S204" s="144"/>
      <c r="T204" s="144"/>
      <c r="U204" s="144"/>
      <c r="V204" s="144"/>
      <c r="W204" s="144"/>
      <c r="X204" s="144"/>
      <c r="Y204" s="144"/>
      <c r="Z204" s="144"/>
    </row>
    <row r="205" spans="1:26" x14ac:dyDescent="0.3">
      <c r="A205" s="144"/>
      <c r="B205" s="144"/>
      <c r="C205" s="144"/>
      <c r="D205" s="144"/>
      <c r="E205" s="144"/>
      <c r="F205" s="52"/>
      <c r="G205" s="52"/>
      <c r="H205" s="52"/>
      <c r="I205" s="52"/>
      <c r="J205" s="52"/>
      <c r="K205" s="144"/>
      <c r="L205" s="144"/>
      <c r="M205" s="144"/>
      <c r="N205" s="144"/>
      <c r="O205" s="144"/>
      <c r="P205" s="144"/>
      <c r="Q205" s="144"/>
      <c r="R205" s="144"/>
      <c r="S205" s="144"/>
      <c r="T205" s="144"/>
      <c r="U205" s="144"/>
      <c r="V205" s="144"/>
      <c r="W205" s="144"/>
      <c r="X205" s="144"/>
      <c r="Y205" s="144"/>
      <c r="Z205" s="144"/>
    </row>
    <row r="206" spans="1:26" x14ac:dyDescent="0.3">
      <c r="A206" s="144"/>
      <c r="B206" s="144"/>
      <c r="C206" s="144"/>
      <c r="D206" s="144"/>
      <c r="E206" s="144"/>
      <c r="F206" s="52"/>
      <c r="G206" s="52"/>
      <c r="H206" s="52"/>
      <c r="I206" s="52"/>
      <c r="J206" s="52"/>
      <c r="K206" s="144"/>
      <c r="L206" s="144"/>
      <c r="M206" s="144"/>
      <c r="N206" s="144"/>
      <c r="O206" s="144"/>
      <c r="P206" s="144"/>
      <c r="Q206" s="144"/>
      <c r="R206" s="144"/>
      <c r="S206" s="144"/>
      <c r="T206" s="144"/>
      <c r="U206" s="144"/>
      <c r="V206" s="144"/>
      <c r="W206" s="144"/>
      <c r="X206" s="144"/>
      <c r="Y206" s="144"/>
      <c r="Z206" s="144"/>
    </row>
    <row r="207" spans="1:26" x14ac:dyDescent="0.3">
      <c r="A207" s="144"/>
      <c r="B207" s="144"/>
      <c r="C207" s="144"/>
      <c r="D207" s="144"/>
      <c r="E207" s="144"/>
      <c r="F207" s="52"/>
      <c r="G207" s="52"/>
      <c r="H207" s="52"/>
      <c r="I207" s="52"/>
      <c r="J207" s="52"/>
      <c r="K207" s="144"/>
      <c r="L207" s="144"/>
      <c r="M207" s="144"/>
      <c r="N207" s="144"/>
      <c r="O207" s="144"/>
      <c r="P207" s="144"/>
      <c r="Q207" s="144"/>
      <c r="R207" s="144"/>
      <c r="S207" s="144"/>
      <c r="T207" s="144"/>
      <c r="U207" s="144"/>
      <c r="V207" s="144"/>
      <c r="W207" s="144"/>
      <c r="X207" s="144"/>
      <c r="Y207" s="144"/>
      <c r="Z207" s="144"/>
    </row>
    <row r="208" spans="1:26" x14ac:dyDescent="0.3">
      <c r="A208" s="144"/>
      <c r="B208" s="144"/>
      <c r="C208" s="144"/>
      <c r="D208" s="144"/>
      <c r="E208" s="144"/>
      <c r="F208" s="52"/>
      <c r="G208" s="52"/>
      <c r="H208" s="52"/>
      <c r="I208" s="52"/>
      <c r="J208" s="52"/>
      <c r="K208" s="144"/>
      <c r="L208" s="144"/>
      <c r="M208" s="144"/>
      <c r="N208" s="144"/>
      <c r="O208" s="144"/>
      <c r="P208" s="144"/>
      <c r="Q208" s="144"/>
      <c r="R208" s="144"/>
      <c r="S208" s="144"/>
      <c r="T208" s="144"/>
      <c r="U208" s="144"/>
      <c r="V208" s="144"/>
      <c r="W208" s="144"/>
      <c r="X208" s="144"/>
      <c r="Y208" s="144"/>
      <c r="Z208" s="144"/>
    </row>
    <row r="209" spans="1:26" x14ac:dyDescent="0.3">
      <c r="A209" s="144"/>
      <c r="B209" s="144"/>
      <c r="C209" s="144"/>
      <c r="D209" s="144"/>
      <c r="E209" s="144"/>
      <c r="F209" s="52"/>
      <c r="G209" s="52"/>
      <c r="H209" s="52"/>
      <c r="I209" s="52"/>
      <c r="J209" s="52"/>
      <c r="K209" s="144"/>
      <c r="L209" s="144"/>
      <c r="M209" s="144"/>
      <c r="N209" s="144"/>
      <c r="O209" s="144"/>
      <c r="P209" s="144"/>
      <c r="Q209" s="144"/>
      <c r="R209" s="144"/>
      <c r="S209" s="144"/>
      <c r="T209" s="144"/>
      <c r="U209" s="144"/>
      <c r="V209" s="144"/>
      <c r="W209" s="144"/>
      <c r="X209" s="144"/>
      <c r="Y209" s="144"/>
      <c r="Z209" s="144"/>
    </row>
    <row r="210" spans="1:26" x14ac:dyDescent="0.3">
      <c r="A210" s="144"/>
      <c r="B210" s="144"/>
      <c r="C210" s="144"/>
      <c r="D210" s="144"/>
      <c r="E210" s="144"/>
      <c r="F210" s="52"/>
      <c r="G210" s="52"/>
      <c r="H210" s="52"/>
      <c r="I210" s="52"/>
      <c r="J210" s="52"/>
      <c r="K210" s="144"/>
      <c r="L210" s="144"/>
      <c r="M210" s="144"/>
      <c r="N210" s="144"/>
      <c r="O210" s="144"/>
      <c r="P210" s="144"/>
      <c r="Q210" s="144"/>
      <c r="R210" s="144"/>
      <c r="S210" s="144"/>
      <c r="T210" s="144"/>
      <c r="U210" s="144"/>
      <c r="V210" s="144"/>
      <c r="W210" s="144"/>
      <c r="X210" s="144"/>
      <c r="Y210" s="144"/>
      <c r="Z210" s="144"/>
    </row>
    <row r="211" spans="1:26" x14ac:dyDescent="0.3">
      <c r="A211" s="144"/>
      <c r="B211" s="144"/>
      <c r="C211" s="144"/>
      <c r="D211" s="144"/>
      <c r="E211" s="144"/>
      <c r="F211" s="52"/>
      <c r="G211" s="52"/>
      <c r="H211" s="52"/>
      <c r="I211" s="52"/>
      <c r="J211" s="52"/>
      <c r="K211" s="144"/>
      <c r="L211" s="144"/>
      <c r="M211" s="144"/>
      <c r="N211" s="144"/>
      <c r="O211" s="144"/>
      <c r="P211" s="144"/>
      <c r="Q211" s="144"/>
      <c r="R211" s="144"/>
      <c r="S211" s="144"/>
      <c r="T211" s="144"/>
      <c r="U211" s="144"/>
      <c r="V211" s="144"/>
      <c r="W211" s="144"/>
      <c r="X211" s="144"/>
      <c r="Y211" s="144"/>
      <c r="Z211" s="144"/>
    </row>
    <row r="212" spans="1:26" x14ac:dyDescent="0.3">
      <c r="A212" s="144"/>
      <c r="B212" s="144"/>
      <c r="C212" s="144"/>
      <c r="D212" s="144"/>
      <c r="E212" s="144"/>
      <c r="F212" s="52"/>
      <c r="G212" s="52"/>
      <c r="H212" s="52"/>
      <c r="I212" s="52"/>
      <c r="J212" s="52"/>
      <c r="K212" s="144"/>
      <c r="L212" s="144"/>
      <c r="M212" s="144"/>
      <c r="N212" s="144"/>
      <c r="O212" s="144"/>
      <c r="P212" s="144"/>
      <c r="Q212" s="144"/>
      <c r="R212" s="144"/>
      <c r="S212" s="144"/>
      <c r="T212" s="144"/>
      <c r="U212" s="144"/>
      <c r="V212" s="144"/>
      <c r="W212" s="144"/>
      <c r="X212" s="144"/>
      <c r="Y212" s="144"/>
      <c r="Z212" s="144"/>
    </row>
    <row r="213" spans="1:26" x14ac:dyDescent="0.3">
      <c r="A213" s="144"/>
      <c r="B213" s="144"/>
      <c r="C213" s="144"/>
      <c r="D213" s="144"/>
      <c r="E213" s="144"/>
      <c r="F213" s="52"/>
      <c r="G213" s="52"/>
      <c r="H213" s="52"/>
      <c r="I213" s="52"/>
      <c r="J213" s="52"/>
      <c r="K213" s="144"/>
      <c r="L213" s="144"/>
      <c r="M213" s="144"/>
      <c r="N213" s="144"/>
      <c r="O213" s="144"/>
      <c r="P213" s="144"/>
      <c r="Q213" s="144"/>
      <c r="R213" s="144"/>
      <c r="S213" s="144"/>
      <c r="T213" s="144"/>
      <c r="U213" s="144"/>
      <c r="V213" s="144"/>
      <c r="W213" s="144"/>
      <c r="X213" s="144"/>
      <c r="Y213" s="144"/>
      <c r="Z213" s="144"/>
    </row>
    <row r="214" spans="1:26" x14ac:dyDescent="0.3">
      <c r="A214" s="144"/>
      <c r="B214" s="144"/>
      <c r="C214" s="144"/>
      <c r="D214" s="144"/>
      <c r="E214" s="144"/>
      <c r="F214" s="52"/>
      <c r="G214" s="52"/>
      <c r="H214" s="52"/>
      <c r="I214" s="52"/>
      <c r="J214" s="52"/>
      <c r="K214" s="144"/>
      <c r="L214" s="144"/>
      <c r="M214" s="144"/>
      <c r="N214" s="144"/>
      <c r="O214" s="144"/>
      <c r="P214" s="144"/>
      <c r="Q214" s="144"/>
      <c r="R214" s="144"/>
      <c r="S214" s="144"/>
      <c r="T214" s="144"/>
      <c r="U214" s="144"/>
      <c r="V214" s="144"/>
      <c r="W214" s="144"/>
      <c r="X214" s="144"/>
      <c r="Y214" s="144"/>
      <c r="Z214" s="144"/>
    </row>
    <row r="215" spans="1:26" x14ac:dyDescent="0.3">
      <c r="A215" s="144"/>
      <c r="B215" s="144"/>
      <c r="C215" s="144"/>
      <c r="D215" s="144"/>
      <c r="E215" s="144"/>
      <c r="F215" s="52"/>
      <c r="G215" s="52"/>
      <c r="H215" s="52"/>
      <c r="I215" s="52"/>
      <c r="J215" s="52"/>
      <c r="K215" s="144"/>
      <c r="L215" s="144"/>
      <c r="M215" s="144"/>
      <c r="N215" s="144"/>
      <c r="O215" s="144"/>
      <c r="P215" s="144"/>
      <c r="Q215" s="144"/>
      <c r="R215" s="144"/>
      <c r="S215" s="144"/>
      <c r="T215" s="144"/>
      <c r="U215" s="144"/>
      <c r="V215" s="144"/>
      <c r="W215" s="144"/>
      <c r="X215" s="144"/>
      <c r="Y215" s="144"/>
      <c r="Z215" s="144"/>
    </row>
    <row r="216" spans="1:26" x14ac:dyDescent="0.3">
      <c r="A216" s="144"/>
      <c r="B216" s="144"/>
      <c r="C216" s="144"/>
      <c r="D216" s="144"/>
      <c r="E216" s="144"/>
      <c r="F216" s="52"/>
      <c r="G216" s="52"/>
      <c r="H216" s="52"/>
      <c r="I216" s="52"/>
      <c r="J216" s="52"/>
      <c r="K216" s="144"/>
      <c r="L216" s="144"/>
      <c r="M216" s="144"/>
      <c r="N216" s="144"/>
      <c r="O216" s="144"/>
      <c r="P216" s="144"/>
      <c r="Q216" s="144"/>
      <c r="R216" s="144"/>
      <c r="S216" s="144"/>
      <c r="T216" s="144"/>
      <c r="U216" s="144"/>
      <c r="V216" s="144"/>
      <c r="W216" s="144"/>
      <c r="X216" s="144"/>
      <c r="Y216" s="144"/>
      <c r="Z216" s="144"/>
    </row>
    <row r="217" spans="1:26" x14ac:dyDescent="0.3">
      <c r="A217" s="144"/>
      <c r="B217" s="144"/>
      <c r="C217" s="144"/>
      <c r="D217" s="144"/>
      <c r="E217" s="144"/>
      <c r="F217" s="52"/>
      <c r="G217" s="52"/>
      <c r="H217" s="52"/>
      <c r="I217" s="52"/>
      <c r="J217" s="52"/>
      <c r="K217" s="144"/>
      <c r="L217" s="144"/>
      <c r="M217" s="144"/>
      <c r="N217" s="144"/>
      <c r="O217" s="144"/>
      <c r="P217" s="144"/>
      <c r="Q217" s="144"/>
      <c r="R217" s="144"/>
      <c r="S217" s="144"/>
      <c r="T217" s="144"/>
      <c r="U217" s="144"/>
      <c r="V217" s="144"/>
      <c r="W217" s="144"/>
      <c r="X217" s="144"/>
      <c r="Y217" s="144"/>
      <c r="Z217" s="144"/>
    </row>
    <row r="218" spans="1:26" x14ac:dyDescent="0.3">
      <c r="A218" s="144"/>
      <c r="B218" s="144"/>
      <c r="C218" s="144"/>
      <c r="D218" s="144"/>
      <c r="E218" s="144"/>
      <c r="F218" s="52"/>
      <c r="G218" s="52"/>
      <c r="H218" s="52"/>
      <c r="I218" s="52"/>
      <c r="J218" s="52"/>
      <c r="K218" s="144"/>
      <c r="L218" s="144"/>
      <c r="M218" s="144"/>
      <c r="N218" s="144"/>
      <c r="O218" s="144"/>
      <c r="P218" s="144"/>
      <c r="Q218" s="144"/>
      <c r="R218" s="144"/>
      <c r="S218" s="144"/>
      <c r="T218" s="144"/>
      <c r="U218" s="144"/>
      <c r="V218" s="144"/>
      <c r="W218" s="144"/>
      <c r="X218" s="144"/>
      <c r="Y218" s="144"/>
      <c r="Z218" s="144"/>
    </row>
    <row r="219" spans="1:26" x14ac:dyDescent="0.3">
      <c r="A219" s="144"/>
      <c r="B219" s="144"/>
      <c r="C219" s="144"/>
      <c r="D219" s="144"/>
      <c r="E219" s="144"/>
      <c r="F219" s="52"/>
      <c r="G219" s="52"/>
      <c r="H219" s="52"/>
      <c r="I219" s="52"/>
      <c r="J219" s="52"/>
      <c r="K219" s="144"/>
      <c r="L219" s="144"/>
      <c r="M219" s="144"/>
      <c r="N219" s="144"/>
      <c r="O219" s="144"/>
      <c r="P219" s="144"/>
      <c r="Q219" s="144"/>
      <c r="R219" s="144"/>
      <c r="S219" s="144"/>
      <c r="T219" s="144"/>
      <c r="U219" s="144"/>
      <c r="V219" s="144"/>
      <c r="W219" s="144"/>
      <c r="X219" s="144"/>
      <c r="Y219" s="144"/>
      <c r="Z219" s="144"/>
    </row>
    <row r="220" spans="1:26" x14ac:dyDescent="0.3">
      <c r="A220" s="144"/>
      <c r="B220" s="144"/>
      <c r="C220" s="144"/>
      <c r="D220" s="144"/>
      <c r="E220" s="144"/>
      <c r="F220" s="52"/>
      <c r="G220" s="52"/>
      <c r="H220" s="52"/>
      <c r="I220" s="52"/>
      <c r="J220" s="52"/>
      <c r="K220" s="144"/>
      <c r="L220" s="144"/>
      <c r="M220" s="144"/>
      <c r="N220" s="144"/>
      <c r="O220" s="144"/>
      <c r="P220" s="144"/>
      <c r="Q220" s="144"/>
      <c r="R220" s="144"/>
      <c r="S220" s="144"/>
      <c r="T220" s="144"/>
      <c r="U220" s="144"/>
      <c r="V220" s="144"/>
      <c r="W220" s="144"/>
      <c r="X220" s="144"/>
      <c r="Y220" s="144"/>
      <c r="Z220" s="144"/>
    </row>
    <row r="221" spans="1:26" x14ac:dyDescent="0.3">
      <c r="A221" s="144"/>
      <c r="B221" s="144"/>
      <c r="C221" s="144"/>
      <c r="D221" s="144"/>
      <c r="E221" s="144"/>
      <c r="F221" s="52"/>
      <c r="G221" s="52"/>
      <c r="H221" s="52"/>
      <c r="I221" s="52"/>
      <c r="J221" s="52"/>
      <c r="K221" s="144"/>
      <c r="L221" s="144"/>
      <c r="M221" s="144"/>
      <c r="N221" s="144"/>
      <c r="O221" s="144"/>
      <c r="P221" s="144"/>
      <c r="Q221" s="144"/>
      <c r="R221" s="144"/>
      <c r="S221" s="144"/>
      <c r="T221" s="144"/>
      <c r="U221" s="144"/>
      <c r="V221" s="144"/>
      <c r="W221" s="144"/>
      <c r="X221" s="144"/>
      <c r="Y221" s="144"/>
      <c r="Z221" s="144"/>
    </row>
    <row r="222" spans="1:26" x14ac:dyDescent="0.3">
      <c r="A222" s="144"/>
      <c r="B222" s="144"/>
      <c r="C222" s="144"/>
      <c r="D222" s="144"/>
      <c r="E222" s="144"/>
      <c r="F222" s="52"/>
      <c r="G222" s="52"/>
      <c r="H222" s="52"/>
      <c r="I222" s="52"/>
      <c r="J222" s="52"/>
      <c r="K222" s="144"/>
      <c r="L222" s="144"/>
      <c r="M222" s="144"/>
      <c r="N222" s="144"/>
      <c r="O222" s="144"/>
      <c r="P222" s="144"/>
      <c r="Q222" s="144"/>
      <c r="R222" s="144"/>
      <c r="S222" s="144"/>
      <c r="T222" s="144"/>
      <c r="U222" s="144"/>
      <c r="V222" s="144"/>
      <c r="W222" s="144"/>
      <c r="X222" s="144"/>
      <c r="Y222" s="144"/>
      <c r="Z222" s="144"/>
    </row>
    <row r="223" spans="1:26" x14ac:dyDescent="0.3">
      <c r="A223" s="144"/>
      <c r="B223" s="144"/>
      <c r="C223" s="144"/>
      <c r="D223" s="144"/>
      <c r="E223" s="144"/>
      <c r="F223" s="52"/>
      <c r="G223" s="52"/>
      <c r="H223" s="52"/>
      <c r="I223" s="52"/>
      <c r="J223" s="52"/>
      <c r="K223" s="144"/>
      <c r="L223" s="144"/>
      <c r="M223" s="144"/>
      <c r="N223" s="144"/>
      <c r="O223" s="144"/>
      <c r="P223" s="144"/>
      <c r="Q223" s="144"/>
      <c r="R223" s="144"/>
      <c r="S223" s="144"/>
      <c r="T223" s="144"/>
      <c r="U223" s="144"/>
      <c r="V223" s="144"/>
      <c r="W223" s="144"/>
      <c r="X223" s="144"/>
      <c r="Y223" s="144"/>
      <c r="Z223" s="144"/>
    </row>
    <row r="224" spans="1:26" x14ac:dyDescent="0.3">
      <c r="A224" s="144"/>
      <c r="B224" s="144"/>
      <c r="C224" s="144"/>
      <c r="D224" s="144"/>
      <c r="E224" s="144"/>
      <c r="F224" s="52"/>
      <c r="G224" s="52"/>
      <c r="H224" s="52"/>
      <c r="I224" s="52"/>
      <c r="J224" s="52"/>
      <c r="K224" s="144"/>
      <c r="L224" s="144"/>
      <c r="M224" s="144"/>
      <c r="N224" s="144"/>
      <c r="O224" s="144"/>
      <c r="P224" s="144"/>
      <c r="Q224" s="144"/>
      <c r="R224" s="144"/>
      <c r="S224" s="144"/>
      <c r="T224" s="144"/>
      <c r="U224" s="144"/>
      <c r="V224" s="144"/>
      <c r="W224" s="144"/>
      <c r="X224" s="144"/>
      <c r="Y224" s="144"/>
      <c r="Z224" s="144"/>
    </row>
    <row r="225" spans="1:26" x14ac:dyDescent="0.3">
      <c r="A225" s="144"/>
      <c r="B225" s="144"/>
      <c r="C225" s="144"/>
      <c r="D225" s="144"/>
      <c r="E225" s="144"/>
      <c r="F225" s="52"/>
      <c r="G225" s="52"/>
      <c r="H225" s="52"/>
      <c r="I225" s="52"/>
      <c r="J225" s="52"/>
      <c r="K225" s="144"/>
      <c r="L225" s="144"/>
      <c r="M225" s="144"/>
      <c r="N225" s="144"/>
      <c r="O225" s="144"/>
      <c r="P225" s="144"/>
      <c r="Q225" s="144"/>
      <c r="R225" s="144"/>
      <c r="S225" s="144"/>
      <c r="T225" s="144"/>
      <c r="U225" s="144"/>
      <c r="V225" s="144"/>
      <c r="W225" s="144"/>
      <c r="X225" s="144"/>
      <c r="Y225" s="144"/>
      <c r="Z225" s="144"/>
    </row>
    <row r="226" spans="1:26" x14ac:dyDescent="0.3">
      <c r="A226" s="144"/>
      <c r="B226" s="144"/>
      <c r="C226" s="144"/>
      <c r="D226" s="144"/>
      <c r="E226" s="144"/>
      <c r="F226" s="52"/>
      <c r="G226" s="52"/>
      <c r="H226" s="52"/>
      <c r="I226" s="52"/>
      <c r="J226" s="52"/>
      <c r="K226" s="144"/>
      <c r="L226" s="144"/>
      <c r="M226" s="144"/>
      <c r="N226" s="144"/>
      <c r="O226" s="144"/>
      <c r="P226" s="144"/>
      <c r="Q226" s="144"/>
      <c r="R226" s="144"/>
      <c r="S226" s="144"/>
      <c r="T226" s="144"/>
      <c r="U226" s="144"/>
      <c r="V226" s="144"/>
      <c r="W226" s="144"/>
      <c r="X226" s="144"/>
      <c r="Y226" s="144"/>
      <c r="Z226" s="144"/>
    </row>
    <row r="227" spans="1:26" x14ac:dyDescent="0.3">
      <c r="A227" s="144"/>
      <c r="B227" s="144"/>
      <c r="C227" s="144"/>
      <c r="D227" s="144"/>
      <c r="E227" s="144"/>
      <c r="F227" s="52"/>
      <c r="G227" s="52"/>
      <c r="H227" s="52"/>
      <c r="I227" s="52"/>
      <c r="J227" s="52"/>
      <c r="K227" s="144"/>
      <c r="L227" s="144"/>
      <c r="M227" s="144"/>
      <c r="N227" s="144"/>
      <c r="O227" s="144"/>
      <c r="P227" s="144"/>
      <c r="Q227" s="144"/>
      <c r="R227" s="144"/>
      <c r="S227" s="144"/>
      <c r="T227" s="144"/>
      <c r="U227" s="144"/>
      <c r="V227" s="144"/>
      <c r="W227" s="144"/>
      <c r="X227" s="144"/>
      <c r="Y227" s="144"/>
      <c r="Z227" s="144"/>
    </row>
    <row r="228" spans="1:26" x14ac:dyDescent="0.3">
      <c r="A228" s="144"/>
      <c r="B228" s="144"/>
      <c r="C228" s="144"/>
      <c r="D228" s="144"/>
      <c r="E228" s="144"/>
      <c r="F228" s="52"/>
      <c r="G228" s="52"/>
      <c r="H228" s="52"/>
      <c r="I228" s="52"/>
      <c r="J228" s="52"/>
      <c r="K228" s="144"/>
      <c r="L228" s="144"/>
      <c r="M228" s="144"/>
      <c r="N228" s="144"/>
      <c r="O228" s="144"/>
      <c r="P228" s="144"/>
      <c r="Q228" s="144"/>
      <c r="R228" s="144"/>
      <c r="S228" s="144"/>
      <c r="T228" s="144"/>
      <c r="U228" s="144"/>
      <c r="V228" s="144"/>
      <c r="W228" s="144"/>
      <c r="X228" s="144"/>
      <c r="Y228" s="144"/>
      <c r="Z228" s="144"/>
    </row>
    <row r="229" spans="1:26" x14ac:dyDescent="0.3">
      <c r="A229" s="144"/>
      <c r="B229" s="144"/>
      <c r="C229" s="144"/>
      <c r="D229" s="144"/>
      <c r="E229" s="144"/>
      <c r="F229" s="52"/>
      <c r="G229" s="52"/>
      <c r="H229" s="52"/>
      <c r="I229" s="52"/>
      <c r="J229" s="52"/>
      <c r="K229" s="144"/>
      <c r="L229" s="144"/>
      <c r="M229" s="144"/>
      <c r="N229" s="144"/>
      <c r="O229" s="144"/>
      <c r="P229" s="144"/>
      <c r="Q229" s="144"/>
      <c r="R229" s="144"/>
      <c r="S229" s="144"/>
      <c r="T229" s="144"/>
      <c r="U229" s="144"/>
      <c r="V229" s="144"/>
      <c r="W229" s="144"/>
      <c r="X229" s="144"/>
      <c r="Y229" s="144"/>
      <c r="Z229" s="144"/>
    </row>
    <row r="230" spans="1:26" x14ac:dyDescent="0.3">
      <c r="A230" s="144"/>
      <c r="B230" s="144"/>
      <c r="C230" s="144"/>
      <c r="D230" s="144"/>
      <c r="E230" s="144"/>
      <c r="F230" s="52"/>
      <c r="G230" s="52"/>
      <c r="H230" s="52"/>
      <c r="I230" s="52"/>
      <c r="J230" s="52"/>
      <c r="K230" s="144"/>
      <c r="L230" s="144"/>
      <c r="M230" s="144"/>
      <c r="N230" s="144"/>
      <c r="O230" s="144"/>
      <c r="P230" s="144"/>
      <c r="Q230" s="144"/>
      <c r="R230" s="144"/>
      <c r="S230" s="144"/>
      <c r="T230" s="144"/>
      <c r="U230" s="144"/>
      <c r="V230" s="144"/>
      <c r="W230" s="144"/>
      <c r="X230" s="144"/>
      <c r="Y230" s="144"/>
      <c r="Z230" s="144"/>
    </row>
    <row r="231" spans="1:26" x14ac:dyDescent="0.3">
      <c r="A231" s="144"/>
      <c r="B231" s="144"/>
      <c r="C231" s="144"/>
      <c r="D231" s="144"/>
      <c r="E231" s="144"/>
      <c r="F231" s="52"/>
      <c r="G231" s="52"/>
      <c r="H231" s="52"/>
      <c r="I231" s="52"/>
      <c r="J231" s="52"/>
      <c r="K231" s="144"/>
      <c r="L231" s="144"/>
      <c r="M231" s="144"/>
      <c r="N231" s="144"/>
      <c r="O231" s="144"/>
      <c r="P231" s="144"/>
      <c r="Q231" s="144"/>
      <c r="R231" s="144"/>
      <c r="S231" s="144"/>
      <c r="T231" s="144"/>
      <c r="U231" s="144"/>
      <c r="V231" s="144"/>
      <c r="W231" s="144"/>
      <c r="X231" s="144"/>
      <c r="Y231" s="144"/>
      <c r="Z231" s="144"/>
    </row>
    <row r="232" spans="1:26" x14ac:dyDescent="0.3">
      <c r="A232" s="144"/>
      <c r="B232" s="144"/>
      <c r="C232" s="144"/>
      <c r="D232" s="144"/>
      <c r="E232" s="144"/>
      <c r="F232" s="52"/>
      <c r="G232" s="52"/>
      <c r="H232" s="52"/>
      <c r="I232" s="52"/>
      <c r="J232" s="52"/>
      <c r="K232" s="144"/>
      <c r="L232" s="144"/>
      <c r="M232" s="144"/>
      <c r="N232" s="144"/>
      <c r="O232" s="144"/>
      <c r="P232" s="144"/>
      <c r="Q232" s="144"/>
      <c r="R232" s="144"/>
      <c r="S232" s="144"/>
      <c r="T232" s="144"/>
      <c r="U232" s="144"/>
      <c r="V232" s="144"/>
      <c r="W232" s="144"/>
      <c r="X232" s="144"/>
      <c r="Y232" s="144"/>
      <c r="Z232" s="144"/>
    </row>
    <row r="233" spans="1:26" x14ac:dyDescent="0.3">
      <c r="A233" s="144"/>
      <c r="B233" s="144"/>
      <c r="C233" s="144"/>
      <c r="D233" s="144"/>
      <c r="E233" s="144"/>
      <c r="F233" s="52"/>
      <c r="G233" s="52"/>
      <c r="H233" s="52"/>
      <c r="I233" s="52"/>
      <c r="J233" s="52"/>
      <c r="K233" s="144"/>
      <c r="L233" s="144"/>
      <c r="M233" s="144"/>
      <c r="N233" s="144"/>
      <c r="O233" s="144"/>
      <c r="P233" s="144"/>
      <c r="Q233" s="144"/>
      <c r="R233" s="144"/>
      <c r="S233" s="144"/>
      <c r="T233" s="144"/>
      <c r="U233" s="144"/>
      <c r="V233" s="144"/>
      <c r="W233" s="144"/>
      <c r="X233" s="144"/>
      <c r="Y233" s="144"/>
      <c r="Z233" s="144"/>
    </row>
    <row r="234" spans="1:26" x14ac:dyDescent="0.3">
      <c r="A234" s="144"/>
      <c r="B234" s="144"/>
      <c r="C234" s="144"/>
      <c r="D234" s="144"/>
      <c r="E234" s="144"/>
      <c r="F234" s="52"/>
      <c r="G234" s="52"/>
      <c r="H234" s="52"/>
      <c r="I234" s="52"/>
      <c r="J234" s="52"/>
      <c r="K234" s="144"/>
      <c r="L234" s="144"/>
      <c r="M234" s="144"/>
      <c r="N234" s="144"/>
      <c r="O234" s="144"/>
      <c r="P234" s="144"/>
      <c r="Q234" s="144"/>
      <c r="R234" s="144"/>
      <c r="S234" s="144"/>
      <c r="T234" s="144"/>
      <c r="U234" s="144"/>
      <c r="V234" s="144"/>
      <c r="W234" s="144"/>
      <c r="X234" s="144"/>
      <c r="Y234" s="144"/>
      <c r="Z234" s="144"/>
    </row>
    <row r="235" spans="1:26" x14ac:dyDescent="0.3">
      <c r="A235" s="144"/>
      <c r="B235" s="144"/>
      <c r="C235" s="144"/>
      <c r="D235" s="144"/>
      <c r="E235" s="144"/>
      <c r="F235" s="52"/>
      <c r="G235" s="52"/>
      <c r="H235" s="52"/>
      <c r="I235" s="52"/>
      <c r="J235" s="52"/>
      <c r="K235" s="144"/>
      <c r="L235" s="144"/>
      <c r="M235" s="144"/>
      <c r="N235" s="144"/>
      <c r="O235" s="144"/>
      <c r="P235" s="144"/>
      <c r="Q235" s="144"/>
      <c r="R235" s="144"/>
      <c r="S235" s="144"/>
      <c r="T235" s="144"/>
      <c r="U235" s="144"/>
      <c r="V235" s="144"/>
      <c r="W235" s="144"/>
      <c r="X235" s="144"/>
      <c r="Y235" s="144"/>
      <c r="Z235" s="144"/>
    </row>
    <row r="236" spans="1:26" x14ac:dyDescent="0.3">
      <c r="A236" s="144"/>
      <c r="B236" s="144"/>
      <c r="C236" s="144"/>
      <c r="D236" s="144"/>
      <c r="E236" s="144"/>
      <c r="F236" s="52"/>
      <c r="G236" s="52"/>
      <c r="H236" s="52"/>
      <c r="I236" s="52"/>
      <c r="J236" s="52"/>
      <c r="K236" s="144"/>
      <c r="L236" s="144"/>
      <c r="M236" s="144"/>
      <c r="N236" s="144"/>
      <c r="O236" s="144"/>
      <c r="P236" s="144"/>
      <c r="Q236" s="144"/>
      <c r="R236" s="144"/>
      <c r="S236" s="144"/>
      <c r="T236" s="144"/>
      <c r="U236" s="144"/>
      <c r="V236" s="144"/>
      <c r="W236" s="144"/>
      <c r="X236" s="144"/>
      <c r="Y236" s="144"/>
      <c r="Z236" s="144"/>
    </row>
    <row r="237" spans="1:26" x14ac:dyDescent="0.3">
      <c r="A237" s="144"/>
      <c r="B237" s="144"/>
      <c r="C237" s="144"/>
      <c r="D237" s="144"/>
      <c r="E237" s="144"/>
      <c r="F237" s="52"/>
      <c r="G237" s="52"/>
      <c r="H237" s="52"/>
      <c r="I237" s="52"/>
      <c r="J237" s="52"/>
      <c r="K237" s="144"/>
      <c r="L237" s="144"/>
      <c r="M237" s="144"/>
      <c r="N237" s="144"/>
      <c r="O237" s="144"/>
      <c r="P237" s="144"/>
      <c r="Q237" s="144"/>
      <c r="R237" s="144"/>
      <c r="S237" s="144"/>
      <c r="T237" s="144"/>
      <c r="U237" s="144"/>
      <c r="V237" s="144"/>
      <c r="W237" s="144"/>
      <c r="X237" s="144"/>
      <c r="Y237" s="144"/>
      <c r="Z237" s="144"/>
    </row>
    <row r="238" spans="1:26" x14ac:dyDescent="0.3">
      <c r="A238" s="144"/>
      <c r="B238" s="144"/>
      <c r="C238" s="144"/>
      <c r="D238" s="144"/>
      <c r="E238" s="144"/>
      <c r="F238" s="52"/>
      <c r="G238" s="52"/>
      <c r="H238" s="52"/>
      <c r="I238" s="52"/>
      <c r="J238" s="52"/>
      <c r="K238" s="144"/>
      <c r="L238" s="144"/>
      <c r="M238" s="144"/>
      <c r="N238" s="144"/>
      <c r="O238" s="144"/>
      <c r="P238" s="144"/>
      <c r="Q238" s="144"/>
      <c r="R238" s="144"/>
      <c r="S238" s="144"/>
      <c r="T238" s="144"/>
      <c r="U238" s="144"/>
      <c r="V238" s="144"/>
      <c r="W238" s="144"/>
      <c r="X238" s="144"/>
      <c r="Y238" s="144"/>
      <c r="Z238" s="144"/>
    </row>
    <row r="239" spans="1:26" x14ac:dyDescent="0.3">
      <c r="A239" s="144"/>
      <c r="B239" s="144"/>
      <c r="C239" s="144"/>
      <c r="D239" s="144"/>
      <c r="E239" s="144"/>
      <c r="F239" s="52"/>
      <c r="G239" s="52"/>
      <c r="H239" s="52"/>
      <c r="I239" s="52"/>
      <c r="J239" s="52"/>
      <c r="K239" s="144"/>
      <c r="L239" s="144"/>
      <c r="M239" s="144"/>
      <c r="N239" s="144"/>
      <c r="O239" s="144"/>
      <c r="P239" s="144"/>
      <c r="Q239" s="144"/>
      <c r="R239" s="144"/>
      <c r="S239" s="144"/>
      <c r="T239" s="144"/>
      <c r="U239" s="144"/>
      <c r="V239" s="144"/>
      <c r="W239" s="144"/>
      <c r="X239" s="144"/>
      <c r="Y239" s="144"/>
      <c r="Z239" s="144"/>
    </row>
    <row r="240" spans="1:26" x14ac:dyDescent="0.3">
      <c r="A240" s="144"/>
      <c r="B240" s="144"/>
      <c r="C240" s="144"/>
      <c r="D240" s="144"/>
      <c r="E240" s="144"/>
      <c r="F240" s="52"/>
      <c r="G240" s="52"/>
      <c r="H240" s="52"/>
      <c r="I240" s="52"/>
      <c r="J240" s="52"/>
      <c r="K240" s="144"/>
      <c r="L240" s="144"/>
      <c r="M240" s="144"/>
      <c r="N240" s="144"/>
      <c r="O240" s="144"/>
      <c r="P240" s="144"/>
      <c r="Q240" s="144"/>
      <c r="R240" s="144"/>
      <c r="S240" s="144"/>
      <c r="T240" s="144"/>
      <c r="U240" s="144"/>
      <c r="V240" s="144"/>
      <c r="W240" s="144"/>
      <c r="X240" s="144"/>
      <c r="Y240" s="144"/>
      <c r="Z240" s="144"/>
    </row>
    <row r="241" spans="1:26" x14ac:dyDescent="0.3">
      <c r="A241" s="144"/>
      <c r="B241" s="144"/>
      <c r="C241" s="144"/>
      <c r="D241" s="144"/>
      <c r="E241" s="144"/>
      <c r="F241" s="52"/>
      <c r="G241" s="52"/>
      <c r="H241" s="52"/>
      <c r="I241" s="52"/>
      <c r="J241" s="52"/>
      <c r="K241" s="144"/>
      <c r="L241" s="144"/>
      <c r="M241" s="144"/>
      <c r="N241" s="144"/>
      <c r="O241" s="144"/>
      <c r="P241" s="144"/>
      <c r="Q241" s="144"/>
      <c r="R241" s="144"/>
      <c r="S241" s="144"/>
      <c r="T241" s="144"/>
      <c r="U241" s="144"/>
      <c r="V241" s="144"/>
      <c r="W241" s="144"/>
      <c r="X241" s="144"/>
      <c r="Y241" s="144"/>
      <c r="Z241" s="144"/>
    </row>
    <row r="242" spans="1:26" x14ac:dyDescent="0.3">
      <c r="A242" s="144"/>
      <c r="B242" s="144"/>
      <c r="C242" s="144"/>
      <c r="D242" s="144"/>
      <c r="E242" s="144"/>
      <c r="F242" s="52"/>
      <c r="G242" s="52"/>
      <c r="H242" s="52"/>
      <c r="I242" s="52"/>
      <c r="J242" s="52"/>
      <c r="K242" s="144"/>
      <c r="L242" s="144"/>
      <c r="M242" s="144"/>
      <c r="N242" s="144"/>
      <c r="O242" s="144"/>
      <c r="P242" s="144"/>
      <c r="Q242" s="144"/>
      <c r="R242" s="144"/>
      <c r="S242" s="144"/>
      <c r="T242" s="144"/>
      <c r="U242" s="144"/>
      <c r="V242" s="144"/>
      <c r="W242" s="144"/>
      <c r="X242" s="144"/>
      <c r="Y242" s="144"/>
      <c r="Z242" s="144"/>
    </row>
    <row r="243" spans="1:26" x14ac:dyDescent="0.3">
      <c r="A243" s="144"/>
      <c r="B243" s="144"/>
      <c r="C243" s="144"/>
      <c r="D243" s="144"/>
      <c r="E243" s="144"/>
      <c r="F243" s="52"/>
      <c r="G243" s="52"/>
      <c r="H243" s="52"/>
      <c r="I243" s="52"/>
      <c r="J243" s="52"/>
      <c r="K243" s="144"/>
      <c r="L243" s="144"/>
      <c r="M243" s="144"/>
      <c r="N243" s="144"/>
      <c r="O243" s="144"/>
      <c r="P243" s="144"/>
      <c r="Q243" s="144"/>
      <c r="R243" s="144"/>
      <c r="S243" s="144"/>
      <c r="T243" s="144"/>
      <c r="U243" s="144"/>
      <c r="V243" s="144"/>
      <c r="W243" s="144"/>
      <c r="X243" s="144"/>
      <c r="Y243" s="144"/>
      <c r="Z243" s="144"/>
    </row>
    <row r="244" spans="1:26" x14ac:dyDescent="0.3">
      <c r="A244" s="144"/>
      <c r="B244" s="144"/>
      <c r="C244" s="144"/>
      <c r="D244" s="144"/>
      <c r="E244" s="144"/>
      <c r="F244" s="52"/>
      <c r="G244" s="52"/>
      <c r="H244" s="52"/>
      <c r="I244" s="52"/>
      <c r="J244" s="52"/>
      <c r="K244" s="144"/>
      <c r="L244" s="144"/>
      <c r="M244" s="144"/>
      <c r="N244" s="144"/>
      <c r="O244" s="144"/>
      <c r="P244" s="144"/>
      <c r="Q244" s="144"/>
      <c r="R244" s="144"/>
      <c r="S244" s="144"/>
      <c r="T244" s="144"/>
      <c r="U244" s="144"/>
      <c r="V244" s="144"/>
      <c r="W244" s="144"/>
      <c r="X244" s="144"/>
      <c r="Y244" s="144"/>
      <c r="Z244" s="144"/>
    </row>
    <row r="245" spans="1:26" x14ac:dyDescent="0.3">
      <c r="A245" s="144"/>
      <c r="B245" s="144"/>
      <c r="C245" s="144"/>
      <c r="D245" s="144"/>
      <c r="E245" s="144"/>
      <c r="F245" s="52"/>
      <c r="G245" s="52"/>
      <c r="H245" s="52"/>
      <c r="I245" s="52"/>
      <c r="J245" s="52"/>
      <c r="K245" s="144"/>
      <c r="L245" s="144"/>
      <c r="M245" s="144"/>
      <c r="N245" s="144"/>
      <c r="O245" s="144"/>
      <c r="P245" s="144"/>
      <c r="Q245" s="144"/>
      <c r="R245" s="144"/>
      <c r="S245" s="144"/>
      <c r="T245" s="144"/>
      <c r="U245" s="144"/>
      <c r="V245" s="144"/>
      <c r="W245" s="144"/>
      <c r="X245" s="144"/>
      <c r="Y245" s="144"/>
      <c r="Z245" s="144"/>
    </row>
    <row r="246" spans="1:26" x14ac:dyDescent="0.3">
      <c r="A246" s="144"/>
      <c r="B246" s="144"/>
      <c r="C246" s="144"/>
      <c r="D246" s="144"/>
      <c r="E246" s="144"/>
      <c r="F246" s="52"/>
      <c r="G246" s="52"/>
      <c r="H246" s="52"/>
      <c r="I246" s="52"/>
      <c r="J246" s="52"/>
      <c r="K246" s="144"/>
      <c r="L246" s="144"/>
      <c r="M246" s="144"/>
      <c r="N246" s="144"/>
      <c r="O246" s="144"/>
      <c r="P246" s="144"/>
      <c r="Q246" s="144"/>
      <c r="R246" s="144"/>
      <c r="S246" s="144"/>
      <c r="T246" s="144"/>
      <c r="U246" s="144"/>
      <c r="V246" s="144"/>
      <c r="W246" s="144"/>
      <c r="X246" s="144"/>
      <c r="Y246" s="144"/>
      <c r="Z246" s="144"/>
    </row>
    <row r="247" spans="1:26" x14ac:dyDescent="0.3">
      <c r="A247" s="144"/>
      <c r="B247" s="144"/>
      <c r="C247" s="144"/>
      <c r="D247" s="144"/>
      <c r="E247" s="144"/>
      <c r="F247" s="52"/>
      <c r="G247" s="52"/>
      <c r="H247" s="52"/>
      <c r="I247" s="52"/>
      <c r="J247" s="52"/>
      <c r="K247" s="144"/>
      <c r="L247" s="144"/>
      <c r="M247" s="144"/>
      <c r="N247" s="144"/>
      <c r="O247" s="144"/>
      <c r="P247" s="144"/>
      <c r="Q247" s="144"/>
      <c r="R247" s="144"/>
      <c r="S247" s="144"/>
      <c r="T247" s="144"/>
      <c r="U247" s="144"/>
      <c r="V247" s="144"/>
      <c r="W247" s="144"/>
      <c r="X247" s="144"/>
      <c r="Y247" s="144"/>
      <c r="Z247" s="144"/>
    </row>
    <row r="248" spans="1:26" x14ac:dyDescent="0.3">
      <c r="A248" s="144"/>
      <c r="B248" s="144"/>
      <c r="C248" s="144"/>
      <c r="D248" s="144"/>
      <c r="E248" s="144"/>
      <c r="F248" s="52"/>
      <c r="G248" s="52"/>
      <c r="H248" s="52"/>
      <c r="I248" s="52"/>
      <c r="J248" s="52"/>
      <c r="K248" s="144"/>
      <c r="L248" s="144"/>
      <c r="M248" s="144"/>
      <c r="N248" s="144"/>
      <c r="O248" s="144"/>
      <c r="P248" s="144"/>
      <c r="Q248" s="144"/>
      <c r="R248" s="144"/>
      <c r="S248" s="144"/>
      <c r="T248" s="144"/>
      <c r="U248" s="144"/>
      <c r="V248" s="144"/>
      <c r="W248" s="144"/>
      <c r="X248" s="144"/>
      <c r="Y248" s="144"/>
      <c r="Z248" s="144"/>
    </row>
    <row r="249" spans="1:26" x14ac:dyDescent="0.3">
      <c r="A249" s="144"/>
      <c r="B249" s="144"/>
      <c r="C249" s="144"/>
      <c r="D249" s="144"/>
      <c r="E249" s="144"/>
      <c r="F249" s="52"/>
      <c r="G249" s="52"/>
      <c r="H249" s="52"/>
      <c r="I249" s="52"/>
      <c r="J249" s="52"/>
      <c r="K249" s="144"/>
      <c r="L249" s="144"/>
      <c r="M249" s="144"/>
      <c r="N249" s="144"/>
      <c r="O249" s="144"/>
      <c r="P249" s="144"/>
      <c r="Q249" s="144"/>
      <c r="R249" s="144"/>
      <c r="S249" s="144"/>
      <c r="T249" s="144"/>
      <c r="U249" s="144"/>
      <c r="V249" s="144"/>
      <c r="W249" s="144"/>
      <c r="X249" s="144"/>
      <c r="Y249" s="144"/>
      <c r="Z249" s="144"/>
    </row>
    <row r="250" spans="1:26" x14ac:dyDescent="0.3">
      <c r="A250" s="144"/>
      <c r="B250" s="144"/>
      <c r="C250" s="144"/>
      <c r="D250" s="144"/>
      <c r="E250" s="144"/>
      <c r="F250" s="52"/>
      <c r="G250" s="52"/>
      <c r="H250" s="52"/>
      <c r="I250" s="52"/>
      <c r="J250" s="52"/>
      <c r="K250" s="144"/>
      <c r="L250" s="144"/>
      <c r="M250" s="144"/>
      <c r="N250" s="144"/>
      <c r="O250" s="144"/>
      <c r="P250" s="144"/>
      <c r="Q250" s="144"/>
      <c r="R250" s="144"/>
      <c r="S250" s="144"/>
      <c r="T250" s="144"/>
      <c r="U250" s="144"/>
      <c r="V250" s="144"/>
      <c r="W250" s="144"/>
      <c r="X250" s="144"/>
      <c r="Y250" s="144"/>
      <c r="Z250" s="144"/>
    </row>
    <row r="251" spans="1:26" x14ac:dyDescent="0.3">
      <c r="A251" s="144"/>
      <c r="B251" s="144"/>
      <c r="C251" s="144"/>
      <c r="D251" s="144"/>
      <c r="E251" s="144"/>
      <c r="F251" s="52"/>
      <c r="G251" s="52"/>
      <c r="H251" s="52"/>
      <c r="I251" s="52"/>
      <c r="J251" s="52"/>
      <c r="K251" s="144"/>
      <c r="L251" s="144"/>
      <c r="M251" s="144"/>
      <c r="N251" s="144"/>
      <c r="O251" s="144"/>
      <c r="P251" s="144"/>
      <c r="Q251" s="144"/>
      <c r="R251" s="144"/>
      <c r="S251" s="144"/>
      <c r="T251" s="144"/>
      <c r="U251" s="144"/>
      <c r="V251" s="144"/>
      <c r="W251" s="144"/>
      <c r="X251" s="144"/>
      <c r="Y251" s="144"/>
      <c r="Z251" s="144"/>
    </row>
    <row r="252" spans="1:26" x14ac:dyDescent="0.3">
      <c r="A252" s="144"/>
      <c r="B252" s="144"/>
      <c r="C252" s="144"/>
      <c r="D252" s="144"/>
      <c r="E252" s="144"/>
      <c r="F252" s="52"/>
      <c r="G252" s="52"/>
      <c r="H252" s="52"/>
      <c r="I252" s="52"/>
      <c r="J252" s="52"/>
      <c r="K252" s="144"/>
      <c r="L252" s="144"/>
      <c r="M252" s="144"/>
      <c r="N252" s="144"/>
      <c r="O252" s="144"/>
      <c r="P252" s="144"/>
      <c r="Q252" s="144"/>
      <c r="R252" s="144"/>
      <c r="S252" s="144"/>
      <c r="T252" s="144"/>
      <c r="U252" s="144"/>
      <c r="V252" s="144"/>
      <c r="W252" s="144"/>
      <c r="X252" s="144"/>
      <c r="Y252" s="144"/>
      <c r="Z252" s="144"/>
    </row>
    <row r="253" spans="1:26" x14ac:dyDescent="0.3">
      <c r="A253" s="144"/>
      <c r="B253" s="144"/>
      <c r="C253" s="144"/>
      <c r="D253" s="144"/>
      <c r="E253" s="144"/>
      <c r="F253" s="52"/>
      <c r="G253" s="52"/>
      <c r="H253" s="52"/>
      <c r="I253" s="52"/>
      <c r="J253" s="52"/>
      <c r="K253" s="144"/>
      <c r="L253" s="144"/>
      <c r="M253" s="144"/>
      <c r="N253" s="144"/>
      <c r="O253" s="144"/>
      <c r="P253" s="144"/>
      <c r="Q253" s="144"/>
      <c r="R253" s="144"/>
      <c r="S253" s="144"/>
      <c r="T253" s="144"/>
      <c r="U253" s="144"/>
      <c r="V253" s="144"/>
      <c r="W253" s="144"/>
      <c r="X253" s="144"/>
      <c r="Y253" s="144"/>
      <c r="Z253" s="144"/>
    </row>
    <row r="254" spans="1:26" x14ac:dyDescent="0.3">
      <c r="A254" s="144"/>
      <c r="B254" s="144"/>
      <c r="C254" s="144"/>
      <c r="D254" s="144"/>
      <c r="E254" s="144"/>
      <c r="F254" s="52"/>
      <c r="G254" s="52"/>
      <c r="H254" s="52"/>
      <c r="I254" s="52"/>
      <c r="J254" s="52"/>
      <c r="K254" s="144"/>
      <c r="L254" s="144"/>
      <c r="M254" s="144"/>
      <c r="N254" s="144"/>
      <c r="O254" s="144"/>
      <c r="P254" s="144"/>
      <c r="Q254" s="144"/>
      <c r="R254" s="144"/>
      <c r="S254" s="144"/>
      <c r="T254" s="144"/>
      <c r="U254" s="144"/>
      <c r="V254" s="144"/>
      <c r="W254" s="144"/>
      <c r="X254" s="144"/>
      <c r="Y254" s="144"/>
      <c r="Z254" s="144"/>
    </row>
    <row r="255" spans="1:26" x14ac:dyDescent="0.3">
      <c r="A255" s="144"/>
      <c r="B255" s="144"/>
      <c r="C255" s="144"/>
      <c r="D255" s="144"/>
      <c r="E255" s="144"/>
      <c r="F255" s="52"/>
      <c r="G255" s="52"/>
      <c r="H255" s="52"/>
      <c r="I255" s="52"/>
      <c r="J255" s="52"/>
      <c r="K255" s="144"/>
      <c r="L255" s="144"/>
      <c r="M255" s="144"/>
      <c r="N255" s="144"/>
      <c r="O255" s="144"/>
      <c r="P255" s="144"/>
      <c r="Q255" s="144"/>
      <c r="R255" s="144"/>
      <c r="S255" s="144"/>
      <c r="T255" s="144"/>
      <c r="U255" s="144"/>
      <c r="V255" s="144"/>
      <c r="W255" s="144"/>
      <c r="X255" s="144"/>
      <c r="Y255" s="144"/>
      <c r="Z255" s="144"/>
    </row>
    <row r="256" spans="1:26" x14ac:dyDescent="0.3">
      <c r="A256" s="144"/>
      <c r="B256" s="144"/>
      <c r="C256" s="144"/>
      <c r="D256" s="144"/>
      <c r="E256" s="144"/>
      <c r="F256" s="52"/>
      <c r="G256" s="52"/>
      <c r="H256" s="52"/>
      <c r="I256" s="52"/>
      <c r="J256" s="52"/>
      <c r="K256" s="144"/>
      <c r="L256" s="144"/>
      <c r="M256" s="144"/>
      <c r="N256" s="144"/>
      <c r="O256" s="144"/>
      <c r="P256" s="144"/>
      <c r="Q256" s="144"/>
      <c r="R256" s="144"/>
      <c r="S256" s="144"/>
      <c r="T256" s="144"/>
      <c r="U256" s="144"/>
      <c r="V256" s="144"/>
      <c r="W256" s="144"/>
      <c r="X256" s="144"/>
      <c r="Y256" s="144"/>
      <c r="Z256" s="144"/>
    </row>
    <row r="257" spans="1:26" x14ac:dyDescent="0.3">
      <c r="A257" s="144"/>
      <c r="B257" s="144"/>
      <c r="C257" s="144"/>
      <c r="D257" s="144"/>
      <c r="E257" s="144"/>
      <c r="F257" s="52"/>
      <c r="G257" s="52"/>
      <c r="H257" s="52"/>
      <c r="I257" s="52"/>
      <c r="J257" s="52"/>
      <c r="K257" s="144"/>
      <c r="L257" s="144"/>
      <c r="M257" s="144"/>
      <c r="N257" s="144"/>
      <c r="O257" s="144"/>
      <c r="P257" s="144"/>
      <c r="Q257" s="144"/>
      <c r="R257" s="144"/>
      <c r="S257" s="144"/>
      <c r="T257" s="144"/>
      <c r="U257" s="144"/>
      <c r="V257" s="144"/>
      <c r="W257" s="144"/>
      <c r="X257" s="144"/>
      <c r="Y257" s="144"/>
      <c r="Z257" s="144"/>
    </row>
    <row r="258" spans="1:26" x14ac:dyDescent="0.3">
      <c r="A258" s="144"/>
      <c r="B258" s="144"/>
      <c r="C258" s="144"/>
      <c r="D258" s="144"/>
      <c r="E258" s="144"/>
      <c r="F258" s="52"/>
      <c r="G258" s="52"/>
      <c r="H258" s="52"/>
      <c r="I258" s="52"/>
      <c r="J258" s="52"/>
      <c r="K258" s="144"/>
      <c r="L258" s="144"/>
      <c r="M258" s="144"/>
      <c r="N258" s="144"/>
      <c r="O258" s="144"/>
      <c r="P258" s="144"/>
      <c r="Q258" s="144"/>
      <c r="R258" s="144"/>
      <c r="S258" s="144"/>
      <c r="T258" s="144"/>
      <c r="U258" s="144"/>
      <c r="V258" s="144"/>
      <c r="W258" s="144"/>
      <c r="X258" s="144"/>
      <c r="Y258" s="144"/>
      <c r="Z258" s="144"/>
    </row>
    <row r="259" spans="1:26" x14ac:dyDescent="0.3">
      <c r="A259" s="144"/>
      <c r="B259" s="144"/>
      <c r="C259" s="144"/>
      <c r="D259" s="144"/>
      <c r="E259" s="144"/>
      <c r="F259" s="52"/>
      <c r="G259" s="52"/>
      <c r="H259" s="52"/>
      <c r="I259" s="52"/>
      <c r="J259" s="52"/>
      <c r="K259" s="144"/>
      <c r="L259" s="144"/>
      <c r="M259" s="144"/>
      <c r="N259" s="144"/>
      <c r="O259" s="144"/>
      <c r="P259" s="144"/>
      <c r="Q259" s="144"/>
      <c r="R259" s="144"/>
      <c r="S259" s="144"/>
      <c r="T259" s="144"/>
      <c r="U259" s="144"/>
      <c r="V259" s="144"/>
      <c r="W259" s="144"/>
      <c r="X259" s="144"/>
      <c r="Y259" s="144"/>
      <c r="Z259" s="144"/>
    </row>
    <row r="260" spans="1:26" x14ac:dyDescent="0.3">
      <c r="A260" s="144"/>
      <c r="B260" s="144"/>
      <c r="C260" s="144"/>
      <c r="D260" s="144"/>
      <c r="E260" s="144"/>
      <c r="F260" s="52"/>
      <c r="G260" s="52"/>
      <c r="H260" s="52"/>
      <c r="I260" s="52"/>
      <c r="J260" s="52"/>
      <c r="K260" s="144"/>
      <c r="L260" s="144"/>
      <c r="M260" s="144"/>
      <c r="N260" s="144"/>
      <c r="O260" s="144"/>
      <c r="P260" s="144"/>
      <c r="Q260" s="144"/>
      <c r="R260" s="144"/>
      <c r="S260" s="144"/>
      <c r="T260" s="144"/>
      <c r="U260" s="144"/>
      <c r="V260" s="144"/>
      <c r="W260" s="144"/>
      <c r="X260" s="144"/>
      <c r="Y260" s="144"/>
      <c r="Z260" s="144"/>
    </row>
    <row r="261" spans="1:26" x14ac:dyDescent="0.3">
      <c r="A261" s="144"/>
      <c r="B261" s="144"/>
      <c r="C261" s="144"/>
      <c r="D261" s="144"/>
      <c r="E261" s="144"/>
      <c r="F261" s="52"/>
      <c r="G261" s="52"/>
      <c r="H261" s="52"/>
      <c r="I261" s="52"/>
      <c r="J261" s="52"/>
      <c r="K261" s="144"/>
      <c r="L261" s="144"/>
      <c r="M261" s="144"/>
      <c r="N261" s="144"/>
      <c r="O261" s="144"/>
      <c r="P261" s="144"/>
      <c r="Q261" s="144"/>
      <c r="R261" s="144"/>
      <c r="S261" s="144"/>
      <c r="T261" s="144"/>
      <c r="U261" s="144"/>
      <c r="V261" s="144"/>
      <c r="W261" s="144"/>
      <c r="X261" s="144"/>
      <c r="Y261" s="144"/>
      <c r="Z261" s="144"/>
    </row>
    <row r="262" spans="1:26" x14ac:dyDescent="0.3">
      <c r="A262" s="144"/>
      <c r="B262" s="144"/>
      <c r="C262" s="144"/>
      <c r="D262" s="144"/>
      <c r="E262" s="144"/>
      <c r="F262" s="52"/>
      <c r="G262" s="52"/>
      <c r="H262" s="52"/>
      <c r="I262" s="52"/>
      <c r="J262" s="52"/>
      <c r="K262" s="144"/>
      <c r="L262" s="144"/>
      <c r="M262" s="144"/>
      <c r="N262" s="144"/>
      <c r="O262" s="144"/>
      <c r="P262" s="144"/>
      <c r="Q262" s="144"/>
      <c r="R262" s="144"/>
      <c r="S262" s="144"/>
      <c r="T262" s="144"/>
      <c r="U262" s="144"/>
      <c r="V262" s="144"/>
      <c r="W262" s="144"/>
      <c r="X262" s="144"/>
      <c r="Y262" s="144"/>
      <c r="Z262" s="144"/>
    </row>
    <row r="263" spans="1:26" x14ac:dyDescent="0.3">
      <c r="A263" s="144"/>
      <c r="B263" s="144"/>
      <c r="C263" s="144"/>
      <c r="D263" s="144"/>
      <c r="E263" s="144"/>
      <c r="F263" s="52"/>
      <c r="G263" s="52"/>
      <c r="H263" s="52"/>
      <c r="I263" s="52"/>
      <c r="J263" s="52"/>
      <c r="K263" s="144"/>
      <c r="L263" s="144"/>
      <c r="M263" s="144"/>
      <c r="N263" s="144"/>
      <c r="O263" s="144"/>
      <c r="P263" s="144"/>
      <c r="Q263" s="144"/>
      <c r="R263" s="144"/>
      <c r="S263" s="144"/>
      <c r="T263" s="144"/>
      <c r="U263" s="144"/>
      <c r="V263" s="144"/>
      <c r="W263" s="144"/>
      <c r="X263" s="144"/>
      <c r="Y263" s="144"/>
      <c r="Z263" s="144"/>
    </row>
    <row r="264" spans="1:26" x14ac:dyDescent="0.3">
      <c r="A264" s="144"/>
      <c r="B264" s="144"/>
      <c r="C264" s="144"/>
      <c r="D264" s="144"/>
      <c r="E264" s="144"/>
      <c r="F264" s="52"/>
      <c r="G264" s="52"/>
      <c r="H264" s="52"/>
      <c r="I264" s="52"/>
      <c r="J264" s="52"/>
      <c r="K264" s="144"/>
      <c r="L264" s="144"/>
      <c r="M264" s="144"/>
      <c r="N264" s="144"/>
      <c r="O264" s="144"/>
      <c r="P264" s="144"/>
      <c r="Q264" s="144"/>
      <c r="R264" s="144"/>
      <c r="S264" s="144"/>
      <c r="T264" s="144"/>
      <c r="U264" s="144"/>
      <c r="V264" s="144"/>
      <c r="W264" s="144"/>
      <c r="X264" s="144"/>
      <c r="Y264" s="144"/>
      <c r="Z264" s="144"/>
    </row>
    <row r="265" spans="1:26" x14ac:dyDescent="0.3">
      <c r="A265" s="144"/>
      <c r="B265" s="144"/>
      <c r="C265" s="144"/>
      <c r="D265" s="144"/>
      <c r="E265" s="144"/>
      <c r="F265" s="52"/>
      <c r="G265" s="52"/>
      <c r="H265" s="52"/>
      <c r="I265" s="52"/>
      <c r="J265" s="52"/>
      <c r="K265" s="144"/>
      <c r="L265" s="144"/>
      <c r="M265" s="144"/>
      <c r="N265" s="144"/>
      <c r="O265" s="144"/>
      <c r="P265" s="144"/>
      <c r="Q265" s="144"/>
      <c r="R265" s="144"/>
      <c r="S265" s="144"/>
      <c r="T265" s="144"/>
      <c r="U265" s="144"/>
      <c r="V265" s="144"/>
      <c r="W265" s="144"/>
      <c r="X265" s="144"/>
      <c r="Y265" s="144"/>
      <c r="Z265" s="144"/>
    </row>
    <row r="266" spans="1:26" x14ac:dyDescent="0.3">
      <c r="A266" s="144"/>
      <c r="B266" s="144"/>
      <c r="C266" s="144"/>
      <c r="D266" s="144"/>
      <c r="E266" s="144"/>
      <c r="F266" s="52"/>
      <c r="G266" s="52"/>
      <c r="H266" s="52"/>
      <c r="I266" s="52"/>
      <c r="J266" s="52"/>
      <c r="K266" s="144"/>
      <c r="L266" s="144"/>
      <c r="M266" s="144"/>
      <c r="N266" s="144"/>
      <c r="O266" s="144"/>
      <c r="P266" s="144"/>
      <c r="Q266" s="144"/>
      <c r="R266" s="144"/>
      <c r="S266" s="144"/>
      <c r="T266" s="144"/>
      <c r="U266" s="144"/>
      <c r="V266" s="144"/>
      <c r="W266" s="144"/>
      <c r="X266" s="144"/>
      <c r="Y266" s="144"/>
      <c r="Z266" s="144"/>
    </row>
    <row r="267" spans="1:26" x14ac:dyDescent="0.3">
      <c r="A267" s="144"/>
      <c r="B267" s="144"/>
      <c r="C267" s="144"/>
      <c r="D267" s="144"/>
      <c r="E267" s="144"/>
      <c r="F267" s="52"/>
      <c r="G267" s="52"/>
      <c r="H267" s="52"/>
      <c r="I267" s="52"/>
      <c r="J267" s="52"/>
      <c r="K267" s="144"/>
      <c r="L267" s="144"/>
      <c r="M267" s="144"/>
      <c r="N267" s="144"/>
      <c r="O267" s="144"/>
      <c r="P267" s="144"/>
      <c r="Q267" s="144"/>
      <c r="R267" s="144"/>
      <c r="S267" s="144"/>
      <c r="T267" s="144"/>
      <c r="U267" s="144"/>
      <c r="V267" s="144"/>
      <c r="W267" s="144"/>
      <c r="X267" s="144"/>
      <c r="Y267" s="144"/>
      <c r="Z267" s="144"/>
    </row>
    <row r="268" spans="1:26" x14ac:dyDescent="0.3">
      <c r="A268" s="144"/>
      <c r="B268" s="144"/>
      <c r="C268" s="144"/>
      <c r="D268" s="144"/>
      <c r="E268" s="144"/>
      <c r="F268" s="52"/>
      <c r="G268" s="52"/>
      <c r="H268" s="52"/>
      <c r="I268" s="52"/>
      <c r="J268" s="52"/>
      <c r="K268" s="144"/>
      <c r="L268" s="144"/>
      <c r="M268" s="144"/>
      <c r="N268" s="144"/>
      <c r="O268" s="144"/>
      <c r="P268" s="144"/>
      <c r="Q268" s="144"/>
      <c r="R268" s="144"/>
      <c r="S268" s="144"/>
      <c r="T268" s="144"/>
      <c r="U268" s="144"/>
      <c r="V268" s="144"/>
      <c r="W268" s="144"/>
      <c r="X268" s="144"/>
      <c r="Y268" s="144"/>
      <c r="Z268" s="144"/>
    </row>
    <row r="269" spans="1:26" x14ac:dyDescent="0.3">
      <c r="A269" s="144"/>
      <c r="B269" s="144"/>
      <c r="C269" s="144"/>
      <c r="D269" s="144"/>
      <c r="E269" s="144"/>
      <c r="F269" s="52"/>
      <c r="G269" s="52"/>
      <c r="H269" s="52"/>
      <c r="I269" s="52"/>
      <c r="J269" s="52"/>
      <c r="K269" s="144"/>
      <c r="L269" s="144"/>
      <c r="M269" s="144"/>
      <c r="N269" s="144"/>
      <c r="O269" s="144"/>
      <c r="P269" s="144"/>
      <c r="Q269" s="144"/>
      <c r="R269" s="144"/>
      <c r="S269" s="144"/>
      <c r="T269" s="144"/>
      <c r="U269" s="144"/>
      <c r="V269" s="144"/>
      <c r="W269" s="144"/>
      <c r="X269" s="144"/>
      <c r="Y269" s="144"/>
      <c r="Z269" s="144"/>
    </row>
    <row r="270" spans="1:26" x14ac:dyDescent="0.3">
      <c r="A270" s="144"/>
      <c r="B270" s="144"/>
      <c r="C270" s="144"/>
      <c r="D270" s="144"/>
      <c r="E270" s="144"/>
      <c r="F270" s="52"/>
      <c r="G270" s="52"/>
      <c r="H270" s="52"/>
      <c r="I270" s="52"/>
      <c r="J270" s="52"/>
      <c r="K270" s="144"/>
      <c r="L270" s="144"/>
      <c r="M270" s="144"/>
      <c r="N270" s="144"/>
      <c r="O270" s="144"/>
      <c r="P270" s="144"/>
      <c r="Q270" s="144"/>
      <c r="R270" s="144"/>
      <c r="S270" s="144"/>
      <c r="T270" s="144"/>
      <c r="U270" s="144"/>
      <c r="V270" s="144"/>
      <c r="W270" s="144"/>
      <c r="X270" s="144"/>
      <c r="Y270" s="144"/>
      <c r="Z270" s="144"/>
    </row>
    <row r="271" spans="1:26" x14ac:dyDescent="0.3">
      <c r="A271" s="144"/>
      <c r="B271" s="144"/>
      <c r="C271" s="144"/>
      <c r="D271" s="144"/>
      <c r="E271" s="144"/>
      <c r="F271" s="52"/>
      <c r="G271" s="52"/>
      <c r="H271" s="52"/>
      <c r="I271" s="52"/>
      <c r="J271" s="52"/>
      <c r="K271" s="144"/>
      <c r="L271" s="144"/>
      <c r="M271" s="144"/>
      <c r="N271" s="144"/>
      <c r="O271" s="144"/>
      <c r="P271" s="144"/>
      <c r="Q271" s="144"/>
      <c r="R271" s="144"/>
      <c r="S271" s="144"/>
      <c r="T271" s="144"/>
      <c r="U271" s="144"/>
      <c r="V271" s="144"/>
      <c r="W271" s="144"/>
      <c r="X271" s="144"/>
      <c r="Y271" s="144"/>
      <c r="Z271" s="144"/>
    </row>
    <row r="272" spans="1:26" x14ac:dyDescent="0.3">
      <c r="A272" s="144"/>
      <c r="B272" s="144"/>
      <c r="C272" s="144"/>
      <c r="D272" s="144"/>
      <c r="E272" s="144"/>
      <c r="F272" s="52"/>
      <c r="G272" s="52"/>
      <c r="H272" s="52"/>
      <c r="I272" s="52"/>
      <c r="J272" s="52"/>
      <c r="K272" s="144"/>
      <c r="L272" s="144"/>
      <c r="M272" s="144"/>
      <c r="N272" s="144"/>
      <c r="O272" s="144"/>
      <c r="P272" s="144"/>
      <c r="Q272" s="144"/>
      <c r="R272" s="144"/>
      <c r="S272" s="144"/>
      <c r="T272" s="144"/>
      <c r="U272" s="144"/>
      <c r="V272" s="144"/>
      <c r="W272" s="144"/>
      <c r="X272" s="144"/>
      <c r="Y272" s="144"/>
      <c r="Z272" s="144"/>
    </row>
    <row r="273" spans="1:26" x14ac:dyDescent="0.3">
      <c r="A273" s="144"/>
      <c r="B273" s="144"/>
      <c r="C273" s="144"/>
      <c r="D273" s="144"/>
      <c r="E273" s="144"/>
      <c r="F273" s="52"/>
      <c r="G273" s="52"/>
      <c r="H273" s="52"/>
      <c r="I273" s="52"/>
      <c r="J273" s="52"/>
      <c r="K273" s="144"/>
      <c r="L273" s="144"/>
      <c r="M273" s="144"/>
      <c r="N273" s="144"/>
      <c r="O273" s="144"/>
      <c r="P273" s="144"/>
      <c r="Q273" s="144"/>
      <c r="R273" s="144"/>
      <c r="S273" s="144"/>
      <c r="T273" s="144"/>
      <c r="U273" s="144"/>
      <c r="V273" s="144"/>
      <c r="W273" s="144"/>
      <c r="X273" s="144"/>
      <c r="Y273" s="144"/>
      <c r="Z273" s="144"/>
    </row>
    <row r="274" spans="1:26" x14ac:dyDescent="0.3">
      <c r="A274" s="144"/>
      <c r="B274" s="144"/>
      <c r="C274" s="144"/>
      <c r="D274" s="144"/>
      <c r="E274" s="144"/>
      <c r="F274" s="52"/>
      <c r="G274" s="52"/>
      <c r="H274" s="52"/>
      <c r="I274" s="52"/>
      <c r="J274" s="52"/>
      <c r="K274" s="144"/>
      <c r="L274" s="144"/>
      <c r="M274" s="144"/>
      <c r="N274" s="144"/>
      <c r="O274" s="144"/>
      <c r="P274" s="144"/>
      <c r="Q274" s="144"/>
      <c r="R274" s="144"/>
      <c r="S274" s="144"/>
      <c r="T274" s="144"/>
      <c r="U274" s="144"/>
      <c r="V274" s="144"/>
      <c r="W274" s="144"/>
      <c r="X274" s="144"/>
      <c r="Y274" s="144"/>
      <c r="Z274" s="144"/>
    </row>
    <row r="275" spans="1:26" x14ac:dyDescent="0.3">
      <c r="A275" s="144"/>
      <c r="B275" s="144"/>
      <c r="C275" s="144"/>
      <c r="D275" s="144"/>
      <c r="E275" s="144"/>
      <c r="F275" s="52"/>
      <c r="G275" s="52"/>
      <c r="H275" s="52"/>
      <c r="I275" s="52"/>
      <c r="J275" s="52"/>
      <c r="K275" s="144"/>
      <c r="L275" s="144"/>
      <c r="M275" s="144"/>
      <c r="N275" s="144"/>
      <c r="O275" s="144"/>
      <c r="P275" s="144"/>
      <c r="Q275" s="144"/>
      <c r="R275" s="144"/>
      <c r="S275" s="144"/>
      <c r="T275" s="144"/>
      <c r="U275" s="144"/>
      <c r="V275" s="144"/>
      <c r="W275" s="144"/>
      <c r="X275" s="144"/>
      <c r="Y275" s="144"/>
      <c r="Z275" s="144"/>
    </row>
    <row r="276" spans="1:26" x14ac:dyDescent="0.3">
      <c r="A276" s="144"/>
      <c r="B276" s="144"/>
      <c r="C276" s="144"/>
      <c r="D276" s="144"/>
      <c r="E276" s="144"/>
      <c r="F276" s="52"/>
      <c r="G276" s="52"/>
      <c r="H276" s="52"/>
      <c r="I276" s="52"/>
      <c r="J276" s="52"/>
      <c r="K276" s="144"/>
      <c r="L276" s="144"/>
      <c r="M276" s="144"/>
      <c r="N276" s="144"/>
      <c r="O276" s="144"/>
      <c r="P276" s="144"/>
      <c r="Q276" s="144"/>
      <c r="R276" s="144"/>
      <c r="S276" s="144"/>
      <c r="T276" s="144"/>
      <c r="U276" s="144"/>
      <c r="V276" s="144"/>
      <c r="W276" s="144"/>
      <c r="X276" s="144"/>
      <c r="Y276" s="144"/>
      <c r="Z276" s="144"/>
    </row>
    <row r="277" spans="1:26" x14ac:dyDescent="0.3">
      <c r="A277" s="144"/>
      <c r="B277" s="144"/>
      <c r="C277" s="144"/>
      <c r="D277" s="144"/>
      <c r="E277" s="144"/>
      <c r="F277" s="52"/>
      <c r="G277" s="52"/>
      <c r="H277" s="52"/>
      <c r="I277" s="52"/>
      <c r="J277" s="52"/>
      <c r="K277" s="144"/>
      <c r="L277" s="144"/>
      <c r="M277" s="144"/>
      <c r="N277" s="144"/>
      <c r="O277" s="144"/>
      <c r="P277" s="144"/>
      <c r="Q277" s="144"/>
      <c r="R277" s="144"/>
      <c r="S277" s="144"/>
      <c r="T277" s="144"/>
      <c r="U277" s="144"/>
      <c r="V277" s="144"/>
      <c r="W277" s="144"/>
      <c r="X277" s="144"/>
      <c r="Y277" s="144"/>
      <c r="Z277" s="144"/>
    </row>
    <row r="278" spans="1:26" x14ac:dyDescent="0.3">
      <c r="A278" s="144"/>
      <c r="B278" s="144"/>
      <c r="C278" s="144"/>
      <c r="D278" s="144"/>
      <c r="E278" s="144"/>
      <c r="F278" s="52"/>
      <c r="G278" s="52"/>
      <c r="H278" s="52"/>
      <c r="I278" s="52"/>
      <c r="J278" s="52"/>
      <c r="K278" s="144"/>
      <c r="L278" s="144"/>
      <c r="M278" s="144"/>
      <c r="N278" s="144"/>
      <c r="O278" s="144"/>
      <c r="P278" s="144"/>
      <c r="Q278" s="144"/>
      <c r="R278" s="144"/>
      <c r="S278" s="144"/>
      <c r="T278" s="144"/>
      <c r="U278" s="144"/>
      <c r="V278" s="144"/>
      <c r="W278" s="144"/>
      <c r="X278" s="144"/>
      <c r="Y278" s="144"/>
      <c r="Z278" s="144"/>
    </row>
    <row r="279" spans="1:26" x14ac:dyDescent="0.3">
      <c r="A279" s="144"/>
      <c r="B279" s="144"/>
      <c r="C279" s="144"/>
      <c r="D279" s="144"/>
      <c r="E279" s="144"/>
      <c r="F279" s="52"/>
      <c r="G279" s="52"/>
      <c r="H279" s="52"/>
      <c r="I279" s="52"/>
      <c r="J279" s="52"/>
      <c r="K279" s="144"/>
      <c r="L279" s="144"/>
      <c r="M279" s="144"/>
      <c r="N279" s="144"/>
      <c r="O279" s="144"/>
      <c r="P279" s="144"/>
      <c r="Q279" s="144"/>
      <c r="R279" s="144"/>
      <c r="S279" s="144"/>
      <c r="T279" s="144"/>
      <c r="U279" s="144"/>
      <c r="V279" s="144"/>
      <c r="W279" s="144"/>
      <c r="X279" s="144"/>
      <c r="Y279" s="144"/>
      <c r="Z279" s="144"/>
    </row>
    <row r="280" spans="1:26" x14ac:dyDescent="0.3">
      <c r="A280" s="144"/>
      <c r="B280" s="144"/>
      <c r="C280" s="144"/>
      <c r="D280" s="144"/>
      <c r="E280" s="144"/>
      <c r="F280" s="52"/>
      <c r="G280" s="52"/>
      <c r="H280" s="52"/>
      <c r="I280" s="52"/>
      <c r="J280" s="52"/>
      <c r="K280" s="144"/>
      <c r="L280" s="144"/>
      <c r="M280" s="144"/>
      <c r="N280" s="144"/>
      <c r="O280" s="144"/>
      <c r="P280" s="144"/>
      <c r="Q280" s="144"/>
      <c r="R280" s="144"/>
      <c r="S280" s="144"/>
      <c r="T280" s="144"/>
      <c r="U280" s="144"/>
      <c r="V280" s="144"/>
      <c r="W280" s="144"/>
      <c r="X280" s="144"/>
      <c r="Y280" s="144"/>
      <c r="Z280" s="144"/>
    </row>
    <row r="281" spans="1:26" x14ac:dyDescent="0.3">
      <c r="A281" s="144"/>
      <c r="B281" s="144"/>
      <c r="C281" s="144"/>
      <c r="D281" s="144"/>
      <c r="E281" s="144"/>
      <c r="F281" s="52"/>
      <c r="G281" s="52"/>
      <c r="H281" s="52"/>
      <c r="I281" s="52"/>
      <c r="J281" s="52"/>
      <c r="K281" s="144"/>
      <c r="L281" s="144"/>
      <c r="M281" s="144"/>
      <c r="N281" s="144"/>
      <c r="O281" s="144"/>
      <c r="P281" s="144"/>
      <c r="Q281" s="144"/>
      <c r="R281" s="144"/>
      <c r="S281" s="144"/>
      <c r="T281" s="144"/>
      <c r="U281" s="144"/>
      <c r="V281" s="144"/>
      <c r="W281" s="144"/>
      <c r="X281" s="144"/>
      <c r="Y281" s="144"/>
      <c r="Z281" s="144"/>
    </row>
    <row r="282" spans="1:26" x14ac:dyDescent="0.3">
      <c r="A282" s="144"/>
      <c r="B282" s="144"/>
      <c r="C282" s="144"/>
      <c r="D282" s="144"/>
      <c r="E282" s="144"/>
      <c r="F282" s="52"/>
      <c r="G282" s="52"/>
      <c r="H282" s="52"/>
      <c r="I282" s="52"/>
      <c r="J282" s="52"/>
      <c r="K282" s="144"/>
      <c r="L282" s="144"/>
      <c r="M282" s="144"/>
      <c r="N282" s="144"/>
      <c r="O282" s="144"/>
      <c r="P282" s="144"/>
      <c r="Q282" s="144"/>
      <c r="R282" s="144"/>
      <c r="S282" s="144"/>
      <c r="T282" s="144"/>
      <c r="U282" s="144"/>
      <c r="V282" s="144"/>
      <c r="W282" s="144"/>
      <c r="X282" s="144"/>
      <c r="Y282" s="144"/>
      <c r="Z282" s="144"/>
    </row>
    <row r="283" spans="1:26" x14ac:dyDescent="0.3">
      <c r="A283" s="144"/>
      <c r="B283" s="144"/>
      <c r="C283" s="144"/>
      <c r="D283" s="144"/>
      <c r="E283" s="144"/>
      <c r="F283" s="52"/>
      <c r="G283" s="52"/>
      <c r="H283" s="52"/>
      <c r="I283" s="52"/>
      <c r="J283" s="52"/>
      <c r="K283" s="144"/>
      <c r="L283" s="144"/>
      <c r="M283" s="144"/>
      <c r="N283" s="144"/>
      <c r="O283" s="144"/>
      <c r="P283" s="144"/>
      <c r="Q283" s="144"/>
      <c r="R283" s="144"/>
      <c r="S283" s="144"/>
      <c r="T283" s="144"/>
      <c r="U283" s="144"/>
      <c r="V283" s="144"/>
      <c r="W283" s="144"/>
      <c r="X283" s="144"/>
      <c r="Y283" s="144"/>
      <c r="Z283" s="144"/>
    </row>
    <row r="284" spans="1:26" x14ac:dyDescent="0.3">
      <c r="A284" s="144"/>
      <c r="B284" s="144"/>
      <c r="C284" s="144"/>
      <c r="D284" s="144"/>
      <c r="E284" s="144"/>
      <c r="F284" s="52"/>
      <c r="G284" s="52"/>
      <c r="H284" s="52"/>
      <c r="I284" s="52"/>
      <c r="J284" s="52"/>
      <c r="K284" s="144"/>
      <c r="L284" s="144"/>
      <c r="M284" s="144"/>
      <c r="N284" s="144"/>
      <c r="O284" s="144"/>
      <c r="P284" s="144"/>
      <c r="Q284" s="144"/>
      <c r="R284" s="144"/>
      <c r="S284" s="144"/>
      <c r="T284" s="144"/>
      <c r="U284" s="144"/>
      <c r="V284" s="144"/>
      <c r="W284" s="144"/>
      <c r="X284" s="144"/>
      <c r="Y284" s="144"/>
      <c r="Z284" s="144"/>
    </row>
    <row r="285" spans="1:26" x14ac:dyDescent="0.3">
      <c r="A285" s="144"/>
      <c r="B285" s="144"/>
      <c r="C285" s="144"/>
      <c r="D285" s="144"/>
      <c r="E285" s="144"/>
      <c r="F285" s="52"/>
      <c r="G285" s="52"/>
      <c r="H285" s="52"/>
      <c r="I285" s="52"/>
      <c r="J285" s="52"/>
      <c r="K285" s="144"/>
      <c r="L285" s="144"/>
      <c r="M285" s="144"/>
      <c r="N285" s="144"/>
      <c r="O285" s="144"/>
      <c r="P285" s="144"/>
      <c r="Q285" s="144"/>
      <c r="R285" s="144"/>
      <c r="S285" s="144"/>
      <c r="T285" s="144"/>
      <c r="U285" s="144"/>
      <c r="V285" s="144"/>
      <c r="W285" s="144"/>
      <c r="X285" s="144"/>
      <c r="Y285" s="144"/>
      <c r="Z285" s="144"/>
    </row>
    <row r="286" spans="1:26" x14ac:dyDescent="0.3">
      <c r="A286" s="144"/>
      <c r="B286" s="144"/>
      <c r="C286" s="144"/>
      <c r="D286" s="144"/>
      <c r="E286" s="144"/>
      <c r="F286" s="52"/>
      <c r="G286" s="52"/>
      <c r="H286" s="52"/>
      <c r="I286" s="52"/>
      <c r="J286" s="52"/>
      <c r="K286" s="144"/>
      <c r="L286" s="144"/>
      <c r="M286" s="144"/>
      <c r="N286" s="144"/>
      <c r="O286" s="144"/>
      <c r="P286" s="144"/>
      <c r="Q286" s="144"/>
      <c r="R286" s="144"/>
      <c r="S286" s="144"/>
      <c r="T286" s="144"/>
      <c r="U286" s="144"/>
      <c r="V286" s="144"/>
      <c r="W286" s="144"/>
      <c r="X286" s="144"/>
      <c r="Y286" s="144"/>
      <c r="Z286" s="144"/>
    </row>
    <row r="287" spans="1:26" x14ac:dyDescent="0.3">
      <c r="A287" s="144"/>
      <c r="B287" s="144"/>
      <c r="C287" s="144"/>
      <c r="D287" s="144"/>
      <c r="E287" s="144"/>
      <c r="F287" s="52"/>
      <c r="G287" s="52"/>
      <c r="H287" s="52"/>
      <c r="I287" s="52"/>
      <c r="J287" s="52"/>
      <c r="K287" s="144"/>
      <c r="L287" s="144"/>
      <c r="M287" s="144"/>
      <c r="N287" s="144"/>
      <c r="O287" s="144"/>
      <c r="P287" s="144"/>
      <c r="Q287" s="144"/>
      <c r="R287" s="144"/>
      <c r="S287" s="144"/>
      <c r="T287" s="144"/>
      <c r="U287" s="144"/>
      <c r="V287" s="144"/>
      <c r="W287" s="144"/>
      <c r="X287" s="144"/>
      <c r="Y287" s="144"/>
      <c r="Z287" s="144"/>
    </row>
    <row r="288" spans="1:26" x14ac:dyDescent="0.3">
      <c r="A288" s="144"/>
      <c r="B288" s="144"/>
      <c r="C288" s="144"/>
      <c r="D288" s="144"/>
      <c r="E288" s="144"/>
      <c r="F288" s="52"/>
      <c r="G288" s="52"/>
      <c r="H288" s="52"/>
      <c r="I288" s="52"/>
      <c r="J288" s="52"/>
      <c r="K288" s="144"/>
      <c r="L288" s="144"/>
      <c r="M288" s="144"/>
      <c r="N288" s="144"/>
      <c r="O288" s="144"/>
      <c r="P288" s="144"/>
      <c r="Q288" s="144"/>
      <c r="R288" s="144"/>
      <c r="S288" s="144"/>
      <c r="T288" s="144"/>
      <c r="U288" s="144"/>
      <c r="V288" s="144"/>
      <c r="W288" s="144"/>
      <c r="X288" s="144"/>
      <c r="Y288" s="144"/>
      <c r="Z288" s="144"/>
    </row>
    <row r="289" spans="1:26" x14ac:dyDescent="0.3">
      <c r="A289" s="144"/>
      <c r="B289" s="144"/>
      <c r="C289" s="144"/>
      <c r="D289" s="144"/>
      <c r="E289" s="144"/>
      <c r="F289" s="52"/>
      <c r="G289" s="52"/>
      <c r="H289" s="52"/>
      <c r="I289" s="52"/>
      <c r="J289" s="52"/>
      <c r="K289" s="144"/>
      <c r="L289" s="144"/>
      <c r="M289" s="144"/>
      <c r="N289" s="144"/>
      <c r="O289" s="144"/>
      <c r="P289" s="144"/>
      <c r="Q289" s="144"/>
      <c r="R289" s="144"/>
      <c r="S289" s="144"/>
      <c r="T289" s="144"/>
      <c r="U289" s="144"/>
      <c r="V289" s="144"/>
      <c r="W289" s="144"/>
      <c r="X289" s="144"/>
      <c r="Y289" s="144"/>
      <c r="Z289" s="144"/>
    </row>
    <row r="290" spans="1:26" x14ac:dyDescent="0.3">
      <c r="A290" s="144"/>
      <c r="B290" s="144"/>
      <c r="C290" s="144"/>
      <c r="D290" s="144"/>
      <c r="E290" s="144"/>
      <c r="F290" s="52"/>
      <c r="G290" s="52"/>
      <c r="H290" s="52"/>
      <c r="I290" s="52"/>
      <c r="J290" s="52"/>
      <c r="K290" s="144"/>
      <c r="L290" s="144"/>
      <c r="M290" s="144"/>
      <c r="N290" s="144"/>
      <c r="O290" s="144"/>
      <c r="P290" s="144"/>
      <c r="Q290" s="144"/>
      <c r="R290" s="144"/>
      <c r="S290" s="144"/>
      <c r="T290" s="144"/>
      <c r="U290" s="144"/>
      <c r="V290" s="144"/>
      <c r="W290" s="144"/>
      <c r="X290" s="144"/>
      <c r="Y290" s="144"/>
      <c r="Z290" s="144"/>
    </row>
    <row r="291" spans="1:26" x14ac:dyDescent="0.3">
      <c r="A291" s="144"/>
      <c r="B291" s="144"/>
      <c r="C291" s="144"/>
      <c r="D291" s="144"/>
      <c r="E291" s="144"/>
      <c r="F291" s="52"/>
      <c r="G291" s="52"/>
      <c r="H291" s="52"/>
      <c r="I291" s="52"/>
      <c r="J291" s="52"/>
      <c r="K291" s="144"/>
      <c r="L291" s="144"/>
      <c r="M291" s="144"/>
      <c r="N291" s="144"/>
      <c r="O291" s="144"/>
      <c r="P291" s="144"/>
      <c r="Q291" s="144"/>
      <c r="R291" s="144"/>
      <c r="S291" s="144"/>
      <c r="T291" s="144"/>
      <c r="U291" s="144"/>
      <c r="V291" s="144"/>
      <c r="W291" s="144"/>
      <c r="X291" s="144"/>
      <c r="Y291" s="144"/>
      <c r="Z291" s="144"/>
    </row>
    <row r="292" spans="1:26" x14ac:dyDescent="0.3">
      <c r="A292" s="144"/>
      <c r="B292" s="144"/>
      <c r="C292" s="144"/>
      <c r="D292" s="144"/>
      <c r="E292" s="144"/>
      <c r="F292" s="52"/>
      <c r="G292" s="52"/>
      <c r="H292" s="52"/>
      <c r="I292" s="52"/>
      <c r="J292" s="52"/>
      <c r="K292" s="144"/>
      <c r="L292" s="144"/>
      <c r="M292" s="144"/>
      <c r="N292" s="144"/>
      <c r="O292" s="144"/>
      <c r="P292" s="144"/>
      <c r="Q292" s="144"/>
      <c r="R292" s="144"/>
      <c r="S292" s="144"/>
      <c r="T292" s="144"/>
      <c r="U292" s="144"/>
      <c r="V292" s="144"/>
      <c r="W292" s="144"/>
      <c r="X292" s="144"/>
      <c r="Y292" s="144"/>
      <c r="Z292" s="144"/>
    </row>
    <row r="293" spans="1:26" x14ac:dyDescent="0.3">
      <c r="A293" s="144"/>
      <c r="B293" s="144"/>
      <c r="C293" s="144"/>
      <c r="D293" s="144"/>
      <c r="E293" s="144"/>
      <c r="F293" s="52"/>
      <c r="G293" s="52"/>
      <c r="H293" s="52"/>
      <c r="I293" s="52"/>
      <c r="J293" s="52"/>
      <c r="K293" s="144"/>
      <c r="L293" s="144"/>
      <c r="M293" s="144"/>
      <c r="N293" s="144"/>
      <c r="O293" s="144"/>
      <c r="P293" s="144"/>
      <c r="Q293" s="144"/>
      <c r="R293" s="144"/>
      <c r="S293" s="144"/>
      <c r="T293" s="144"/>
      <c r="U293" s="144"/>
      <c r="V293" s="144"/>
      <c r="W293" s="144"/>
      <c r="X293" s="144"/>
      <c r="Y293" s="144"/>
      <c r="Z293" s="144"/>
    </row>
    <row r="294" spans="1:26" x14ac:dyDescent="0.3">
      <c r="A294" s="144"/>
      <c r="B294" s="144"/>
      <c r="C294" s="144"/>
      <c r="D294" s="144"/>
      <c r="E294" s="144"/>
      <c r="F294" s="52"/>
      <c r="G294" s="52"/>
      <c r="H294" s="52"/>
      <c r="I294" s="52"/>
      <c r="J294" s="52"/>
      <c r="K294" s="144"/>
      <c r="L294" s="144"/>
      <c r="M294" s="144"/>
      <c r="N294" s="144"/>
      <c r="O294" s="144"/>
      <c r="P294" s="144"/>
      <c r="Q294" s="144"/>
      <c r="R294" s="144"/>
      <c r="S294" s="144"/>
      <c r="T294" s="144"/>
      <c r="U294" s="144"/>
      <c r="V294" s="144"/>
      <c r="W294" s="144"/>
      <c r="X294" s="144"/>
      <c r="Y294" s="144"/>
      <c r="Z294" s="144"/>
    </row>
    <row r="295" spans="1:26" x14ac:dyDescent="0.3">
      <c r="A295" s="144"/>
      <c r="B295" s="144"/>
      <c r="C295" s="144"/>
      <c r="D295" s="144"/>
      <c r="E295" s="144"/>
      <c r="F295" s="52"/>
      <c r="G295" s="52"/>
      <c r="H295" s="52"/>
      <c r="I295" s="52"/>
      <c r="J295" s="52"/>
      <c r="K295" s="144"/>
      <c r="L295" s="144"/>
      <c r="M295" s="144"/>
      <c r="N295" s="144"/>
      <c r="O295" s="144"/>
      <c r="P295" s="144"/>
      <c r="Q295" s="144"/>
      <c r="R295" s="144"/>
      <c r="S295" s="144"/>
      <c r="T295" s="144"/>
      <c r="U295" s="144"/>
      <c r="V295" s="144"/>
      <c r="W295" s="144"/>
      <c r="X295" s="144"/>
      <c r="Y295" s="144"/>
      <c r="Z295" s="144"/>
    </row>
    <row r="296" spans="1:26" x14ac:dyDescent="0.3">
      <c r="A296" s="144"/>
      <c r="B296" s="144"/>
      <c r="C296" s="144"/>
      <c r="D296" s="144"/>
      <c r="E296" s="144"/>
      <c r="F296" s="52"/>
      <c r="G296" s="52"/>
      <c r="H296" s="52"/>
      <c r="I296" s="52"/>
      <c r="J296" s="52"/>
      <c r="K296" s="144"/>
      <c r="L296" s="144"/>
      <c r="M296" s="144"/>
      <c r="N296" s="144"/>
      <c r="O296" s="144"/>
      <c r="P296" s="144"/>
      <c r="Q296" s="144"/>
      <c r="R296" s="144"/>
      <c r="S296" s="144"/>
      <c r="T296" s="144"/>
      <c r="U296" s="144"/>
      <c r="V296" s="144"/>
      <c r="W296" s="144"/>
      <c r="X296" s="144"/>
      <c r="Y296" s="144"/>
      <c r="Z296" s="144"/>
    </row>
    <row r="297" spans="1:26" x14ac:dyDescent="0.3">
      <c r="A297" s="144"/>
      <c r="B297" s="144"/>
      <c r="C297" s="144"/>
      <c r="D297" s="144"/>
      <c r="E297" s="144"/>
      <c r="F297" s="52"/>
      <c r="G297" s="52"/>
      <c r="H297" s="52"/>
      <c r="I297" s="52"/>
      <c r="J297" s="52"/>
      <c r="K297" s="144"/>
      <c r="L297" s="144"/>
      <c r="M297" s="144"/>
      <c r="N297" s="144"/>
      <c r="O297" s="144"/>
      <c r="P297" s="144"/>
      <c r="Q297" s="144"/>
      <c r="R297" s="144"/>
      <c r="S297" s="144"/>
      <c r="T297" s="144"/>
      <c r="U297" s="144"/>
      <c r="V297" s="144"/>
      <c r="W297" s="144"/>
      <c r="X297" s="144"/>
      <c r="Y297" s="144"/>
      <c r="Z297" s="144"/>
    </row>
    <row r="298" spans="1:26" x14ac:dyDescent="0.3">
      <c r="A298" s="144"/>
      <c r="B298" s="144"/>
      <c r="C298" s="144"/>
      <c r="D298" s="144"/>
      <c r="E298" s="144"/>
      <c r="F298" s="52"/>
      <c r="G298" s="52"/>
      <c r="H298" s="52"/>
      <c r="I298" s="52"/>
      <c r="J298" s="52"/>
      <c r="K298" s="144"/>
      <c r="L298" s="144"/>
      <c r="M298" s="144"/>
      <c r="N298" s="144"/>
      <c r="O298" s="144"/>
      <c r="P298" s="144"/>
      <c r="Q298" s="144"/>
      <c r="R298" s="144"/>
      <c r="S298" s="144"/>
      <c r="T298" s="144"/>
      <c r="U298" s="144"/>
      <c r="V298" s="144"/>
      <c r="W298" s="144"/>
      <c r="X298" s="144"/>
      <c r="Y298" s="144"/>
      <c r="Z298" s="144"/>
    </row>
    <row r="299" spans="1:26" x14ac:dyDescent="0.3">
      <c r="A299" s="144"/>
      <c r="B299" s="144"/>
      <c r="C299" s="144"/>
      <c r="D299" s="144"/>
      <c r="E299" s="144"/>
      <c r="F299" s="52"/>
      <c r="G299" s="52"/>
      <c r="H299" s="52"/>
      <c r="I299" s="52"/>
      <c r="J299" s="52"/>
      <c r="K299" s="144"/>
      <c r="L299" s="144"/>
      <c r="M299" s="144"/>
      <c r="N299" s="144"/>
      <c r="O299" s="144"/>
      <c r="P299" s="144"/>
      <c r="Q299" s="144"/>
      <c r="R299" s="144"/>
      <c r="S299" s="144"/>
      <c r="T299" s="144"/>
      <c r="U299" s="144"/>
      <c r="V299" s="144"/>
      <c r="W299" s="144"/>
      <c r="X299" s="144"/>
      <c r="Y299" s="144"/>
      <c r="Z299" s="144"/>
    </row>
    <row r="300" spans="1:26" x14ac:dyDescent="0.3">
      <c r="A300" s="144"/>
      <c r="B300" s="144"/>
      <c r="C300" s="144"/>
      <c r="D300" s="144"/>
      <c r="E300" s="144"/>
      <c r="F300" s="52"/>
      <c r="G300" s="52"/>
      <c r="H300" s="52"/>
      <c r="I300" s="52"/>
      <c r="J300" s="52"/>
      <c r="K300" s="144"/>
      <c r="L300" s="144"/>
      <c r="M300" s="144"/>
      <c r="N300" s="144"/>
      <c r="O300" s="144"/>
      <c r="P300" s="144"/>
      <c r="Q300" s="144"/>
      <c r="R300" s="144"/>
      <c r="S300" s="144"/>
      <c r="T300" s="144"/>
      <c r="U300" s="144"/>
      <c r="V300" s="144"/>
      <c r="W300" s="144"/>
      <c r="X300" s="144"/>
      <c r="Y300" s="144"/>
      <c r="Z300" s="144"/>
    </row>
    <row r="301" spans="1:26" x14ac:dyDescent="0.3">
      <c r="A301" s="144"/>
      <c r="B301" s="144"/>
      <c r="C301" s="144"/>
      <c r="D301" s="144"/>
      <c r="E301" s="144"/>
      <c r="F301" s="52"/>
      <c r="G301" s="52"/>
      <c r="H301" s="52"/>
      <c r="I301" s="52"/>
      <c r="J301" s="52"/>
      <c r="K301" s="144"/>
      <c r="L301" s="144"/>
      <c r="M301" s="144"/>
      <c r="N301" s="144"/>
      <c r="O301" s="144"/>
      <c r="P301" s="144"/>
      <c r="Q301" s="144"/>
      <c r="R301" s="144"/>
      <c r="S301" s="144"/>
      <c r="T301" s="144"/>
      <c r="U301" s="144"/>
      <c r="V301" s="144"/>
      <c r="W301" s="144"/>
      <c r="X301" s="144"/>
      <c r="Y301" s="144"/>
      <c r="Z301" s="144"/>
    </row>
    <row r="302" spans="1:26" x14ac:dyDescent="0.3">
      <c r="A302" s="144"/>
      <c r="B302" s="144"/>
      <c r="C302" s="144"/>
      <c r="D302" s="144"/>
      <c r="E302" s="144"/>
      <c r="F302" s="52"/>
      <c r="G302" s="52"/>
      <c r="H302" s="52"/>
      <c r="I302" s="52"/>
      <c r="J302" s="52"/>
      <c r="K302" s="144"/>
      <c r="L302" s="144"/>
      <c r="M302" s="144"/>
      <c r="N302" s="144"/>
      <c r="O302" s="144"/>
      <c r="P302" s="144"/>
      <c r="Q302" s="144"/>
      <c r="R302" s="144"/>
      <c r="S302" s="144"/>
      <c r="T302" s="144"/>
      <c r="U302" s="144"/>
      <c r="V302" s="144"/>
      <c r="W302" s="144"/>
      <c r="X302" s="144"/>
      <c r="Y302" s="144"/>
      <c r="Z302" s="144"/>
    </row>
    <row r="303" spans="1:26" x14ac:dyDescent="0.3">
      <c r="A303" s="144"/>
      <c r="B303" s="144"/>
      <c r="C303" s="144"/>
      <c r="D303" s="144"/>
      <c r="E303" s="144"/>
      <c r="F303" s="52"/>
      <c r="G303" s="52"/>
      <c r="H303" s="52"/>
      <c r="I303" s="52"/>
      <c r="J303" s="52"/>
      <c r="K303" s="144"/>
      <c r="L303" s="144"/>
      <c r="M303" s="144"/>
      <c r="N303" s="144"/>
      <c r="O303" s="144"/>
      <c r="P303" s="144"/>
      <c r="Q303" s="144"/>
      <c r="R303" s="144"/>
      <c r="S303" s="144"/>
      <c r="T303" s="144"/>
      <c r="U303" s="144"/>
      <c r="V303" s="144"/>
      <c r="W303" s="144"/>
      <c r="X303" s="144"/>
      <c r="Y303" s="144"/>
      <c r="Z303" s="144"/>
    </row>
    <row r="304" spans="1:26" x14ac:dyDescent="0.3">
      <c r="A304" s="144"/>
      <c r="B304" s="144"/>
      <c r="C304" s="144"/>
      <c r="D304" s="144"/>
      <c r="E304" s="144"/>
      <c r="F304" s="52"/>
      <c r="G304" s="52"/>
      <c r="H304" s="52"/>
      <c r="I304" s="52"/>
      <c r="J304" s="52"/>
      <c r="K304" s="144"/>
      <c r="L304" s="144"/>
      <c r="M304" s="144"/>
      <c r="N304" s="144"/>
      <c r="O304" s="144"/>
      <c r="P304" s="144"/>
      <c r="Q304" s="144"/>
      <c r="R304" s="144"/>
      <c r="S304" s="144"/>
      <c r="T304" s="144"/>
      <c r="U304" s="144"/>
      <c r="V304" s="144"/>
      <c r="W304" s="144"/>
      <c r="X304" s="144"/>
      <c r="Y304" s="144"/>
      <c r="Z304" s="144"/>
    </row>
    <row r="305" spans="1:26" x14ac:dyDescent="0.3">
      <c r="A305" s="144"/>
      <c r="B305" s="144"/>
      <c r="C305" s="144"/>
      <c r="D305" s="144"/>
      <c r="E305" s="144"/>
      <c r="F305" s="52"/>
      <c r="G305" s="52"/>
      <c r="H305" s="52"/>
      <c r="I305" s="52"/>
      <c r="J305" s="52"/>
      <c r="K305" s="144"/>
      <c r="L305" s="144"/>
      <c r="M305" s="144"/>
      <c r="N305" s="144"/>
      <c r="O305" s="144"/>
      <c r="P305" s="144"/>
      <c r="Q305" s="144"/>
      <c r="R305" s="144"/>
      <c r="S305" s="144"/>
      <c r="T305" s="144"/>
      <c r="U305" s="144"/>
      <c r="V305" s="144"/>
      <c r="W305" s="144"/>
      <c r="X305" s="144"/>
      <c r="Y305" s="144"/>
      <c r="Z305" s="144"/>
    </row>
    <row r="306" spans="1:26" x14ac:dyDescent="0.3">
      <c r="A306" s="144"/>
      <c r="B306" s="144"/>
      <c r="C306" s="144"/>
      <c r="D306" s="144"/>
      <c r="E306" s="144"/>
      <c r="F306" s="52"/>
      <c r="G306" s="52"/>
      <c r="H306" s="52"/>
      <c r="I306" s="52"/>
      <c r="J306" s="52"/>
      <c r="K306" s="144"/>
      <c r="L306" s="144"/>
      <c r="M306" s="144"/>
      <c r="N306" s="144"/>
      <c r="O306" s="144"/>
      <c r="P306" s="144"/>
      <c r="Q306" s="144"/>
      <c r="R306" s="144"/>
      <c r="S306" s="144"/>
      <c r="T306" s="144"/>
      <c r="U306" s="144"/>
      <c r="V306" s="144"/>
      <c r="W306" s="144"/>
      <c r="X306" s="144"/>
      <c r="Y306" s="144"/>
      <c r="Z306" s="144"/>
    </row>
    <row r="307" spans="1:26" x14ac:dyDescent="0.3">
      <c r="A307" s="144"/>
      <c r="B307" s="144"/>
      <c r="C307" s="144"/>
      <c r="D307" s="144"/>
      <c r="E307" s="144"/>
      <c r="F307" s="52"/>
      <c r="G307" s="52"/>
      <c r="H307" s="52"/>
      <c r="I307" s="52"/>
      <c r="J307" s="52"/>
      <c r="K307" s="144"/>
      <c r="L307" s="144"/>
      <c r="M307" s="144"/>
      <c r="N307" s="144"/>
      <c r="O307" s="144"/>
      <c r="P307" s="144"/>
      <c r="Q307" s="144"/>
      <c r="R307" s="144"/>
      <c r="S307" s="144"/>
      <c r="T307" s="144"/>
      <c r="U307" s="144"/>
      <c r="V307" s="144"/>
      <c r="W307" s="144"/>
      <c r="X307" s="144"/>
      <c r="Y307" s="144"/>
      <c r="Z307" s="144"/>
    </row>
    <row r="308" spans="1:26" x14ac:dyDescent="0.3">
      <c r="A308" s="144"/>
      <c r="B308" s="144"/>
      <c r="C308" s="144"/>
      <c r="D308" s="144"/>
      <c r="E308" s="144"/>
      <c r="F308" s="52"/>
      <c r="G308" s="52"/>
      <c r="H308" s="52"/>
      <c r="I308" s="52"/>
      <c r="J308" s="52"/>
      <c r="K308" s="144"/>
      <c r="L308" s="144"/>
      <c r="M308" s="144"/>
      <c r="N308" s="144"/>
      <c r="O308" s="144"/>
      <c r="P308" s="144"/>
      <c r="Q308" s="144"/>
      <c r="R308" s="144"/>
      <c r="S308" s="144"/>
      <c r="T308" s="144"/>
      <c r="U308" s="144"/>
      <c r="V308" s="144"/>
      <c r="W308" s="144"/>
      <c r="X308" s="144"/>
      <c r="Y308" s="144"/>
      <c r="Z308" s="144"/>
    </row>
    <row r="309" spans="1:26" x14ac:dyDescent="0.3">
      <c r="A309" s="144"/>
      <c r="B309" s="144"/>
      <c r="C309" s="144"/>
      <c r="D309" s="144"/>
      <c r="E309" s="144"/>
      <c r="F309" s="52"/>
      <c r="G309" s="52"/>
      <c r="H309" s="52"/>
      <c r="I309" s="52"/>
      <c r="J309" s="52"/>
      <c r="K309" s="144"/>
      <c r="L309" s="144"/>
      <c r="M309" s="144"/>
      <c r="N309" s="144"/>
      <c r="O309" s="144"/>
      <c r="P309" s="144"/>
      <c r="Q309" s="144"/>
      <c r="R309" s="144"/>
      <c r="S309" s="144"/>
      <c r="T309" s="144"/>
      <c r="U309" s="144"/>
      <c r="V309" s="144"/>
      <c r="W309" s="144"/>
      <c r="X309" s="144"/>
      <c r="Y309" s="144"/>
      <c r="Z309" s="144"/>
    </row>
    <row r="310" spans="1:26" x14ac:dyDescent="0.3">
      <c r="A310" s="144"/>
      <c r="B310" s="144"/>
      <c r="C310" s="144"/>
      <c r="D310" s="144"/>
      <c r="E310" s="144"/>
      <c r="F310" s="52"/>
      <c r="G310" s="52"/>
      <c r="H310" s="52"/>
      <c r="I310" s="52"/>
      <c r="J310" s="52"/>
      <c r="K310" s="144"/>
      <c r="L310" s="144"/>
      <c r="M310" s="144"/>
      <c r="N310" s="144"/>
      <c r="O310" s="144"/>
      <c r="P310" s="144"/>
      <c r="Q310" s="144"/>
      <c r="R310" s="144"/>
      <c r="S310" s="144"/>
      <c r="T310" s="144"/>
      <c r="U310" s="144"/>
      <c r="V310" s="144"/>
      <c r="W310" s="144"/>
      <c r="X310" s="144"/>
      <c r="Y310" s="144"/>
      <c r="Z310" s="144"/>
    </row>
    <row r="311" spans="1:26" x14ac:dyDescent="0.3">
      <c r="A311" s="144"/>
      <c r="B311" s="144"/>
      <c r="C311" s="144"/>
      <c r="D311" s="144"/>
      <c r="E311" s="144"/>
      <c r="F311" s="52"/>
      <c r="G311" s="52"/>
      <c r="H311" s="52"/>
      <c r="I311" s="52"/>
      <c r="J311" s="52"/>
      <c r="K311" s="144"/>
      <c r="L311" s="144"/>
      <c r="M311" s="144"/>
      <c r="N311" s="144"/>
      <c r="O311" s="144"/>
      <c r="P311" s="144"/>
      <c r="Q311" s="144"/>
      <c r="R311" s="144"/>
      <c r="S311" s="144"/>
      <c r="T311" s="144"/>
      <c r="U311" s="144"/>
      <c r="V311" s="144"/>
      <c r="W311" s="144"/>
      <c r="X311" s="144"/>
      <c r="Y311" s="144"/>
      <c r="Z311" s="144"/>
    </row>
    <row r="312" spans="1:26" x14ac:dyDescent="0.3">
      <c r="A312" s="144"/>
      <c r="B312" s="144"/>
      <c r="C312" s="144"/>
      <c r="D312" s="144"/>
      <c r="E312" s="144"/>
      <c r="F312" s="52"/>
      <c r="G312" s="52"/>
      <c r="H312" s="52"/>
      <c r="I312" s="52"/>
      <c r="J312" s="52"/>
      <c r="K312" s="144"/>
      <c r="L312" s="144"/>
      <c r="M312" s="144"/>
      <c r="N312" s="144"/>
      <c r="O312" s="144"/>
      <c r="P312" s="144"/>
      <c r="Q312" s="144"/>
      <c r="R312" s="144"/>
      <c r="S312" s="144"/>
      <c r="T312" s="144"/>
      <c r="U312" s="144"/>
      <c r="V312" s="144"/>
      <c r="W312" s="144"/>
      <c r="X312" s="144"/>
      <c r="Y312" s="144"/>
      <c r="Z312" s="144"/>
    </row>
    <row r="313" spans="1:26" x14ac:dyDescent="0.3">
      <c r="A313" s="144"/>
      <c r="B313" s="144"/>
      <c r="C313" s="144"/>
      <c r="D313" s="144"/>
      <c r="E313" s="144"/>
      <c r="F313" s="52"/>
      <c r="G313" s="52"/>
      <c r="H313" s="52"/>
      <c r="I313" s="52"/>
      <c r="J313" s="52"/>
      <c r="K313" s="144"/>
      <c r="L313" s="144"/>
      <c r="M313" s="144"/>
      <c r="N313" s="144"/>
      <c r="O313" s="144"/>
      <c r="P313" s="144"/>
      <c r="Q313" s="144"/>
      <c r="R313" s="144"/>
      <c r="S313" s="144"/>
      <c r="T313" s="144"/>
      <c r="U313" s="144"/>
      <c r="V313" s="144"/>
      <c r="W313" s="144"/>
      <c r="X313" s="144"/>
      <c r="Y313" s="144"/>
      <c r="Z313" s="144"/>
    </row>
    <row r="314" spans="1:26" x14ac:dyDescent="0.3">
      <c r="A314" s="144"/>
      <c r="B314" s="144"/>
      <c r="C314" s="144"/>
      <c r="D314" s="144"/>
      <c r="E314" s="144"/>
      <c r="F314" s="52"/>
      <c r="G314" s="52"/>
      <c r="H314" s="52"/>
      <c r="I314" s="52"/>
      <c r="J314" s="52"/>
      <c r="K314" s="144"/>
      <c r="L314" s="144"/>
      <c r="M314" s="144"/>
      <c r="N314" s="144"/>
      <c r="O314" s="144"/>
      <c r="P314" s="144"/>
      <c r="Q314" s="144"/>
      <c r="R314" s="144"/>
      <c r="S314" s="144"/>
      <c r="T314" s="144"/>
      <c r="U314" s="144"/>
      <c r="V314" s="144"/>
      <c r="W314" s="144"/>
      <c r="X314" s="144"/>
      <c r="Y314" s="144"/>
      <c r="Z314" s="144"/>
    </row>
    <row r="315" spans="1:26" x14ac:dyDescent="0.3">
      <c r="A315" s="144"/>
      <c r="B315" s="144"/>
      <c r="C315" s="144"/>
      <c r="D315" s="144"/>
      <c r="E315" s="144"/>
      <c r="F315" s="52"/>
      <c r="G315" s="52"/>
      <c r="H315" s="52"/>
      <c r="I315" s="52"/>
      <c r="J315" s="52"/>
      <c r="K315" s="144"/>
      <c r="L315" s="144"/>
      <c r="M315" s="144"/>
      <c r="N315" s="144"/>
      <c r="O315" s="144"/>
      <c r="P315" s="144"/>
      <c r="Q315" s="144"/>
      <c r="R315" s="144"/>
      <c r="S315" s="144"/>
      <c r="T315" s="144"/>
      <c r="U315" s="144"/>
      <c r="V315" s="144"/>
      <c r="W315" s="144"/>
      <c r="X315" s="144"/>
      <c r="Y315" s="144"/>
      <c r="Z315" s="144"/>
    </row>
    <row r="316" spans="1:26" x14ac:dyDescent="0.3">
      <c r="A316" s="144"/>
      <c r="B316" s="144"/>
      <c r="C316" s="144"/>
      <c r="D316" s="144"/>
      <c r="E316" s="144"/>
      <c r="F316" s="52"/>
      <c r="G316" s="52"/>
      <c r="H316" s="52"/>
      <c r="I316" s="52"/>
      <c r="J316" s="52"/>
      <c r="K316" s="144"/>
      <c r="L316" s="144"/>
      <c r="M316" s="144"/>
      <c r="N316" s="144"/>
      <c r="O316" s="144"/>
      <c r="P316" s="144"/>
      <c r="Q316" s="144"/>
      <c r="R316" s="144"/>
      <c r="S316" s="144"/>
      <c r="T316" s="144"/>
      <c r="U316" s="144"/>
      <c r="V316" s="144"/>
      <c r="W316" s="144"/>
      <c r="X316" s="144"/>
      <c r="Y316" s="144"/>
      <c r="Z316" s="144"/>
    </row>
    <row r="317" spans="1:26" x14ac:dyDescent="0.3">
      <c r="A317" s="144"/>
      <c r="B317" s="144"/>
      <c r="C317" s="144"/>
      <c r="D317" s="144"/>
      <c r="E317" s="144"/>
      <c r="F317" s="52"/>
      <c r="G317" s="52"/>
      <c r="H317" s="52"/>
      <c r="I317" s="52"/>
      <c r="J317" s="52"/>
      <c r="K317" s="144"/>
      <c r="L317" s="144"/>
      <c r="M317" s="144"/>
      <c r="N317" s="144"/>
      <c r="O317" s="144"/>
      <c r="P317" s="144"/>
      <c r="Q317" s="144"/>
      <c r="R317" s="144"/>
      <c r="S317" s="144"/>
      <c r="T317" s="144"/>
      <c r="U317" s="144"/>
      <c r="V317" s="144"/>
      <c r="W317" s="144"/>
      <c r="X317" s="144"/>
      <c r="Y317" s="144"/>
      <c r="Z317" s="144"/>
    </row>
    <row r="318" spans="1:26" x14ac:dyDescent="0.3">
      <c r="A318" s="144"/>
      <c r="B318" s="144"/>
      <c r="C318" s="144"/>
      <c r="D318" s="144"/>
      <c r="E318" s="144"/>
      <c r="F318" s="52"/>
      <c r="G318" s="52"/>
      <c r="H318" s="52"/>
      <c r="I318" s="52"/>
      <c r="J318" s="52"/>
      <c r="K318" s="144"/>
      <c r="L318" s="144"/>
      <c r="M318" s="144"/>
      <c r="N318" s="144"/>
      <c r="O318" s="144"/>
      <c r="P318" s="144"/>
      <c r="Q318" s="144"/>
      <c r="R318" s="144"/>
      <c r="S318" s="144"/>
      <c r="T318" s="144"/>
      <c r="U318" s="144"/>
      <c r="V318" s="144"/>
      <c r="W318" s="144"/>
      <c r="X318" s="144"/>
      <c r="Y318" s="144"/>
      <c r="Z318" s="144"/>
    </row>
    <row r="319" spans="1:26" x14ac:dyDescent="0.3">
      <c r="A319" s="144"/>
      <c r="B319" s="144"/>
      <c r="C319" s="144"/>
      <c r="D319" s="144"/>
      <c r="E319" s="144"/>
      <c r="F319" s="52"/>
      <c r="G319" s="52"/>
      <c r="H319" s="52"/>
      <c r="I319" s="52"/>
      <c r="J319" s="52"/>
      <c r="K319" s="144"/>
      <c r="L319" s="144"/>
      <c r="M319" s="144"/>
      <c r="N319" s="144"/>
      <c r="O319" s="144"/>
      <c r="P319" s="144"/>
      <c r="Q319" s="144"/>
      <c r="R319" s="144"/>
      <c r="S319" s="144"/>
      <c r="T319" s="144"/>
      <c r="U319" s="144"/>
      <c r="V319" s="144"/>
      <c r="W319" s="144"/>
      <c r="X319" s="144"/>
      <c r="Y319" s="144"/>
      <c r="Z319" s="144"/>
    </row>
    <row r="320" spans="1:26" x14ac:dyDescent="0.3">
      <c r="A320" s="144"/>
      <c r="B320" s="144"/>
      <c r="C320" s="144"/>
      <c r="D320" s="144"/>
      <c r="E320" s="144"/>
      <c r="F320" s="52"/>
      <c r="G320" s="52"/>
      <c r="H320" s="52"/>
      <c r="I320" s="52"/>
      <c r="J320" s="52"/>
      <c r="K320" s="144"/>
      <c r="L320" s="144"/>
      <c r="M320" s="144"/>
      <c r="N320" s="144"/>
      <c r="O320" s="144"/>
      <c r="P320" s="144"/>
      <c r="Q320" s="144"/>
      <c r="R320" s="144"/>
      <c r="S320" s="144"/>
      <c r="T320" s="144"/>
      <c r="U320" s="144"/>
      <c r="V320" s="144"/>
      <c r="W320" s="144"/>
      <c r="X320" s="144"/>
      <c r="Y320" s="144"/>
      <c r="Z320" s="144"/>
    </row>
    <row r="321" spans="1:26" x14ac:dyDescent="0.3">
      <c r="A321" s="144"/>
      <c r="B321" s="144"/>
      <c r="C321" s="144"/>
      <c r="D321" s="144"/>
      <c r="E321" s="144"/>
      <c r="F321" s="52"/>
      <c r="G321" s="52"/>
      <c r="H321" s="52"/>
      <c r="I321" s="52"/>
      <c r="J321" s="52"/>
      <c r="K321" s="144"/>
      <c r="L321" s="144"/>
      <c r="M321" s="144"/>
      <c r="N321" s="144"/>
      <c r="O321" s="144"/>
      <c r="P321" s="144"/>
      <c r="Q321" s="144"/>
      <c r="R321" s="144"/>
      <c r="S321" s="144"/>
      <c r="T321" s="144"/>
      <c r="U321" s="144"/>
      <c r="V321" s="144"/>
      <c r="W321" s="144"/>
      <c r="X321" s="144"/>
      <c r="Y321" s="144"/>
      <c r="Z321" s="144"/>
    </row>
    <row r="322" spans="1:26" x14ac:dyDescent="0.3">
      <c r="A322" s="144"/>
      <c r="B322" s="144"/>
      <c r="C322" s="144"/>
      <c r="D322" s="144"/>
      <c r="E322" s="144"/>
      <c r="F322" s="52"/>
      <c r="G322" s="52"/>
      <c r="H322" s="52"/>
      <c r="I322" s="52"/>
      <c r="J322" s="52"/>
      <c r="K322" s="144"/>
      <c r="L322" s="144"/>
      <c r="M322" s="144"/>
      <c r="N322" s="144"/>
      <c r="O322" s="144"/>
      <c r="P322" s="144"/>
      <c r="Q322" s="144"/>
      <c r="R322" s="144"/>
      <c r="S322" s="144"/>
      <c r="T322" s="144"/>
      <c r="U322" s="144"/>
      <c r="V322" s="144"/>
      <c r="W322" s="144"/>
      <c r="X322" s="144"/>
      <c r="Y322" s="144"/>
      <c r="Z322" s="144"/>
    </row>
    <row r="323" spans="1:26" x14ac:dyDescent="0.3">
      <c r="A323" s="144"/>
      <c r="B323" s="144"/>
      <c r="C323" s="144"/>
      <c r="D323" s="144"/>
      <c r="E323" s="144"/>
      <c r="F323" s="52"/>
      <c r="G323" s="52"/>
      <c r="H323" s="52"/>
      <c r="I323" s="52"/>
      <c r="J323" s="52"/>
      <c r="K323" s="144"/>
      <c r="L323" s="144"/>
      <c r="M323" s="144"/>
      <c r="N323" s="144"/>
      <c r="O323" s="144"/>
      <c r="P323" s="144"/>
      <c r="Q323" s="144"/>
      <c r="R323" s="144"/>
      <c r="S323" s="144"/>
      <c r="T323" s="144"/>
      <c r="U323" s="144"/>
      <c r="V323" s="144"/>
      <c r="W323" s="144"/>
      <c r="X323" s="144"/>
      <c r="Y323" s="144"/>
      <c r="Z323" s="144"/>
    </row>
    <row r="324" spans="1:26" x14ac:dyDescent="0.3">
      <c r="A324" s="144"/>
      <c r="B324" s="144"/>
      <c r="C324" s="144"/>
      <c r="D324" s="144"/>
      <c r="E324" s="144"/>
      <c r="F324" s="52"/>
      <c r="G324" s="52"/>
      <c r="H324" s="52"/>
      <c r="I324" s="52"/>
      <c r="J324" s="52"/>
      <c r="K324" s="144"/>
      <c r="L324" s="144"/>
      <c r="M324" s="144"/>
      <c r="N324" s="144"/>
      <c r="O324" s="144"/>
      <c r="P324" s="144"/>
      <c r="Q324" s="144"/>
      <c r="R324" s="144"/>
      <c r="S324" s="144"/>
      <c r="T324" s="144"/>
      <c r="U324" s="144"/>
      <c r="V324" s="144"/>
      <c r="W324" s="144"/>
      <c r="X324" s="144"/>
      <c r="Y324" s="144"/>
      <c r="Z324" s="144"/>
    </row>
    <row r="325" spans="1:26" x14ac:dyDescent="0.3">
      <c r="A325" s="144"/>
      <c r="B325" s="144"/>
      <c r="C325" s="144"/>
      <c r="D325" s="144"/>
      <c r="E325" s="144"/>
      <c r="F325" s="52"/>
      <c r="G325" s="52"/>
      <c r="H325" s="52"/>
      <c r="I325" s="52"/>
      <c r="J325" s="52"/>
      <c r="K325" s="144"/>
      <c r="L325" s="144"/>
      <c r="M325" s="144"/>
      <c r="N325" s="144"/>
      <c r="O325" s="144"/>
      <c r="P325" s="144"/>
      <c r="Q325" s="144"/>
      <c r="R325" s="144"/>
      <c r="S325" s="144"/>
      <c r="T325" s="144"/>
      <c r="U325" s="144"/>
      <c r="V325" s="144"/>
      <c r="W325" s="144"/>
      <c r="X325" s="144"/>
      <c r="Y325" s="144"/>
      <c r="Z325" s="144"/>
    </row>
    <row r="326" spans="1:26" x14ac:dyDescent="0.3">
      <c r="A326" s="144"/>
      <c r="B326" s="144"/>
      <c r="C326" s="144"/>
      <c r="D326" s="144"/>
      <c r="E326" s="144"/>
      <c r="F326" s="52"/>
      <c r="G326" s="52"/>
      <c r="H326" s="52"/>
      <c r="I326" s="52"/>
      <c r="J326" s="52"/>
      <c r="K326" s="144"/>
      <c r="L326" s="144"/>
      <c r="M326" s="144"/>
      <c r="N326" s="144"/>
      <c r="O326" s="144"/>
      <c r="P326" s="144"/>
      <c r="Q326" s="144"/>
      <c r="R326" s="144"/>
      <c r="S326" s="144"/>
      <c r="T326" s="144"/>
      <c r="U326" s="144"/>
      <c r="V326" s="144"/>
      <c r="W326" s="144"/>
      <c r="X326" s="144"/>
      <c r="Y326" s="144"/>
      <c r="Z326" s="144"/>
    </row>
    <row r="327" spans="1:26" x14ac:dyDescent="0.3">
      <c r="A327" s="144"/>
      <c r="B327" s="144"/>
      <c r="C327" s="144"/>
      <c r="D327" s="144"/>
      <c r="E327" s="144"/>
      <c r="F327" s="52"/>
      <c r="G327" s="52"/>
      <c r="H327" s="52"/>
      <c r="I327" s="52"/>
      <c r="J327" s="52"/>
      <c r="K327" s="144"/>
      <c r="L327" s="144"/>
      <c r="M327" s="144"/>
      <c r="N327" s="144"/>
      <c r="O327" s="144"/>
      <c r="P327" s="144"/>
      <c r="Q327" s="144"/>
      <c r="R327" s="144"/>
      <c r="S327" s="144"/>
      <c r="T327" s="144"/>
      <c r="U327" s="144"/>
      <c r="V327" s="144"/>
      <c r="W327" s="144"/>
      <c r="X327" s="144"/>
      <c r="Y327" s="144"/>
      <c r="Z327" s="144"/>
    </row>
    <row r="328" spans="1:26" x14ac:dyDescent="0.3">
      <c r="A328" s="144"/>
      <c r="B328" s="144"/>
      <c r="C328" s="144"/>
      <c r="D328" s="144"/>
      <c r="E328" s="144"/>
      <c r="F328" s="52"/>
      <c r="G328" s="52"/>
      <c r="H328" s="52"/>
      <c r="I328" s="52"/>
      <c r="J328" s="52"/>
      <c r="K328" s="144"/>
      <c r="L328" s="144"/>
      <c r="M328" s="144"/>
      <c r="N328" s="144"/>
      <c r="O328" s="144"/>
      <c r="P328" s="144"/>
      <c r="Q328" s="144"/>
      <c r="R328" s="144"/>
      <c r="S328" s="144"/>
      <c r="T328" s="144"/>
      <c r="U328" s="144"/>
      <c r="V328" s="144"/>
      <c r="W328" s="144"/>
      <c r="X328" s="144"/>
      <c r="Y328" s="144"/>
      <c r="Z328" s="144"/>
    </row>
    <row r="329" spans="1:26" x14ac:dyDescent="0.3">
      <c r="A329" s="144"/>
      <c r="B329" s="144"/>
      <c r="C329" s="144"/>
      <c r="D329" s="144"/>
      <c r="E329" s="144"/>
      <c r="F329" s="52"/>
      <c r="G329" s="52"/>
      <c r="H329" s="52"/>
      <c r="I329" s="52"/>
      <c r="J329" s="52"/>
      <c r="K329" s="144"/>
      <c r="L329" s="144"/>
      <c r="M329" s="144"/>
      <c r="N329" s="144"/>
      <c r="O329" s="144"/>
      <c r="P329" s="144"/>
      <c r="Q329" s="144"/>
      <c r="R329" s="144"/>
      <c r="S329" s="144"/>
      <c r="T329" s="144"/>
      <c r="U329" s="144"/>
      <c r="V329" s="144"/>
      <c r="W329" s="144"/>
      <c r="X329" s="144"/>
      <c r="Y329" s="144"/>
      <c r="Z329" s="144"/>
    </row>
    <row r="330" spans="1:26" x14ac:dyDescent="0.3">
      <c r="A330" s="144"/>
      <c r="B330" s="144"/>
      <c r="C330" s="144"/>
      <c r="D330" s="144"/>
      <c r="E330" s="144"/>
      <c r="F330" s="52"/>
      <c r="G330" s="52"/>
      <c r="H330" s="52"/>
      <c r="I330" s="52"/>
      <c r="J330" s="52"/>
      <c r="K330" s="144"/>
      <c r="L330" s="144"/>
      <c r="M330" s="144"/>
      <c r="N330" s="144"/>
      <c r="O330" s="144"/>
      <c r="P330" s="144"/>
      <c r="Q330" s="144"/>
      <c r="R330" s="144"/>
      <c r="S330" s="144"/>
      <c r="T330" s="144"/>
      <c r="U330" s="144"/>
      <c r="V330" s="144"/>
      <c r="W330" s="144"/>
      <c r="X330" s="144"/>
      <c r="Y330" s="144"/>
      <c r="Z330" s="144"/>
    </row>
    <row r="331" spans="1:26" x14ac:dyDescent="0.3">
      <c r="A331" s="144"/>
      <c r="B331" s="144"/>
      <c r="C331" s="144"/>
      <c r="D331" s="144"/>
      <c r="E331" s="144"/>
      <c r="F331" s="52"/>
      <c r="G331" s="52"/>
      <c r="H331" s="52"/>
      <c r="I331" s="52"/>
      <c r="J331" s="52"/>
      <c r="K331" s="144"/>
      <c r="L331" s="144"/>
      <c r="M331" s="144"/>
      <c r="N331" s="144"/>
      <c r="O331" s="144"/>
      <c r="P331" s="144"/>
      <c r="Q331" s="144"/>
      <c r="R331" s="144"/>
      <c r="S331" s="144"/>
      <c r="T331" s="144"/>
      <c r="U331" s="144"/>
      <c r="V331" s="144"/>
      <c r="W331" s="144"/>
      <c r="X331" s="144"/>
      <c r="Y331" s="144"/>
      <c r="Z331" s="144"/>
    </row>
    <row r="332" spans="1:26" x14ac:dyDescent="0.3">
      <c r="A332" s="144"/>
      <c r="B332" s="144"/>
      <c r="C332" s="144"/>
      <c r="D332" s="144"/>
      <c r="E332" s="144"/>
      <c r="F332" s="52"/>
      <c r="G332" s="52"/>
      <c r="H332" s="52"/>
      <c r="I332" s="52"/>
      <c r="J332" s="52"/>
      <c r="K332" s="144"/>
      <c r="L332" s="144"/>
      <c r="M332" s="144"/>
      <c r="N332" s="144"/>
      <c r="O332" s="144"/>
      <c r="P332" s="144"/>
      <c r="Q332" s="144"/>
      <c r="R332" s="144"/>
      <c r="S332" s="144"/>
      <c r="T332" s="144"/>
      <c r="U332" s="144"/>
      <c r="V332" s="144"/>
      <c r="W332" s="144"/>
      <c r="X332" s="144"/>
      <c r="Y332" s="144"/>
      <c r="Z332" s="144"/>
    </row>
    <row r="333" spans="1:26" x14ac:dyDescent="0.3">
      <c r="A333" s="144"/>
      <c r="B333" s="144"/>
      <c r="C333" s="144"/>
      <c r="D333" s="144"/>
      <c r="E333" s="144"/>
      <c r="F333" s="52"/>
      <c r="G333" s="52"/>
      <c r="H333" s="52"/>
      <c r="I333" s="52"/>
      <c r="J333" s="52"/>
      <c r="K333" s="144"/>
      <c r="L333" s="144"/>
      <c r="M333" s="144"/>
      <c r="N333" s="144"/>
      <c r="O333" s="144"/>
      <c r="P333" s="144"/>
      <c r="Q333" s="144"/>
      <c r="R333" s="144"/>
      <c r="S333" s="144"/>
      <c r="T333" s="144"/>
      <c r="U333" s="144"/>
      <c r="V333" s="144"/>
      <c r="W333" s="144"/>
      <c r="X333" s="144"/>
      <c r="Y333" s="144"/>
      <c r="Z333" s="144"/>
    </row>
    <row r="334" spans="1:26" x14ac:dyDescent="0.3">
      <c r="A334" s="144"/>
      <c r="B334" s="144"/>
      <c r="C334" s="144"/>
      <c r="D334" s="144"/>
      <c r="E334" s="144"/>
      <c r="F334" s="52"/>
      <c r="G334" s="52"/>
      <c r="H334" s="52"/>
      <c r="I334" s="52"/>
      <c r="J334" s="52"/>
      <c r="K334" s="144"/>
      <c r="L334" s="144"/>
      <c r="M334" s="144"/>
      <c r="N334" s="144"/>
      <c r="O334" s="144"/>
      <c r="P334" s="144"/>
      <c r="Q334" s="144"/>
      <c r="R334" s="144"/>
      <c r="S334" s="144"/>
      <c r="T334" s="144"/>
      <c r="U334" s="144"/>
      <c r="V334" s="144"/>
      <c r="W334" s="144"/>
      <c r="X334" s="144"/>
      <c r="Y334" s="144"/>
      <c r="Z334" s="144"/>
    </row>
    <row r="335" spans="1:26" x14ac:dyDescent="0.3">
      <c r="A335" s="144"/>
      <c r="B335" s="144"/>
      <c r="C335" s="144"/>
      <c r="D335" s="144"/>
      <c r="E335" s="144"/>
      <c r="F335" s="52"/>
      <c r="G335" s="52"/>
      <c r="H335" s="52"/>
      <c r="I335" s="52"/>
      <c r="J335" s="52"/>
      <c r="K335" s="144"/>
      <c r="L335" s="144"/>
      <c r="M335" s="144"/>
      <c r="N335" s="144"/>
      <c r="O335" s="144"/>
      <c r="P335" s="144"/>
      <c r="Q335" s="144"/>
      <c r="R335" s="144"/>
      <c r="S335" s="144"/>
      <c r="T335" s="144"/>
      <c r="U335" s="144"/>
      <c r="V335" s="144"/>
      <c r="W335" s="144"/>
      <c r="X335" s="144"/>
      <c r="Y335" s="144"/>
      <c r="Z335" s="144"/>
    </row>
    <row r="336" spans="1:26" x14ac:dyDescent="0.3">
      <c r="A336" s="144"/>
      <c r="B336" s="144"/>
      <c r="C336" s="144"/>
      <c r="D336" s="144"/>
      <c r="E336" s="144"/>
      <c r="F336" s="52"/>
      <c r="G336" s="52"/>
      <c r="H336" s="52"/>
      <c r="I336" s="52"/>
      <c r="J336" s="52"/>
      <c r="K336" s="144"/>
      <c r="L336" s="144"/>
      <c r="M336" s="144"/>
      <c r="N336" s="144"/>
      <c r="O336" s="144"/>
      <c r="P336" s="144"/>
      <c r="Q336" s="144"/>
      <c r="R336" s="144"/>
      <c r="S336" s="144"/>
      <c r="T336" s="144"/>
      <c r="U336" s="144"/>
      <c r="V336" s="144"/>
      <c r="W336" s="144"/>
      <c r="X336" s="144"/>
      <c r="Y336" s="144"/>
      <c r="Z336" s="144"/>
    </row>
    <row r="337" spans="1:26" x14ac:dyDescent="0.3">
      <c r="A337" s="144"/>
      <c r="B337" s="144"/>
      <c r="C337" s="144"/>
      <c r="D337" s="144"/>
      <c r="E337" s="144"/>
      <c r="F337" s="52"/>
      <c r="G337" s="52"/>
      <c r="H337" s="52"/>
      <c r="I337" s="52"/>
      <c r="J337" s="52"/>
      <c r="K337" s="144"/>
      <c r="L337" s="144"/>
      <c r="M337" s="144"/>
      <c r="N337" s="144"/>
      <c r="O337" s="144"/>
      <c r="P337" s="144"/>
      <c r="Q337" s="144"/>
      <c r="R337" s="144"/>
      <c r="S337" s="144"/>
      <c r="T337" s="144"/>
      <c r="U337" s="144"/>
      <c r="V337" s="144"/>
      <c r="W337" s="144"/>
      <c r="X337" s="144"/>
      <c r="Y337" s="144"/>
      <c r="Z337" s="144"/>
    </row>
    <row r="338" spans="1:26" x14ac:dyDescent="0.3">
      <c r="A338" s="144"/>
      <c r="B338" s="144"/>
      <c r="C338" s="144"/>
      <c r="D338" s="144"/>
      <c r="E338" s="144"/>
      <c r="F338" s="52"/>
      <c r="G338" s="52"/>
      <c r="H338" s="52"/>
      <c r="I338" s="52"/>
      <c r="J338" s="52"/>
      <c r="K338" s="144"/>
      <c r="L338" s="144"/>
      <c r="M338" s="144"/>
      <c r="N338" s="144"/>
      <c r="O338" s="144"/>
      <c r="P338" s="144"/>
      <c r="Q338" s="144"/>
      <c r="R338" s="144"/>
      <c r="S338" s="144"/>
      <c r="T338" s="144"/>
      <c r="U338" s="144"/>
      <c r="V338" s="144"/>
      <c r="W338" s="144"/>
      <c r="X338" s="144"/>
      <c r="Y338" s="144"/>
      <c r="Z338" s="144"/>
    </row>
    <row r="339" spans="1:26" x14ac:dyDescent="0.3">
      <c r="A339" s="144"/>
      <c r="B339" s="144"/>
      <c r="C339" s="144"/>
      <c r="D339" s="144"/>
      <c r="E339" s="144"/>
      <c r="F339" s="52"/>
      <c r="G339" s="52"/>
      <c r="H339" s="52"/>
      <c r="I339" s="52"/>
      <c r="J339" s="52"/>
      <c r="K339" s="144"/>
      <c r="L339" s="144"/>
      <c r="M339" s="144"/>
      <c r="N339" s="144"/>
      <c r="O339" s="144"/>
      <c r="P339" s="144"/>
      <c r="Q339" s="144"/>
      <c r="R339" s="144"/>
      <c r="S339" s="144"/>
      <c r="T339" s="144"/>
      <c r="U339" s="144"/>
      <c r="V339" s="144"/>
      <c r="W339" s="144"/>
      <c r="X339" s="144"/>
      <c r="Y339" s="144"/>
      <c r="Z339" s="144"/>
    </row>
    <row r="340" spans="1:26" x14ac:dyDescent="0.3">
      <c r="A340" s="144"/>
      <c r="B340" s="144"/>
      <c r="C340" s="144"/>
      <c r="D340" s="144"/>
      <c r="E340" s="144"/>
      <c r="F340" s="52"/>
      <c r="G340" s="52"/>
      <c r="H340" s="52"/>
      <c r="I340" s="52"/>
      <c r="J340" s="52"/>
      <c r="K340" s="144"/>
      <c r="L340" s="144"/>
      <c r="M340" s="144"/>
      <c r="N340" s="144"/>
      <c r="O340" s="144"/>
      <c r="P340" s="144"/>
      <c r="Q340" s="144"/>
      <c r="R340" s="144"/>
      <c r="S340" s="144"/>
      <c r="T340" s="144"/>
      <c r="U340" s="144"/>
      <c r="V340" s="144"/>
      <c r="W340" s="144"/>
      <c r="X340" s="144"/>
      <c r="Y340" s="144"/>
      <c r="Z340" s="144"/>
    </row>
    <row r="341" spans="1:26" x14ac:dyDescent="0.3">
      <c r="A341" s="144"/>
      <c r="B341" s="144"/>
      <c r="C341" s="144"/>
      <c r="D341" s="144"/>
      <c r="E341" s="144"/>
      <c r="F341" s="52"/>
      <c r="G341" s="52"/>
      <c r="H341" s="52"/>
      <c r="I341" s="52"/>
      <c r="J341" s="52"/>
      <c r="K341" s="144"/>
      <c r="L341" s="144"/>
      <c r="M341" s="144"/>
      <c r="N341" s="144"/>
      <c r="O341" s="144"/>
      <c r="P341" s="144"/>
      <c r="Q341" s="144"/>
      <c r="R341" s="144"/>
      <c r="S341" s="144"/>
      <c r="T341" s="144"/>
      <c r="U341" s="144"/>
      <c r="V341" s="144"/>
      <c r="W341" s="144"/>
      <c r="X341" s="144"/>
      <c r="Y341" s="144"/>
      <c r="Z341" s="144"/>
    </row>
    <row r="342" spans="1:26" x14ac:dyDescent="0.3">
      <c r="A342" s="144"/>
      <c r="B342" s="144"/>
      <c r="C342" s="144"/>
      <c r="D342" s="144"/>
      <c r="E342" s="144"/>
      <c r="F342" s="52"/>
      <c r="G342" s="52"/>
      <c r="H342" s="52"/>
      <c r="I342" s="52"/>
      <c r="J342" s="52"/>
      <c r="K342" s="144"/>
      <c r="L342" s="144"/>
      <c r="M342" s="144"/>
      <c r="N342" s="144"/>
      <c r="O342" s="144"/>
      <c r="P342" s="144"/>
      <c r="Q342" s="144"/>
      <c r="R342" s="144"/>
      <c r="S342" s="144"/>
      <c r="T342" s="144"/>
      <c r="U342" s="144"/>
      <c r="V342" s="144"/>
      <c r="W342" s="144"/>
      <c r="X342" s="144"/>
      <c r="Y342" s="144"/>
      <c r="Z342" s="144"/>
    </row>
    <row r="343" spans="1:26" x14ac:dyDescent="0.3">
      <c r="A343" s="144"/>
      <c r="B343" s="144"/>
      <c r="C343" s="144"/>
      <c r="D343" s="144"/>
      <c r="E343" s="144"/>
      <c r="F343" s="52"/>
      <c r="G343" s="52"/>
      <c r="H343" s="52"/>
      <c r="I343" s="52"/>
      <c r="J343" s="52"/>
      <c r="K343" s="144"/>
      <c r="L343" s="144"/>
      <c r="M343" s="144"/>
      <c r="N343" s="144"/>
      <c r="O343" s="144"/>
      <c r="P343" s="144"/>
      <c r="Q343" s="144"/>
      <c r="R343" s="144"/>
      <c r="S343" s="144"/>
      <c r="T343" s="144"/>
      <c r="U343" s="144"/>
      <c r="V343" s="144"/>
      <c r="W343" s="144"/>
      <c r="X343" s="144"/>
      <c r="Y343" s="144"/>
      <c r="Z343" s="144"/>
    </row>
    <row r="344" spans="1:26" x14ac:dyDescent="0.3">
      <c r="A344" s="144"/>
      <c r="B344" s="144"/>
      <c r="C344" s="144"/>
      <c r="D344" s="144"/>
      <c r="E344" s="144"/>
      <c r="F344" s="52"/>
      <c r="G344" s="52"/>
      <c r="H344" s="52"/>
      <c r="I344" s="52"/>
      <c r="J344" s="52"/>
      <c r="K344" s="144"/>
      <c r="L344" s="144"/>
      <c r="M344" s="144"/>
      <c r="N344" s="144"/>
      <c r="O344" s="144"/>
      <c r="P344" s="144"/>
      <c r="Q344" s="144"/>
      <c r="R344" s="144"/>
      <c r="S344" s="144"/>
      <c r="T344" s="144"/>
      <c r="U344" s="144"/>
      <c r="V344" s="144"/>
      <c r="W344" s="144"/>
      <c r="X344" s="144"/>
      <c r="Y344" s="144"/>
      <c r="Z344" s="144"/>
    </row>
    <row r="345" spans="1:26" x14ac:dyDescent="0.3">
      <c r="A345" s="144"/>
      <c r="B345" s="144"/>
      <c r="C345" s="144"/>
      <c r="D345" s="144"/>
      <c r="E345" s="144"/>
      <c r="F345" s="52"/>
      <c r="G345" s="52"/>
      <c r="H345" s="52"/>
      <c r="I345" s="52"/>
      <c r="J345" s="52"/>
      <c r="K345" s="144"/>
      <c r="L345" s="144"/>
      <c r="M345" s="144"/>
      <c r="N345" s="144"/>
      <c r="O345" s="144"/>
      <c r="P345" s="144"/>
      <c r="Q345" s="144"/>
      <c r="R345" s="144"/>
      <c r="S345" s="144"/>
      <c r="T345" s="144"/>
      <c r="U345" s="144"/>
      <c r="V345" s="144"/>
      <c r="W345" s="144"/>
      <c r="X345" s="144"/>
      <c r="Y345" s="144"/>
      <c r="Z345" s="144"/>
    </row>
    <row r="346" spans="1:26" x14ac:dyDescent="0.3">
      <c r="A346" s="144"/>
      <c r="B346" s="144"/>
      <c r="C346" s="144"/>
      <c r="D346" s="144"/>
      <c r="E346" s="144"/>
      <c r="F346" s="52"/>
      <c r="G346" s="52"/>
      <c r="H346" s="52"/>
      <c r="I346" s="52"/>
      <c r="J346" s="52"/>
      <c r="K346" s="144"/>
      <c r="L346" s="144"/>
      <c r="M346" s="144"/>
      <c r="N346" s="144"/>
      <c r="O346" s="144"/>
      <c r="P346" s="144"/>
      <c r="Q346" s="144"/>
      <c r="R346" s="144"/>
      <c r="S346" s="144"/>
      <c r="T346" s="144"/>
      <c r="U346" s="144"/>
      <c r="V346" s="144"/>
      <c r="W346" s="144"/>
      <c r="X346" s="144"/>
      <c r="Y346" s="144"/>
      <c r="Z346" s="144"/>
    </row>
    <row r="347" spans="1:26" x14ac:dyDescent="0.3">
      <c r="A347" s="144"/>
      <c r="B347" s="144"/>
      <c r="C347" s="144"/>
      <c r="D347" s="144"/>
      <c r="E347" s="144"/>
      <c r="F347" s="52"/>
      <c r="G347" s="52"/>
      <c r="H347" s="52"/>
      <c r="I347" s="52"/>
      <c r="J347" s="52"/>
      <c r="K347" s="144"/>
      <c r="L347" s="144"/>
      <c r="M347" s="144"/>
      <c r="N347" s="144"/>
      <c r="O347" s="144"/>
      <c r="P347" s="144"/>
      <c r="Q347" s="144"/>
      <c r="R347" s="144"/>
      <c r="S347" s="144"/>
      <c r="T347" s="144"/>
      <c r="U347" s="144"/>
      <c r="V347" s="144"/>
      <c r="W347" s="144"/>
      <c r="X347" s="144"/>
      <c r="Y347" s="144"/>
      <c r="Z347" s="144"/>
    </row>
    <row r="348" spans="1:26" x14ac:dyDescent="0.3">
      <c r="A348" s="144"/>
      <c r="B348" s="144"/>
      <c r="C348" s="144"/>
      <c r="D348" s="144"/>
      <c r="E348" s="144"/>
      <c r="F348" s="52"/>
      <c r="G348" s="52"/>
      <c r="H348" s="52"/>
      <c r="I348" s="52"/>
      <c r="J348" s="52"/>
      <c r="K348" s="144"/>
      <c r="L348" s="144"/>
      <c r="M348" s="144"/>
      <c r="N348" s="144"/>
      <c r="O348" s="144"/>
      <c r="P348" s="144"/>
      <c r="Q348" s="144"/>
      <c r="R348" s="144"/>
      <c r="S348" s="144"/>
      <c r="T348" s="144"/>
      <c r="U348" s="144"/>
      <c r="V348" s="144"/>
      <c r="W348" s="144"/>
      <c r="X348" s="144"/>
      <c r="Y348" s="144"/>
      <c r="Z348" s="144"/>
    </row>
    <row r="349" spans="1:26" x14ac:dyDescent="0.3">
      <c r="A349" s="144"/>
      <c r="B349" s="144"/>
      <c r="C349" s="144"/>
      <c r="D349" s="144"/>
      <c r="E349" s="144"/>
      <c r="F349" s="52"/>
      <c r="G349" s="52"/>
      <c r="H349" s="52"/>
      <c r="I349" s="52"/>
      <c r="J349" s="52"/>
      <c r="K349" s="144"/>
      <c r="L349" s="144"/>
      <c r="M349" s="144"/>
      <c r="N349" s="144"/>
      <c r="O349" s="144"/>
      <c r="P349" s="144"/>
      <c r="Q349" s="144"/>
      <c r="R349" s="144"/>
      <c r="S349" s="144"/>
      <c r="T349" s="144"/>
      <c r="U349" s="144"/>
      <c r="V349" s="144"/>
      <c r="W349" s="144"/>
      <c r="X349" s="144"/>
      <c r="Y349" s="144"/>
      <c r="Z349" s="144"/>
    </row>
    <row r="350" spans="1:26" x14ac:dyDescent="0.3">
      <c r="A350" s="144"/>
      <c r="B350" s="144"/>
      <c r="C350" s="144"/>
      <c r="D350" s="144"/>
      <c r="E350" s="144"/>
      <c r="F350" s="52"/>
      <c r="G350" s="52"/>
      <c r="H350" s="52"/>
      <c r="I350" s="52"/>
      <c r="J350" s="52"/>
      <c r="K350" s="144"/>
      <c r="L350" s="144"/>
      <c r="M350" s="144"/>
      <c r="N350" s="144"/>
      <c r="O350" s="144"/>
      <c r="P350" s="144"/>
      <c r="Q350" s="144"/>
      <c r="R350" s="144"/>
      <c r="S350" s="144"/>
      <c r="T350" s="144"/>
      <c r="U350" s="144"/>
      <c r="V350" s="144"/>
      <c r="W350" s="144"/>
      <c r="X350" s="144"/>
      <c r="Y350" s="144"/>
      <c r="Z350" s="144"/>
    </row>
    <row r="351" spans="1:26" x14ac:dyDescent="0.3">
      <c r="A351" s="144"/>
      <c r="B351" s="144"/>
      <c r="C351" s="144"/>
      <c r="D351" s="144"/>
      <c r="E351" s="144"/>
      <c r="F351" s="52"/>
      <c r="G351" s="52"/>
      <c r="H351" s="52"/>
      <c r="I351" s="52"/>
      <c r="J351" s="52"/>
      <c r="K351" s="144"/>
      <c r="L351" s="144"/>
      <c r="M351" s="144"/>
      <c r="N351" s="144"/>
      <c r="O351" s="144"/>
      <c r="P351" s="144"/>
      <c r="Q351" s="144"/>
      <c r="R351" s="144"/>
      <c r="S351" s="144"/>
      <c r="T351" s="144"/>
      <c r="U351" s="144"/>
      <c r="V351" s="144"/>
      <c r="W351" s="144"/>
      <c r="X351" s="144"/>
      <c r="Y351" s="144"/>
      <c r="Z351" s="144"/>
    </row>
    <row r="352" spans="1:26" x14ac:dyDescent="0.3">
      <c r="A352" s="144"/>
      <c r="B352" s="144"/>
      <c r="C352" s="144"/>
      <c r="D352" s="144"/>
      <c r="E352" s="144"/>
      <c r="F352" s="52"/>
      <c r="G352" s="52"/>
      <c r="H352" s="52"/>
      <c r="I352" s="52"/>
      <c r="J352" s="52"/>
      <c r="K352" s="144"/>
      <c r="L352" s="144"/>
      <c r="M352" s="144"/>
      <c r="N352" s="144"/>
      <c r="O352" s="144"/>
      <c r="P352" s="144"/>
      <c r="Q352" s="144"/>
      <c r="R352" s="144"/>
      <c r="S352" s="144"/>
      <c r="T352" s="144"/>
      <c r="U352" s="144"/>
      <c r="V352" s="144"/>
      <c r="W352" s="144"/>
      <c r="X352" s="144"/>
      <c r="Y352" s="144"/>
      <c r="Z352" s="144"/>
    </row>
    <row r="353" spans="1:26" x14ac:dyDescent="0.3">
      <c r="A353" s="144"/>
      <c r="B353" s="144"/>
      <c r="C353" s="144"/>
      <c r="D353" s="144"/>
      <c r="E353" s="144"/>
      <c r="F353" s="52"/>
      <c r="G353" s="52"/>
      <c r="H353" s="52"/>
      <c r="I353" s="52"/>
      <c r="J353" s="52"/>
      <c r="K353" s="144"/>
      <c r="L353" s="144"/>
      <c r="M353" s="144"/>
      <c r="N353" s="144"/>
      <c r="O353" s="144"/>
      <c r="P353" s="144"/>
      <c r="Q353" s="144"/>
      <c r="R353" s="144"/>
      <c r="S353" s="144"/>
      <c r="T353" s="144"/>
      <c r="U353" s="144"/>
      <c r="V353" s="144"/>
      <c r="W353" s="144"/>
      <c r="X353" s="144"/>
      <c r="Y353" s="144"/>
      <c r="Z353" s="144"/>
    </row>
    <row r="354" spans="1:26" x14ac:dyDescent="0.3">
      <c r="A354" s="144"/>
      <c r="B354" s="144"/>
      <c r="C354" s="144"/>
      <c r="D354" s="144"/>
      <c r="E354" s="144"/>
      <c r="F354" s="52"/>
      <c r="G354" s="52"/>
      <c r="H354" s="52"/>
      <c r="I354" s="52"/>
      <c r="J354" s="52"/>
      <c r="K354" s="144"/>
      <c r="L354" s="144"/>
      <c r="M354" s="144"/>
      <c r="N354" s="144"/>
      <c r="O354" s="144"/>
      <c r="P354" s="144"/>
      <c r="Q354" s="144"/>
      <c r="R354" s="144"/>
      <c r="S354" s="144"/>
      <c r="T354" s="144"/>
      <c r="U354" s="144"/>
      <c r="V354" s="144"/>
      <c r="W354" s="144"/>
      <c r="X354" s="144"/>
      <c r="Y354" s="144"/>
      <c r="Z354" s="144"/>
    </row>
    <row r="355" spans="1:26" x14ac:dyDescent="0.3">
      <c r="A355" s="144"/>
      <c r="B355" s="144"/>
      <c r="C355" s="144"/>
      <c r="D355" s="144"/>
      <c r="E355" s="144"/>
      <c r="F355" s="52"/>
      <c r="G355" s="52"/>
      <c r="H355" s="52"/>
      <c r="I355" s="52"/>
      <c r="J355" s="52"/>
      <c r="K355" s="144"/>
      <c r="L355" s="144"/>
      <c r="M355" s="144"/>
      <c r="N355" s="144"/>
      <c r="O355" s="144"/>
      <c r="P355" s="144"/>
      <c r="Q355" s="144"/>
      <c r="R355" s="144"/>
      <c r="S355" s="144"/>
      <c r="T355" s="144"/>
      <c r="U355" s="144"/>
      <c r="V355" s="144"/>
      <c r="W355" s="144"/>
      <c r="X355" s="144"/>
      <c r="Y355" s="144"/>
      <c r="Z355" s="144"/>
    </row>
    <row r="356" spans="1:26" x14ac:dyDescent="0.3">
      <c r="A356" s="144"/>
      <c r="B356" s="144"/>
      <c r="C356" s="144"/>
      <c r="D356" s="144"/>
      <c r="E356" s="144"/>
      <c r="F356" s="52"/>
      <c r="G356" s="52"/>
      <c r="H356" s="52"/>
      <c r="I356" s="52"/>
      <c r="J356" s="52"/>
      <c r="K356" s="144"/>
      <c r="L356" s="144"/>
      <c r="M356" s="144"/>
      <c r="N356" s="144"/>
      <c r="O356" s="144"/>
      <c r="P356" s="144"/>
      <c r="Q356" s="144"/>
      <c r="R356" s="144"/>
      <c r="S356" s="144"/>
      <c r="T356" s="144"/>
      <c r="U356" s="144"/>
      <c r="V356" s="144"/>
      <c r="W356" s="144"/>
      <c r="X356" s="144"/>
      <c r="Y356" s="144"/>
      <c r="Z356" s="144"/>
    </row>
    <row r="357" spans="1:26" x14ac:dyDescent="0.3">
      <c r="A357" s="144"/>
      <c r="B357" s="144"/>
      <c r="C357" s="144"/>
      <c r="D357" s="144"/>
      <c r="E357" s="144"/>
      <c r="F357" s="52"/>
      <c r="G357" s="52"/>
      <c r="H357" s="52"/>
      <c r="I357" s="52"/>
      <c r="J357" s="52"/>
      <c r="K357" s="144"/>
      <c r="L357" s="144"/>
      <c r="M357" s="144"/>
      <c r="N357" s="144"/>
      <c r="O357" s="144"/>
      <c r="P357" s="144"/>
      <c r="Q357" s="144"/>
      <c r="R357" s="144"/>
      <c r="S357" s="144"/>
      <c r="T357" s="144"/>
      <c r="U357" s="144"/>
      <c r="V357" s="144"/>
      <c r="W357" s="144"/>
      <c r="X357" s="144"/>
      <c r="Y357" s="144"/>
      <c r="Z357" s="144"/>
    </row>
    <row r="358" spans="1:26" x14ac:dyDescent="0.3">
      <c r="A358" s="144"/>
      <c r="B358" s="144"/>
      <c r="C358" s="144"/>
      <c r="D358" s="144"/>
      <c r="E358" s="144"/>
      <c r="F358" s="52"/>
      <c r="G358" s="52"/>
      <c r="H358" s="52"/>
      <c r="I358" s="52"/>
      <c r="J358" s="52"/>
      <c r="K358" s="144"/>
      <c r="L358" s="144"/>
      <c r="M358" s="144"/>
      <c r="N358" s="144"/>
      <c r="O358" s="144"/>
      <c r="P358" s="144"/>
      <c r="Q358" s="144"/>
      <c r="R358" s="144"/>
      <c r="S358" s="144"/>
      <c r="T358" s="144"/>
      <c r="U358" s="144"/>
      <c r="V358" s="144"/>
      <c r="W358" s="144"/>
      <c r="X358" s="144"/>
      <c r="Y358" s="144"/>
      <c r="Z358" s="144"/>
    </row>
    <row r="359" spans="1:26" x14ac:dyDescent="0.3">
      <c r="A359" s="144"/>
      <c r="B359" s="144"/>
      <c r="C359" s="144"/>
      <c r="D359" s="144"/>
      <c r="E359" s="144"/>
      <c r="F359" s="52"/>
      <c r="G359" s="52"/>
      <c r="H359" s="52"/>
      <c r="I359" s="52"/>
      <c r="J359" s="52"/>
      <c r="K359" s="144"/>
      <c r="L359" s="144"/>
      <c r="M359" s="144"/>
      <c r="N359" s="144"/>
      <c r="O359" s="144"/>
      <c r="P359" s="144"/>
      <c r="Q359" s="144"/>
      <c r="R359" s="144"/>
      <c r="S359" s="144"/>
      <c r="T359" s="144"/>
      <c r="U359" s="144"/>
      <c r="V359" s="144"/>
      <c r="W359" s="144"/>
      <c r="X359" s="144"/>
      <c r="Y359" s="144"/>
      <c r="Z359" s="144"/>
    </row>
    <row r="360" spans="1:26" x14ac:dyDescent="0.3">
      <c r="A360" s="144"/>
      <c r="B360" s="144"/>
      <c r="C360" s="144"/>
      <c r="D360" s="144"/>
      <c r="E360" s="144"/>
      <c r="F360" s="52"/>
      <c r="G360" s="52"/>
      <c r="H360" s="52"/>
      <c r="I360" s="52"/>
      <c r="J360" s="52"/>
      <c r="K360" s="144"/>
      <c r="L360" s="144"/>
      <c r="M360" s="144"/>
      <c r="N360" s="144"/>
      <c r="O360" s="144"/>
      <c r="P360" s="144"/>
      <c r="Q360" s="144"/>
      <c r="R360" s="144"/>
      <c r="S360" s="144"/>
      <c r="T360" s="144"/>
      <c r="U360" s="144"/>
      <c r="V360" s="144"/>
      <c r="W360" s="144"/>
      <c r="X360" s="144"/>
      <c r="Y360" s="144"/>
      <c r="Z360" s="144"/>
    </row>
    <row r="361" spans="1:26" x14ac:dyDescent="0.3">
      <c r="A361" s="144"/>
      <c r="B361" s="144"/>
      <c r="C361" s="144"/>
      <c r="D361" s="144"/>
      <c r="E361" s="144"/>
      <c r="F361" s="52"/>
      <c r="G361" s="52"/>
      <c r="H361" s="52"/>
      <c r="I361" s="52"/>
      <c r="J361" s="52"/>
      <c r="K361" s="144"/>
      <c r="L361" s="144"/>
      <c r="M361" s="144"/>
      <c r="N361" s="144"/>
      <c r="O361" s="144"/>
      <c r="P361" s="144"/>
      <c r="Q361" s="144"/>
      <c r="R361" s="144"/>
      <c r="S361" s="144"/>
      <c r="T361" s="144"/>
      <c r="U361" s="144"/>
      <c r="V361" s="144"/>
      <c r="W361" s="144"/>
      <c r="X361" s="144"/>
      <c r="Y361" s="144"/>
      <c r="Z361" s="144"/>
    </row>
    <row r="362" spans="1:26" x14ac:dyDescent="0.3">
      <c r="A362" s="144"/>
      <c r="B362" s="144"/>
      <c r="C362" s="144"/>
      <c r="D362" s="144"/>
      <c r="E362" s="144"/>
      <c r="F362" s="52"/>
      <c r="G362" s="52"/>
      <c r="H362" s="52"/>
      <c r="I362" s="52"/>
      <c r="J362" s="52"/>
      <c r="K362" s="144"/>
      <c r="L362" s="144"/>
      <c r="M362" s="144"/>
      <c r="N362" s="144"/>
      <c r="O362" s="144"/>
      <c r="P362" s="144"/>
      <c r="Q362" s="144"/>
      <c r="R362" s="144"/>
      <c r="S362" s="144"/>
      <c r="T362" s="144"/>
      <c r="U362" s="144"/>
      <c r="V362" s="144"/>
      <c r="W362" s="144"/>
      <c r="X362" s="144"/>
      <c r="Y362" s="144"/>
      <c r="Z362" s="144"/>
    </row>
    <row r="363" spans="1:26" x14ac:dyDescent="0.3">
      <c r="A363" s="144"/>
      <c r="B363" s="144"/>
      <c r="C363" s="144"/>
      <c r="D363" s="144"/>
      <c r="E363" s="144"/>
      <c r="F363" s="52"/>
      <c r="G363" s="52"/>
      <c r="H363" s="52"/>
      <c r="I363" s="52"/>
      <c r="J363" s="52"/>
      <c r="K363" s="144"/>
      <c r="L363" s="144"/>
      <c r="M363" s="144"/>
      <c r="N363" s="144"/>
      <c r="O363" s="144"/>
      <c r="P363" s="144"/>
      <c r="Q363" s="144"/>
      <c r="R363" s="144"/>
      <c r="S363" s="144"/>
      <c r="T363" s="144"/>
      <c r="U363" s="144"/>
      <c r="V363" s="144"/>
      <c r="W363" s="144"/>
      <c r="X363" s="144"/>
      <c r="Y363" s="144"/>
      <c r="Z363" s="144"/>
    </row>
    <row r="364" spans="1:26" x14ac:dyDescent="0.3">
      <c r="A364" s="144"/>
      <c r="B364" s="144"/>
      <c r="C364" s="144"/>
      <c r="D364" s="144"/>
      <c r="E364" s="144"/>
      <c r="F364" s="52"/>
      <c r="G364" s="52"/>
      <c r="H364" s="52"/>
      <c r="I364" s="52"/>
      <c r="J364" s="52"/>
      <c r="K364" s="144"/>
      <c r="L364" s="144"/>
      <c r="M364" s="144"/>
      <c r="N364" s="144"/>
      <c r="O364" s="144"/>
      <c r="P364" s="144"/>
      <c r="Q364" s="144"/>
      <c r="R364" s="144"/>
      <c r="S364" s="144"/>
      <c r="T364" s="144"/>
      <c r="U364" s="144"/>
      <c r="V364" s="144"/>
      <c r="W364" s="144"/>
      <c r="X364" s="144"/>
      <c r="Y364" s="144"/>
      <c r="Z364" s="144"/>
    </row>
    <row r="365" spans="1:26" x14ac:dyDescent="0.3">
      <c r="A365" s="144"/>
      <c r="B365" s="144"/>
      <c r="C365" s="144"/>
      <c r="D365" s="144"/>
      <c r="E365" s="144"/>
      <c r="F365" s="52"/>
      <c r="G365" s="52"/>
      <c r="H365" s="52"/>
      <c r="I365" s="52"/>
      <c r="J365" s="52"/>
      <c r="K365" s="144"/>
      <c r="L365" s="144"/>
      <c r="M365" s="144"/>
      <c r="N365" s="144"/>
      <c r="O365" s="144"/>
      <c r="P365" s="144"/>
      <c r="Q365" s="144"/>
      <c r="R365" s="144"/>
      <c r="S365" s="144"/>
      <c r="T365" s="144"/>
      <c r="U365" s="144"/>
      <c r="V365" s="144"/>
      <c r="W365" s="144"/>
      <c r="X365" s="144"/>
      <c r="Y365" s="144"/>
      <c r="Z365" s="144"/>
    </row>
    <row r="366" spans="1:26" x14ac:dyDescent="0.3">
      <c r="A366" s="144"/>
      <c r="B366" s="144"/>
      <c r="C366" s="144"/>
      <c r="D366" s="144"/>
      <c r="E366" s="144"/>
      <c r="F366" s="52"/>
      <c r="G366" s="52"/>
      <c r="H366" s="52"/>
      <c r="I366" s="52"/>
      <c r="J366" s="52"/>
      <c r="K366" s="144"/>
      <c r="L366" s="144"/>
      <c r="M366" s="144"/>
      <c r="N366" s="144"/>
      <c r="O366" s="144"/>
      <c r="P366" s="144"/>
      <c r="Q366" s="144"/>
      <c r="R366" s="144"/>
      <c r="S366" s="144"/>
      <c r="T366" s="144"/>
      <c r="U366" s="144"/>
      <c r="V366" s="144"/>
      <c r="W366" s="144"/>
      <c r="X366" s="144"/>
      <c r="Y366" s="144"/>
      <c r="Z366" s="144"/>
    </row>
    <row r="367" spans="1:26" x14ac:dyDescent="0.3">
      <c r="A367" s="144"/>
      <c r="B367" s="144"/>
      <c r="C367" s="144"/>
      <c r="D367" s="144"/>
      <c r="E367" s="144"/>
      <c r="F367" s="52"/>
      <c r="G367" s="52"/>
      <c r="H367" s="52"/>
      <c r="I367" s="52"/>
      <c r="J367" s="52"/>
      <c r="K367" s="144"/>
      <c r="L367" s="144"/>
      <c r="M367" s="144"/>
      <c r="N367" s="144"/>
      <c r="O367" s="144"/>
      <c r="P367" s="144"/>
      <c r="Q367" s="144"/>
      <c r="R367" s="144"/>
      <c r="S367" s="144"/>
      <c r="T367" s="144"/>
      <c r="U367" s="144"/>
      <c r="V367" s="144"/>
      <c r="W367" s="144"/>
      <c r="X367" s="144"/>
      <c r="Y367" s="144"/>
      <c r="Z367" s="144"/>
    </row>
    <row r="368" spans="1:26" x14ac:dyDescent="0.3">
      <c r="A368" s="144"/>
      <c r="B368" s="144"/>
      <c r="C368" s="144"/>
      <c r="D368" s="144"/>
      <c r="E368" s="144"/>
      <c r="F368" s="52"/>
      <c r="G368" s="52"/>
      <c r="H368" s="52"/>
      <c r="I368" s="52"/>
      <c r="J368" s="52"/>
      <c r="K368" s="144"/>
      <c r="L368" s="144"/>
      <c r="M368" s="144"/>
      <c r="N368" s="144"/>
      <c r="O368" s="144"/>
      <c r="P368" s="144"/>
      <c r="Q368" s="144"/>
      <c r="R368" s="144"/>
      <c r="S368" s="144"/>
      <c r="T368" s="144"/>
      <c r="U368" s="144"/>
      <c r="V368" s="144"/>
      <c r="W368" s="144"/>
      <c r="X368" s="144"/>
      <c r="Y368" s="144"/>
      <c r="Z368" s="144"/>
    </row>
    <row r="369" spans="1:26" x14ac:dyDescent="0.3">
      <c r="A369" s="144"/>
      <c r="B369" s="144"/>
      <c r="C369" s="144"/>
      <c r="D369" s="144"/>
      <c r="E369" s="144"/>
      <c r="F369" s="52"/>
      <c r="G369" s="52"/>
      <c r="H369" s="52"/>
      <c r="I369" s="52"/>
      <c r="J369" s="52"/>
      <c r="K369" s="144"/>
      <c r="L369" s="144"/>
      <c r="M369" s="144"/>
      <c r="N369" s="144"/>
      <c r="O369" s="144"/>
      <c r="P369" s="144"/>
      <c r="Q369" s="144"/>
      <c r="R369" s="144"/>
      <c r="S369" s="144"/>
      <c r="T369" s="144"/>
      <c r="U369" s="144"/>
      <c r="V369" s="144"/>
      <c r="W369" s="144"/>
      <c r="X369" s="144"/>
      <c r="Y369" s="144"/>
      <c r="Z369" s="144"/>
    </row>
    <row r="370" spans="1:26" x14ac:dyDescent="0.3">
      <c r="A370" s="144"/>
      <c r="B370" s="144"/>
      <c r="C370" s="144"/>
      <c r="D370" s="144"/>
      <c r="E370" s="144"/>
      <c r="F370" s="52"/>
      <c r="G370" s="52"/>
      <c r="H370" s="52"/>
      <c r="I370" s="52"/>
      <c r="J370" s="52"/>
      <c r="K370" s="144"/>
      <c r="L370" s="144"/>
      <c r="M370" s="144"/>
      <c r="N370" s="144"/>
      <c r="O370" s="144"/>
      <c r="P370" s="144"/>
      <c r="Q370" s="144"/>
      <c r="R370" s="144"/>
      <c r="S370" s="144"/>
      <c r="T370" s="144"/>
      <c r="U370" s="144"/>
      <c r="V370" s="144"/>
      <c r="W370" s="144"/>
      <c r="X370" s="144"/>
      <c r="Y370" s="144"/>
      <c r="Z370" s="144"/>
    </row>
    <row r="371" spans="1:26" x14ac:dyDescent="0.3">
      <c r="A371" s="144"/>
      <c r="B371" s="144"/>
      <c r="C371" s="144"/>
      <c r="D371" s="144"/>
      <c r="E371" s="144"/>
      <c r="F371" s="52"/>
      <c r="G371" s="52"/>
      <c r="H371" s="52"/>
      <c r="I371" s="52"/>
      <c r="J371" s="52"/>
      <c r="K371" s="144"/>
      <c r="L371" s="144"/>
      <c r="M371" s="144"/>
      <c r="N371" s="144"/>
      <c r="O371" s="144"/>
      <c r="P371" s="144"/>
      <c r="Q371" s="144"/>
      <c r="R371" s="144"/>
      <c r="S371" s="144"/>
      <c r="T371" s="144"/>
      <c r="U371" s="144"/>
      <c r="V371" s="144"/>
      <c r="W371" s="144"/>
      <c r="X371" s="144"/>
      <c r="Y371" s="144"/>
      <c r="Z371" s="144"/>
    </row>
    <row r="372" spans="1:26" x14ac:dyDescent="0.3">
      <c r="A372" s="144"/>
      <c r="B372" s="144"/>
      <c r="C372" s="144"/>
      <c r="D372" s="144"/>
      <c r="E372" s="144"/>
      <c r="F372" s="52"/>
      <c r="G372" s="52"/>
      <c r="H372" s="52"/>
      <c r="I372" s="52"/>
      <c r="J372" s="52"/>
      <c r="K372" s="144"/>
      <c r="L372" s="144"/>
      <c r="M372" s="144"/>
      <c r="N372" s="144"/>
      <c r="O372" s="144"/>
      <c r="P372" s="144"/>
      <c r="Q372" s="144"/>
      <c r="R372" s="144"/>
      <c r="S372" s="144"/>
      <c r="T372" s="144"/>
      <c r="U372" s="144"/>
      <c r="V372" s="144"/>
      <c r="W372" s="144"/>
      <c r="X372" s="144"/>
      <c r="Y372" s="144"/>
      <c r="Z372" s="144"/>
    </row>
    <row r="373" spans="1:26" x14ac:dyDescent="0.3">
      <c r="A373" s="144"/>
      <c r="B373" s="144"/>
      <c r="C373" s="144"/>
      <c r="D373" s="144"/>
      <c r="E373" s="144"/>
      <c r="F373" s="52"/>
      <c r="G373" s="52"/>
      <c r="H373" s="52"/>
      <c r="I373" s="52"/>
      <c r="J373" s="52"/>
      <c r="K373" s="144"/>
      <c r="L373" s="144"/>
      <c r="M373" s="144"/>
      <c r="N373" s="144"/>
      <c r="O373" s="144"/>
      <c r="P373" s="144"/>
      <c r="Q373" s="144"/>
      <c r="R373" s="144"/>
      <c r="S373" s="144"/>
      <c r="T373" s="144"/>
      <c r="U373" s="144"/>
      <c r="V373" s="144"/>
      <c r="W373" s="144"/>
      <c r="X373" s="144"/>
      <c r="Y373" s="144"/>
      <c r="Z373" s="144"/>
    </row>
    <row r="374" spans="1:26" x14ac:dyDescent="0.3">
      <c r="A374" s="144"/>
      <c r="B374" s="144"/>
      <c r="C374" s="144"/>
      <c r="D374" s="144"/>
      <c r="E374" s="144"/>
      <c r="F374" s="52"/>
      <c r="G374" s="52"/>
      <c r="H374" s="52"/>
      <c r="I374" s="52"/>
      <c r="J374" s="52"/>
      <c r="K374" s="144"/>
      <c r="L374" s="144"/>
      <c r="M374" s="144"/>
      <c r="N374" s="144"/>
      <c r="O374" s="144"/>
      <c r="P374" s="144"/>
      <c r="Q374" s="144"/>
      <c r="R374" s="144"/>
      <c r="S374" s="144"/>
      <c r="T374" s="144"/>
      <c r="U374" s="144"/>
      <c r="V374" s="144"/>
      <c r="W374" s="144"/>
      <c r="X374" s="144"/>
      <c r="Y374" s="144"/>
      <c r="Z374" s="144"/>
    </row>
    <row r="375" spans="1:26" x14ac:dyDescent="0.3">
      <c r="A375" s="144"/>
      <c r="B375" s="144"/>
      <c r="C375" s="144"/>
      <c r="D375" s="144"/>
      <c r="E375" s="144"/>
      <c r="F375" s="52"/>
      <c r="G375" s="52"/>
      <c r="H375" s="52"/>
      <c r="I375" s="52"/>
      <c r="J375" s="52"/>
      <c r="K375" s="144"/>
      <c r="L375" s="144"/>
      <c r="M375" s="144"/>
      <c r="N375" s="144"/>
      <c r="O375" s="144"/>
      <c r="P375" s="144"/>
      <c r="Q375" s="144"/>
      <c r="R375" s="144"/>
      <c r="S375" s="144"/>
      <c r="T375" s="144"/>
      <c r="U375" s="144"/>
      <c r="V375" s="144"/>
      <c r="W375" s="144"/>
      <c r="X375" s="144"/>
      <c r="Y375" s="144"/>
      <c r="Z375" s="144"/>
    </row>
    <row r="376" spans="1:26" x14ac:dyDescent="0.3">
      <c r="A376" s="144"/>
      <c r="B376" s="144"/>
      <c r="C376" s="144"/>
      <c r="D376" s="144"/>
      <c r="E376" s="144"/>
      <c r="F376" s="52"/>
      <c r="G376" s="52"/>
      <c r="H376" s="52"/>
      <c r="I376" s="52"/>
      <c r="J376" s="52"/>
      <c r="K376" s="144"/>
      <c r="L376" s="144"/>
      <c r="M376" s="144"/>
      <c r="N376" s="144"/>
      <c r="O376" s="144"/>
      <c r="P376" s="144"/>
      <c r="Q376" s="144"/>
      <c r="R376" s="144"/>
      <c r="S376" s="144"/>
      <c r="T376" s="144"/>
      <c r="U376" s="144"/>
      <c r="V376" s="144"/>
      <c r="W376" s="144"/>
      <c r="X376" s="144"/>
      <c r="Y376" s="144"/>
      <c r="Z376" s="144"/>
    </row>
    <row r="377" spans="1:26" x14ac:dyDescent="0.3">
      <c r="A377" s="144"/>
      <c r="B377" s="144"/>
      <c r="C377" s="144"/>
      <c r="D377" s="144"/>
      <c r="E377" s="144"/>
      <c r="F377" s="52"/>
      <c r="G377" s="52"/>
      <c r="H377" s="52"/>
      <c r="I377" s="52"/>
      <c r="J377" s="52"/>
      <c r="K377" s="144"/>
      <c r="L377" s="144"/>
      <c r="M377" s="144"/>
      <c r="N377" s="144"/>
      <c r="O377" s="144"/>
      <c r="P377" s="144"/>
      <c r="Q377" s="144"/>
      <c r="R377" s="144"/>
      <c r="S377" s="144"/>
      <c r="T377" s="144"/>
      <c r="U377" s="144"/>
      <c r="V377" s="144"/>
      <c r="W377" s="144"/>
      <c r="X377" s="144"/>
      <c r="Y377" s="144"/>
      <c r="Z377" s="144"/>
    </row>
    <row r="378" spans="1:26" x14ac:dyDescent="0.3">
      <c r="A378" s="144"/>
      <c r="B378" s="144"/>
      <c r="C378" s="144"/>
      <c r="D378" s="144"/>
      <c r="E378" s="144"/>
      <c r="F378" s="52"/>
      <c r="G378" s="52"/>
      <c r="H378" s="52"/>
      <c r="I378" s="52"/>
      <c r="J378" s="52"/>
      <c r="K378" s="144"/>
      <c r="L378" s="144"/>
      <c r="M378" s="144"/>
      <c r="N378" s="144"/>
      <c r="O378" s="144"/>
      <c r="P378" s="144"/>
      <c r="Q378" s="144"/>
      <c r="R378" s="144"/>
      <c r="S378" s="144"/>
      <c r="T378" s="144"/>
      <c r="U378" s="144"/>
      <c r="V378" s="144"/>
      <c r="W378" s="144"/>
      <c r="X378" s="144"/>
      <c r="Y378" s="144"/>
      <c r="Z378" s="144"/>
    </row>
    <row r="379" spans="1:26" x14ac:dyDescent="0.3">
      <c r="A379" s="144"/>
      <c r="B379" s="144"/>
      <c r="C379" s="144"/>
      <c r="D379" s="144"/>
      <c r="E379" s="144"/>
      <c r="F379" s="52"/>
      <c r="G379" s="52"/>
      <c r="H379" s="52"/>
      <c r="I379" s="52"/>
      <c r="J379" s="52"/>
      <c r="K379" s="144"/>
      <c r="L379" s="144"/>
      <c r="M379" s="144"/>
      <c r="N379" s="144"/>
      <c r="O379" s="144"/>
      <c r="P379" s="144"/>
      <c r="Q379" s="144"/>
      <c r="R379" s="144"/>
      <c r="S379" s="144"/>
      <c r="T379" s="144"/>
      <c r="U379" s="144"/>
      <c r="V379" s="144"/>
      <c r="W379" s="144"/>
      <c r="X379" s="144"/>
      <c r="Y379" s="144"/>
      <c r="Z379" s="144"/>
    </row>
    <row r="380" spans="1:26" x14ac:dyDescent="0.3">
      <c r="A380" s="144"/>
      <c r="B380" s="144"/>
      <c r="C380" s="144"/>
      <c r="D380" s="144"/>
      <c r="E380" s="144"/>
      <c r="F380" s="52"/>
      <c r="G380" s="52"/>
      <c r="H380" s="52"/>
      <c r="I380" s="52"/>
      <c r="J380" s="52"/>
      <c r="K380" s="144"/>
      <c r="L380" s="144"/>
      <c r="M380" s="144"/>
      <c r="N380" s="144"/>
      <c r="O380" s="144"/>
      <c r="P380" s="144"/>
      <c r="Q380" s="144"/>
      <c r="R380" s="144"/>
      <c r="S380" s="144"/>
      <c r="T380" s="144"/>
      <c r="U380" s="144"/>
      <c r="V380" s="144"/>
      <c r="W380" s="144"/>
      <c r="X380" s="144"/>
      <c r="Y380" s="144"/>
      <c r="Z380" s="144"/>
    </row>
    <row r="381" spans="1:26" x14ac:dyDescent="0.3">
      <c r="A381" s="144"/>
      <c r="B381" s="144"/>
      <c r="C381" s="144"/>
      <c r="D381" s="144"/>
      <c r="E381" s="144"/>
      <c r="F381" s="52"/>
      <c r="G381" s="52"/>
      <c r="H381" s="52"/>
      <c r="I381" s="52"/>
      <c r="J381" s="52"/>
      <c r="K381" s="144"/>
      <c r="L381" s="144"/>
      <c r="M381" s="144"/>
      <c r="N381" s="144"/>
      <c r="O381" s="144"/>
      <c r="P381" s="144"/>
      <c r="Q381" s="144"/>
      <c r="R381" s="144"/>
      <c r="S381" s="144"/>
      <c r="T381" s="144"/>
      <c r="U381" s="144"/>
      <c r="V381" s="144"/>
      <c r="W381" s="144"/>
      <c r="X381" s="144"/>
      <c r="Y381" s="144"/>
      <c r="Z381" s="144"/>
    </row>
    <row r="382" spans="1:26" x14ac:dyDescent="0.3">
      <c r="A382" s="144"/>
      <c r="B382" s="144"/>
      <c r="C382" s="144"/>
      <c r="D382" s="144"/>
      <c r="E382" s="144"/>
      <c r="F382" s="52"/>
      <c r="G382" s="52"/>
      <c r="H382" s="52"/>
      <c r="I382" s="52"/>
      <c r="J382" s="52"/>
      <c r="K382" s="144"/>
      <c r="L382" s="144"/>
      <c r="M382" s="144"/>
      <c r="N382" s="144"/>
      <c r="O382" s="144"/>
      <c r="P382" s="144"/>
      <c r="Q382" s="144"/>
      <c r="R382" s="144"/>
      <c r="S382" s="144"/>
      <c r="T382" s="144"/>
      <c r="U382" s="144"/>
      <c r="V382" s="144"/>
      <c r="W382" s="144"/>
      <c r="X382" s="144"/>
      <c r="Y382" s="144"/>
      <c r="Z382" s="144"/>
    </row>
    <row r="383" spans="1:26" x14ac:dyDescent="0.3">
      <c r="A383" s="144"/>
      <c r="B383" s="144"/>
      <c r="C383" s="144"/>
      <c r="D383" s="144"/>
      <c r="E383" s="144"/>
      <c r="F383" s="52"/>
      <c r="G383" s="52"/>
      <c r="H383" s="52"/>
      <c r="I383" s="52"/>
      <c r="J383" s="52"/>
      <c r="K383" s="144"/>
      <c r="L383" s="144"/>
      <c r="M383" s="144"/>
      <c r="N383" s="144"/>
      <c r="O383" s="144"/>
      <c r="P383" s="144"/>
      <c r="Q383" s="144"/>
      <c r="R383" s="144"/>
      <c r="S383" s="144"/>
      <c r="T383" s="144"/>
      <c r="U383" s="144"/>
      <c r="V383" s="144"/>
      <c r="W383" s="144"/>
      <c r="X383" s="144"/>
      <c r="Y383" s="144"/>
      <c r="Z383" s="144"/>
    </row>
    <row r="384" spans="1:26" x14ac:dyDescent="0.3">
      <c r="A384" s="144"/>
      <c r="B384" s="144"/>
      <c r="C384" s="144"/>
      <c r="D384" s="144"/>
      <c r="E384" s="144"/>
      <c r="F384" s="52"/>
      <c r="G384" s="52"/>
      <c r="H384" s="52"/>
      <c r="I384" s="52"/>
      <c r="J384" s="52"/>
      <c r="K384" s="144"/>
      <c r="L384" s="144"/>
      <c r="M384" s="144"/>
      <c r="N384" s="144"/>
      <c r="O384" s="144"/>
      <c r="P384" s="144"/>
      <c r="Q384" s="144"/>
      <c r="R384" s="144"/>
      <c r="S384" s="144"/>
      <c r="T384" s="144"/>
      <c r="U384" s="144"/>
      <c r="V384" s="144"/>
      <c r="W384" s="144"/>
      <c r="X384" s="144"/>
      <c r="Y384" s="144"/>
      <c r="Z384" s="144"/>
    </row>
    <row r="385" spans="1:26" x14ac:dyDescent="0.3">
      <c r="A385" s="144"/>
      <c r="B385" s="144"/>
      <c r="C385" s="144"/>
      <c r="D385" s="144"/>
      <c r="E385" s="144"/>
      <c r="F385" s="52"/>
      <c r="G385" s="52"/>
      <c r="H385" s="52"/>
      <c r="I385" s="52"/>
      <c r="J385" s="52"/>
      <c r="K385" s="144"/>
      <c r="L385" s="144"/>
      <c r="M385" s="144"/>
      <c r="N385" s="144"/>
      <c r="O385" s="144"/>
      <c r="P385" s="144"/>
      <c r="Q385" s="144"/>
      <c r="R385" s="144"/>
      <c r="S385" s="144"/>
      <c r="T385" s="144"/>
      <c r="U385" s="144"/>
      <c r="V385" s="144"/>
      <c r="W385" s="144"/>
      <c r="X385" s="144"/>
      <c r="Y385" s="144"/>
      <c r="Z385" s="144"/>
    </row>
    <row r="386" spans="1:26" x14ac:dyDescent="0.3">
      <c r="A386" s="144"/>
      <c r="B386" s="144"/>
      <c r="C386" s="144"/>
      <c r="D386" s="144"/>
      <c r="E386" s="144"/>
      <c r="F386" s="52"/>
      <c r="G386" s="52"/>
      <c r="H386" s="52"/>
      <c r="I386" s="52"/>
      <c r="J386" s="52"/>
      <c r="K386" s="144"/>
      <c r="L386" s="144"/>
      <c r="M386" s="144"/>
      <c r="N386" s="144"/>
      <c r="O386" s="144"/>
      <c r="P386" s="144"/>
      <c r="Q386" s="144"/>
      <c r="R386" s="144"/>
      <c r="S386" s="144"/>
      <c r="T386" s="144"/>
      <c r="U386" s="144"/>
      <c r="V386" s="144"/>
      <c r="W386" s="144"/>
      <c r="X386" s="144"/>
      <c r="Y386" s="144"/>
      <c r="Z386" s="144"/>
    </row>
    <row r="387" spans="1:26" x14ac:dyDescent="0.3">
      <c r="A387" s="144"/>
      <c r="B387" s="144"/>
      <c r="C387" s="144"/>
      <c r="D387" s="144"/>
      <c r="E387" s="144"/>
      <c r="F387" s="52"/>
      <c r="G387" s="52"/>
      <c r="H387" s="52"/>
      <c r="I387" s="52"/>
      <c r="J387" s="52"/>
      <c r="K387" s="144"/>
      <c r="L387" s="144"/>
      <c r="M387" s="144"/>
      <c r="N387" s="144"/>
      <c r="O387" s="144"/>
      <c r="P387" s="144"/>
      <c r="Q387" s="144"/>
      <c r="R387" s="144"/>
      <c r="S387" s="144"/>
      <c r="T387" s="144"/>
      <c r="U387" s="144"/>
      <c r="V387" s="144"/>
      <c r="W387" s="144"/>
      <c r="X387" s="144"/>
      <c r="Y387" s="144"/>
      <c r="Z387" s="144"/>
    </row>
    <row r="388" spans="1:26" x14ac:dyDescent="0.3">
      <c r="A388" s="144"/>
      <c r="B388" s="144"/>
      <c r="C388" s="144"/>
      <c r="D388" s="144"/>
      <c r="E388" s="144"/>
      <c r="F388" s="52"/>
      <c r="G388" s="52"/>
      <c r="H388" s="52"/>
      <c r="I388" s="52"/>
      <c r="J388" s="52"/>
      <c r="K388" s="144"/>
      <c r="L388" s="144"/>
      <c r="M388" s="144"/>
      <c r="N388" s="144"/>
      <c r="O388" s="144"/>
      <c r="P388" s="144"/>
      <c r="Q388" s="144"/>
      <c r="R388" s="144"/>
      <c r="S388" s="144"/>
      <c r="T388" s="144"/>
      <c r="U388" s="144"/>
      <c r="V388" s="144"/>
      <c r="W388" s="144"/>
      <c r="X388" s="144"/>
      <c r="Y388" s="144"/>
      <c r="Z388" s="144"/>
    </row>
    <row r="389" spans="1:26" x14ac:dyDescent="0.3">
      <c r="A389" s="144"/>
      <c r="B389" s="144"/>
      <c r="C389" s="144"/>
      <c r="D389" s="144"/>
      <c r="E389" s="144"/>
      <c r="F389" s="52"/>
      <c r="G389" s="52"/>
      <c r="H389" s="52"/>
      <c r="I389" s="52"/>
      <c r="J389" s="52"/>
      <c r="K389" s="144"/>
      <c r="L389" s="144"/>
      <c r="M389" s="144"/>
      <c r="N389" s="144"/>
      <c r="O389" s="144"/>
      <c r="P389" s="144"/>
      <c r="Q389" s="144"/>
      <c r="R389" s="144"/>
      <c r="S389" s="144"/>
      <c r="T389" s="144"/>
      <c r="U389" s="144"/>
      <c r="V389" s="144"/>
      <c r="W389" s="144"/>
      <c r="X389" s="144"/>
      <c r="Y389" s="144"/>
      <c r="Z389" s="144"/>
    </row>
    <row r="390" spans="1:26" x14ac:dyDescent="0.3">
      <c r="A390" s="144"/>
      <c r="B390" s="144"/>
      <c r="C390" s="144"/>
      <c r="D390" s="144"/>
      <c r="E390" s="144"/>
      <c r="F390" s="52"/>
      <c r="G390" s="52"/>
      <c r="H390" s="52"/>
      <c r="I390" s="52"/>
      <c r="J390" s="52"/>
      <c r="K390" s="144"/>
      <c r="L390" s="144"/>
      <c r="M390" s="144"/>
      <c r="N390" s="144"/>
      <c r="O390" s="144"/>
      <c r="P390" s="144"/>
      <c r="Q390" s="144"/>
      <c r="R390" s="144"/>
      <c r="S390" s="144"/>
      <c r="T390" s="144"/>
      <c r="U390" s="144"/>
      <c r="V390" s="144"/>
      <c r="W390" s="144"/>
      <c r="X390" s="144"/>
      <c r="Y390" s="144"/>
      <c r="Z390" s="144"/>
    </row>
    <row r="391" spans="1:26" x14ac:dyDescent="0.3">
      <c r="A391" s="144"/>
      <c r="B391" s="144"/>
      <c r="C391" s="144"/>
      <c r="D391" s="144"/>
      <c r="E391" s="144"/>
      <c r="F391" s="52"/>
      <c r="G391" s="52"/>
      <c r="H391" s="52"/>
      <c r="I391" s="52"/>
      <c r="J391" s="52"/>
      <c r="K391" s="144"/>
      <c r="L391" s="144"/>
      <c r="M391" s="144"/>
      <c r="N391" s="144"/>
      <c r="O391" s="144"/>
      <c r="P391" s="144"/>
      <c r="Q391" s="144"/>
      <c r="R391" s="144"/>
      <c r="S391" s="144"/>
      <c r="T391" s="144"/>
      <c r="U391" s="144"/>
      <c r="V391" s="144"/>
      <c r="W391" s="144"/>
      <c r="X391" s="144"/>
      <c r="Y391" s="144"/>
      <c r="Z391" s="144"/>
    </row>
    <row r="392" spans="1:26" x14ac:dyDescent="0.3">
      <c r="A392" s="144"/>
      <c r="B392" s="144"/>
      <c r="C392" s="144"/>
      <c r="D392" s="144"/>
      <c r="E392" s="144"/>
      <c r="F392" s="52"/>
      <c r="G392" s="52"/>
      <c r="H392" s="52"/>
      <c r="I392" s="52"/>
      <c r="J392" s="52"/>
      <c r="K392" s="144"/>
      <c r="L392" s="144"/>
      <c r="M392" s="144"/>
      <c r="N392" s="144"/>
      <c r="O392" s="144"/>
      <c r="P392" s="144"/>
      <c r="Q392" s="144"/>
      <c r="R392" s="144"/>
      <c r="S392" s="144"/>
      <c r="T392" s="144"/>
      <c r="U392" s="144"/>
      <c r="V392" s="144"/>
      <c r="W392" s="144"/>
      <c r="X392" s="144"/>
      <c r="Y392" s="144"/>
      <c r="Z392" s="144"/>
    </row>
    <row r="393" spans="1:26" x14ac:dyDescent="0.3">
      <c r="A393" s="144"/>
      <c r="B393" s="144"/>
      <c r="C393" s="144"/>
      <c r="D393" s="144"/>
      <c r="E393" s="144"/>
      <c r="F393" s="52"/>
      <c r="G393" s="52"/>
      <c r="H393" s="52"/>
      <c r="I393" s="52"/>
      <c r="J393" s="52"/>
      <c r="K393" s="144"/>
      <c r="L393" s="144"/>
      <c r="M393" s="144"/>
      <c r="N393" s="144"/>
      <c r="O393" s="144"/>
      <c r="P393" s="144"/>
      <c r="Q393" s="144"/>
      <c r="R393" s="144"/>
      <c r="S393" s="144"/>
      <c r="T393" s="144"/>
      <c r="U393" s="144"/>
      <c r="V393" s="144"/>
      <c r="W393" s="144"/>
      <c r="X393" s="144"/>
      <c r="Y393" s="144"/>
      <c r="Z393" s="144"/>
    </row>
    <row r="394" spans="1:26" x14ac:dyDescent="0.3">
      <c r="A394" s="144"/>
      <c r="B394" s="144"/>
      <c r="C394" s="144"/>
      <c r="D394" s="144"/>
      <c r="E394" s="144"/>
      <c r="F394" s="52"/>
      <c r="G394" s="52"/>
      <c r="H394" s="52"/>
      <c r="I394" s="52"/>
      <c r="J394" s="52"/>
      <c r="K394" s="144"/>
      <c r="L394" s="144"/>
      <c r="M394" s="144"/>
      <c r="N394" s="144"/>
      <c r="O394" s="144"/>
      <c r="P394" s="144"/>
      <c r="Q394" s="144"/>
      <c r="R394" s="144"/>
      <c r="S394" s="144"/>
      <c r="T394" s="144"/>
      <c r="U394" s="144"/>
      <c r="V394" s="144"/>
      <c r="W394" s="144"/>
      <c r="X394" s="144"/>
      <c r="Y394" s="144"/>
      <c r="Z394" s="144"/>
    </row>
    <row r="395" spans="1:26" x14ac:dyDescent="0.3">
      <c r="A395" s="144"/>
      <c r="B395" s="144"/>
      <c r="C395" s="144"/>
      <c r="D395" s="144"/>
      <c r="E395" s="144"/>
      <c r="F395" s="52"/>
      <c r="G395" s="52"/>
      <c r="H395" s="52"/>
      <c r="I395" s="52"/>
      <c r="J395" s="52"/>
      <c r="K395" s="144"/>
      <c r="L395" s="144"/>
      <c r="M395" s="144"/>
      <c r="N395" s="144"/>
      <c r="O395" s="144"/>
      <c r="P395" s="144"/>
      <c r="Q395" s="144"/>
      <c r="R395" s="144"/>
      <c r="S395" s="144"/>
      <c r="T395" s="144"/>
      <c r="U395" s="144"/>
      <c r="V395" s="144"/>
      <c r="W395" s="144"/>
      <c r="X395" s="144"/>
      <c r="Y395" s="144"/>
      <c r="Z395" s="144"/>
    </row>
    <row r="396" spans="1:26" x14ac:dyDescent="0.3">
      <c r="A396" s="144"/>
      <c r="B396" s="144"/>
      <c r="C396" s="144"/>
      <c r="D396" s="144"/>
      <c r="E396" s="144"/>
      <c r="F396" s="52"/>
      <c r="G396" s="52"/>
      <c r="H396" s="52"/>
      <c r="I396" s="52"/>
      <c r="J396" s="52"/>
      <c r="K396" s="144"/>
      <c r="L396" s="144"/>
      <c r="M396" s="144"/>
      <c r="N396" s="144"/>
      <c r="O396" s="144"/>
      <c r="P396" s="144"/>
      <c r="Q396" s="144"/>
      <c r="R396" s="144"/>
      <c r="S396" s="144"/>
      <c r="T396" s="144"/>
      <c r="U396" s="144"/>
      <c r="V396" s="144"/>
      <c r="W396" s="144"/>
      <c r="X396" s="144"/>
      <c r="Y396" s="144"/>
      <c r="Z396" s="144"/>
    </row>
    <row r="397" spans="1:26" x14ac:dyDescent="0.3">
      <c r="A397" s="144"/>
      <c r="B397" s="144"/>
      <c r="C397" s="144"/>
      <c r="D397" s="144"/>
      <c r="E397" s="144"/>
      <c r="F397" s="52"/>
      <c r="G397" s="52"/>
      <c r="H397" s="52"/>
      <c r="I397" s="52"/>
      <c r="J397" s="52"/>
      <c r="K397" s="144"/>
      <c r="L397" s="144"/>
      <c r="M397" s="144"/>
      <c r="N397" s="144"/>
      <c r="O397" s="144"/>
      <c r="P397" s="144"/>
      <c r="Q397" s="144"/>
      <c r="R397" s="144"/>
      <c r="S397" s="144"/>
      <c r="T397" s="144"/>
      <c r="U397" s="144"/>
      <c r="V397" s="144"/>
      <c r="W397" s="144"/>
      <c r="X397" s="144"/>
      <c r="Y397" s="144"/>
      <c r="Z397" s="144"/>
    </row>
    <row r="398" spans="1:26" x14ac:dyDescent="0.3">
      <c r="A398" s="144"/>
      <c r="B398" s="144"/>
      <c r="C398" s="144"/>
      <c r="D398" s="144"/>
      <c r="E398" s="144"/>
      <c r="F398" s="52"/>
      <c r="G398" s="52"/>
      <c r="H398" s="52"/>
      <c r="I398" s="52"/>
      <c r="J398" s="52"/>
      <c r="K398" s="144"/>
      <c r="L398" s="144"/>
      <c r="M398" s="144"/>
      <c r="N398" s="144"/>
      <c r="O398" s="144"/>
      <c r="P398" s="144"/>
      <c r="Q398" s="144"/>
      <c r="R398" s="144"/>
      <c r="S398" s="144"/>
      <c r="T398" s="144"/>
      <c r="U398" s="144"/>
      <c r="V398" s="144"/>
      <c r="W398" s="144"/>
      <c r="X398" s="144"/>
      <c r="Y398" s="144"/>
      <c r="Z398" s="144"/>
    </row>
    <row r="399" spans="1:26" x14ac:dyDescent="0.3">
      <c r="A399" s="144"/>
      <c r="B399" s="144"/>
      <c r="C399" s="144"/>
      <c r="D399" s="144"/>
      <c r="E399" s="144"/>
      <c r="F399" s="52"/>
      <c r="G399" s="52"/>
      <c r="H399" s="52"/>
      <c r="I399" s="52"/>
      <c r="J399" s="52"/>
      <c r="K399" s="144"/>
      <c r="L399" s="144"/>
      <c r="M399" s="144"/>
      <c r="N399" s="144"/>
      <c r="O399" s="144"/>
      <c r="P399" s="144"/>
      <c r="Q399" s="144"/>
      <c r="R399" s="144"/>
      <c r="S399" s="144"/>
      <c r="T399" s="144"/>
      <c r="U399" s="144"/>
      <c r="V399" s="144"/>
      <c r="W399" s="144"/>
      <c r="X399" s="144"/>
      <c r="Y399" s="144"/>
      <c r="Z399" s="144"/>
    </row>
    <row r="400" spans="1:26" x14ac:dyDescent="0.3">
      <c r="A400" s="144"/>
      <c r="B400" s="144"/>
      <c r="C400" s="144"/>
      <c r="D400" s="144"/>
      <c r="E400" s="144"/>
      <c r="F400" s="52"/>
      <c r="G400" s="52"/>
      <c r="H400" s="52"/>
      <c r="I400" s="52"/>
      <c r="J400" s="52"/>
      <c r="K400" s="144"/>
      <c r="L400" s="144"/>
      <c r="M400" s="144"/>
      <c r="N400" s="144"/>
      <c r="O400" s="144"/>
      <c r="P400" s="144"/>
      <c r="Q400" s="144"/>
      <c r="R400" s="144"/>
      <c r="S400" s="144"/>
      <c r="T400" s="144"/>
      <c r="U400" s="144"/>
      <c r="V400" s="144"/>
      <c r="W400" s="144"/>
      <c r="X400" s="144"/>
      <c r="Y400" s="144"/>
      <c r="Z400" s="144"/>
    </row>
    <row r="401" spans="1:26" x14ac:dyDescent="0.3">
      <c r="A401" s="144"/>
      <c r="B401" s="144"/>
      <c r="C401" s="144"/>
      <c r="D401" s="144"/>
      <c r="E401" s="144"/>
      <c r="F401" s="52"/>
      <c r="G401" s="52"/>
      <c r="H401" s="52"/>
      <c r="I401" s="52"/>
      <c r="J401" s="52"/>
      <c r="K401" s="144"/>
      <c r="L401" s="144"/>
      <c r="M401" s="144"/>
      <c r="N401" s="144"/>
      <c r="O401" s="144"/>
      <c r="P401" s="144"/>
      <c r="Q401" s="144"/>
      <c r="R401" s="144"/>
      <c r="S401" s="144"/>
      <c r="T401" s="144"/>
      <c r="U401" s="144"/>
      <c r="V401" s="144"/>
      <c r="W401" s="144"/>
      <c r="X401" s="144"/>
      <c r="Y401" s="144"/>
      <c r="Z401" s="144"/>
    </row>
    <row r="402" spans="1:26" x14ac:dyDescent="0.3">
      <c r="A402" s="144"/>
      <c r="B402" s="144"/>
      <c r="C402" s="144"/>
      <c r="D402" s="144"/>
      <c r="E402" s="144"/>
      <c r="F402" s="52"/>
      <c r="G402" s="52"/>
      <c r="H402" s="52"/>
      <c r="I402" s="52"/>
      <c r="J402" s="52"/>
      <c r="K402" s="144"/>
      <c r="L402" s="144"/>
      <c r="M402" s="144"/>
      <c r="N402" s="144"/>
      <c r="O402" s="144"/>
      <c r="P402" s="144"/>
      <c r="Q402" s="144"/>
      <c r="R402" s="144"/>
      <c r="S402" s="144"/>
      <c r="T402" s="144"/>
      <c r="U402" s="144"/>
      <c r="V402" s="144"/>
      <c r="W402" s="144"/>
      <c r="X402" s="144"/>
      <c r="Y402" s="144"/>
      <c r="Z402" s="144"/>
    </row>
    <row r="403" spans="1:26" x14ac:dyDescent="0.3">
      <c r="A403" s="144"/>
      <c r="B403" s="144"/>
      <c r="C403" s="144"/>
      <c r="D403" s="144"/>
      <c r="E403" s="144"/>
      <c r="F403" s="52"/>
      <c r="G403" s="52"/>
      <c r="H403" s="52"/>
      <c r="I403" s="52"/>
      <c r="J403" s="52"/>
      <c r="K403" s="144"/>
      <c r="L403" s="144"/>
      <c r="M403" s="144"/>
      <c r="N403" s="144"/>
      <c r="O403" s="144"/>
      <c r="P403" s="144"/>
      <c r="Q403" s="144"/>
      <c r="R403" s="144"/>
      <c r="S403" s="144"/>
      <c r="T403" s="144"/>
      <c r="U403" s="144"/>
      <c r="V403" s="144"/>
      <c r="W403" s="144"/>
      <c r="X403" s="144"/>
      <c r="Y403" s="144"/>
      <c r="Z403" s="144"/>
    </row>
    <row r="404" spans="1:26" x14ac:dyDescent="0.3">
      <c r="A404" s="144"/>
      <c r="B404" s="144"/>
      <c r="C404" s="144"/>
      <c r="D404" s="144"/>
      <c r="E404" s="144"/>
      <c r="F404" s="52"/>
      <c r="G404" s="52"/>
      <c r="H404" s="52"/>
      <c r="I404" s="52"/>
      <c r="J404" s="52"/>
      <c r="K404" s="144"/>
      <c r="L404" s="144"/>
      <c r="M404" s="144"/>
      <c r="N404" s="144"/>
      <c r="O404" s="144"/>
      <c r="P404" s="144"/>
      <c r="Q404" s="144"/>
      <c r="R404" s="144"/>
      <c r="S404" s="144"/>
      <c r="T404" s="144"/>
      <c r="U404" s="144"/>
      <c r="V404" s="144"/>
      <c r="W404" s="144"/>
      <c r="X404" s="144"/>
      <c r="Y404" s="144"/>
      <c r="Z404" s="144"/>
    </row>
    <row r="405" spans="1:26" x14ac:dyDescent="0.3">
      <c r="A405" s="144"/>
      <c r="B405" s="144"/>
      <c r="C405" s="144"/>
      <c r="D405" s="144"/>
      <c r="E405" s="144"/>
      <c r="F405" s="52"/>
      <c r="G405" s="52"/>
      <c r="H405" s="52"/>
      <c r="I405" s="52"/>
      <c r="J405" s="52"/>
      <c r="K405" s="144"/>
      <c r="L405" s="144"/>
      <c r="M405" s="144"/>
      <c r="N405" s="144"/>
      <c r="O405" s="144"/>
      <c r="P405" s="144"/>
      <c r="Q405" s="144"/>
      <c r="R405" s="144"/>
      <c r="S405" s="144"/>
      <c r="T405" s="144"/>
      <c r="U405" s="144"/>
      <c r="V405" s="144"/>
      <c r="W405" s="144"/>
      <c r="X405" s="144"/>
      <c r="Y405" s="144"/>
      <c r="Z405" s="144"/>
    </row>
    <row r="406" spans="1:26" x14ac:dyDescent="0.3">
      <c r="A406" s="144"/>
      <c r="B406" s="144"/>
      <c r="C406" s="144"/>
      <c r="D406" s="144"/>
      <c r="E406" s="144"/>
      <c r="F406" s="52"/>
      <c r="G406" s="52"/>
      <c r="H406" s="52"/>
      <c r="I406" s="52"/>
      <c r="J406" s="52"/>
      <c r="K406" s="144"/>
      <c r="L406" s="144"/>
      <c r="M406" s="144"/>
      <c r="N406" s="144"/>
      <c r="O406" s="144"/>
      <c r="P406" s="144"/>
      <c r="Q406" s="144"/>
      <c r="R406" s="144"/>
      <c r="S406" s="144"/>
      <c r="T406" s="144"/>
      <c r="U406" s="144"/>
      <c r="V406" s="144"/>
      <c r="W406" s="144"/>
      <c r="X406" s="144"/>
      <c r="Y406" s="144"/>
      <c r="Z406" s="144"/>
    </row>
    <row r="407" spans="1:26" x14ac:dyDescent="0.3">
      <c r="A407" s="144"/>
      <c r="B407" s="144"/>
      <c r="C407" s="144"/>
      <c r="D407" s="144"/>
      <c r="E407" s="144"/>
      <c r="F407" s="52"/>
      <c r="G407" s="52"/>
      <c r="H407" s="52"/>
      <c r="I407" s="52"/>
      <c r="J407" s="52"/>
      <c r="K407" s="144"/>
      <c r="L407" s="144"/>
      <c r="M407" s="144"/>
      <c r="N407" s="144"/>
      <c r="O407" s="144"/>
      <c r="P407" s="144"/>
      <c r="Q407" s="144"/>
      <c r="R407" s="144"/>
      <c r="S407" s="144"/>
      <c r="T407" s="144"/>
      <c r="U407" s="144"/>
      <c r="V407" s="144"/>
      <c r="W407" s="144"/>
      <c r="X407" s="144"/>
      <c r="Y407" s="144"/>
      <c r="Z407" s="144"/>
    </row>
    <row r="408" spans="1:26" x14ac:dyDescent="0.3">
      <c r="A408" s="144"/>
      <c r="B408" s="144"/>
      <c r="C408" s="144"/>
      <c r="D408" s="144"/>
      <c r="E408" s="144"/>
      <c r="F408" s="52"/>
      <c r="G408" s="52"/>
      <c r="H408" s="52"/>
      <c r="I408" s="52"/>
      <c r="J408" s="52"/>
      <c r="K408" s="144"/>
      <c r="L408" s="144"/>
      <c r="M408" s="144"/>
      <c r="N408" s="144"/>
      <c r="O408" s="144"/>
      <c r="P408" s="144"/>
      <c r="Q408" s="144"/>
      <c r="R408" s="144"/>
      <c r="S408" s="144"/>
      <c r="T408" s="144"/>
      <c r="U408" s="144"/>
      <c r="V408" s="144"/>
      <c r="W408" s="144"/>
      <c r="X408" s="144"/>
      <c r="Y408" s="144"/>
      <c r="Z408" s="144"/>
    </row>
    <row r="409" spans="1:26" x14ac:dyDescent="0.3">
      <c r="A409" s="144"/>
      <c r="B409" s="144"/>
      <c r="C409" s="144"/>
      <c r="D409" s="144"/>
      <c r="E409" s="144"/>
      <c r="F409" s="52"/>
      <c r="G409" s="52"/>
      <c r="H409" s="52"/>
      <c r="I409" s="52"/>
      <c r="J409" s="52"/>
      <c r="K409" s="144"/>
      <c r="L409" s="144"/>
      <c r="M409" s="144"/>
      <c r="N409" s="144"/>
      <c r="O409" s="144"/>
      <c r="P409" s="144"/>
      <c r="Q409" s="144"/>
      <c r="R409" s="144"/>
      <c r="S409" s="144"/>
      <c r="T409" s="144"/>
      <c r="U409" s="144"/>
      <c r="V409" s="144"/>
      <c r="W409" s="144"/>
      <c r="X409" s="144"/>
      <c r="Y409" s="144"/>
      <c r="Z409" s="144"/>
    </row>
    <row r="410" spans="1:26" x14ac:dyDescent="0.3">
      <c r="A410" s="144"/>
      <c r="B410" s="144"/>
      <c r="C410" s="144"/>
      <c r="D410" s="144"/>
      <c r="E410" s="144"/>
      <c r="F410" s="52"/>
      <c r="G410" s="52"/>
      <c r="H410" s="52"/>
      <c r="I410" s="52"/>
      <c r="J410" s="52"/>
      <c r="K410" s="144"/>
      <c r="L410" s="144"/>
      <c r="M410" s="144"/>
      <c r="N410" s="144"/>
      <c r="O410" s="144"/>
      <c r="P410" s="144"/>
      <c r="Q410" s="144"/>
      <c r="R410" s="144"/>
      <c r="S410" s="144"/>
      <c r="T410" s="144"/>
      <c r="U410" s="144"/>
      <c r="V410" s="144"/>
      <c r="W410" s="144"/>
      <c r="X410" s="144"/>
      <c r="Y410" s="144"/>
      <c r="Z410" s="144"/>
    </row>
    <row r="411" spans="1:26" x14ac:dyDescent="0.3">
      <c r="A411" s="144"/>
      <c r="B411" s="144"/>
      <c r="C411" s="144"/>
      <c r="D411" s="144"/>
      <c r="E411" s="144"/>
      <c r="F411" s="52"/>
      <c r="G411" s="52"/>
      <c r="H411" s="52"/>
      <c r="I411" s="52"/>
      <c r="J411" s="52"/>
      <c r="K411" s="144"/>
      <c r="L411" s="144"/>
      <c r="M411" s="144"/>
      <c r="N411" s="144"/>
      <c r="O411" s="144"/>
      <c r="P411" s="144"/>
      <c r="Q411" s="144"/>
      <c r="R411" s="144"/>
      <c r="S411" s="144"/>
      <c r="T411" s="144"/>
      <c r="U411" s="144"/>
      <c r="V411" s="144"/>
      <c r="W411" s="144"/>
      <c r="X411" s="144"/>
      <c r="Y411" s="144"/>
      <c r="Z411" s="144"/>
    </row>
    <row r="412" spans="1:26" x14ac:dyDescent="0.3">
      <c r="A412" s="144"/>
      <c r="B412" s="144"/>
      <c r="C412" s="144"/>
      <c r="D412" s="144"/>
      <c r="E412" s="144"/>
      <c r="F412" s="52"/>
      <c r="G412" s="52"/>
      <c r="H412" s="52"/>
      <c r="I412" s="52"/>
      <c r="J412" s="52"/>
      <c r="K412" s="144"/>
      <c r="L412" s="144"/>
      <c r="M412" s="144"/>
      <c r="N412" s="144"/>
      <c r="O412" s="144"/>
      <c r="P412" s="144"/>
      <c r="Q412" s="144"/>
      <c r="R412" s="144"/>
      <c r="S412" s="144"/>
      <c r="T412" s="144"/>
      <c r="U412" s="144"/>
      <c r="V412" s="144"/>
      <c r="W412" s="144"/>
      <c r="X412" s="144"/>
      <c r="Y412" s="144"/>
      <c r="Z412" s="144"/>
    </row>
    <row r="413" spans="1:26" x14ac:dyDescent="0.3">
      <c r="A413" s="144"/>
      <c r="B413" s="144"/>
      <c r="C413" s="144"/>
      <c r="D413" s="144"/>
      <c r="E413" s="144"/>
      <c r="F413" s="52"/>
      <c r="G413" s="52"/>
      <c r="H413" s="52"/>
      <c r="I413" s="52"/>
      <c r="J413" s="52"/>
      <c r="K413" s="144"/>
      <c r="L413" s="144"/>
      <c r="M413" s="144"/>
      <c r="N413" s="144"/>
      <c r="O413" s="144"/>
      <c r="P413" s="144"/>
      <c r="Q413" s="144"/>
      <c r="R413" s="144"/>
      <c r="S413" s="144"/>
      <c r="T413" s="144"/>
      <c r="U413" s="144"/>
      <c r="V413" s="144"/>
      <c r="W413" s="144"/>
      <c r="X413" s="144"/>
      <c r="Y413" s="144"/>
      <c r="Z413" s="144"/>
    </row>
    <row r="414" spans="1:26" x14ac:dyDescent="0.3">
      <c r="A414" s="144"/>
      <c r="B414" s="144"/>
      <c r="C414" s="144"/>
      <c r="D414" s="144"/>
      <c r="E414" s="144"/>
      <c r="F414" s="52"/>
      <c r="G414" s="52"/>
      <c r="H414" s="52"/>
      <c r="I414" s="52"/>
      <c r="J414" s="52"/>
      <c r="K414" s="144"/>
      <c r="L414" s="144"/>
      <c r="M414" s="144"/>
      <c r="N414" s="144"/>
      <c r="O414" s="144"/>
      <c r="P414" s="144"/>
      <c r="Q414" s="144"/>
      <c r="R414" s="144"/>
      <c r="S414" s="144"/>
      <c r="T414" s="144"/>
      <c r="U414" s="144"/>
      <c r="V414" s="144"/>
      <c r="W414" s="144"/>
      <c r="X414" s="144"/>
      <c r="Y414" s="144"/>
      <c r="Z414" s="144"/>
    </row>
    <row r="415" spans="1:26" x14ac:dyDescent="0.3">
      <c r="A415" s="144"/>
      <c r="B415" s="144"/>
      <c r="C415" s="144"/>
      <c r="D415" s="144"/>
      <c r="E415" s="144"/>
      <c r="F415" s="52"/>
      <c r="G415" s="52"/>
      <c r="H415" s="52"/>
      <c r="I415" s="52"/>
      <c r="J415" s="52"/>
      <c r="K415" s="144"/>
      <c r="L415" s="144"/>
      <c r="M415" s="144"/>
      <c r="N415" s="144"/>
      <c r="O415" s="144"/>
      <c r="P415" s="144"/>
      <c r="Q415" s="144"/>
      <c r="R415" s="144"/>
      <c r="S415" s="144"/>
      <c r="T415" s="144"/>
      <c r="U415" s="144"/>
      <c r="V415" s="144"/>
      <c r="W415" s="144"/>
      <c r="X415" s="144"/>
      <c r="Y415" s="144"/>
      <c r="Z415" s="144"/>
    </row>
    <row r="416" spans="1:26" x14ac:dyDescent="0.3">
      <c r="A416" s="144"/>
      <c r="B416" s="144"/>
      <c r="C416" s="144"/>
      <c r="D416" s="144"/>
      <c r="E416" s="144"/>
      <c r="F416" s="52"/>
      <c r="G416" s="52"/>
      <c r="H416" s="52"/>
      <c r="I416" s="52"/>
      <c r="J416" s="52"/>
      <c r="K416" s="144"/>
      <c r="L416" s="144"/>
      <c r="M416" s="144"/>
      <c r="N416" s="144"/>
      <c r="O416" s="144"/>
      <c r="P416" s="144"/>
      <c r="Q416" s="144"/>
      <c r="R416" s="144"/>
      <c r="S416" s="144"/>
      <c r="T416" s="144"/>
      <c r="U416" s="144"/>
      <c r="V416" s="144"/>
      <c r="W416" s="144"/>
      <c r="X416" s="144"/>
      <c r="Y416" s="144"/>
      <c r="Z416" s="144"/>
    </row>
    <row r="417" spans="1:26" x14ac:dyDescent="0.3">
      <c r="A417" s="144"/>
      <c r="B417" s="144"/>
      <c r="C417" s="144"/>
      <c r="D417" s="144"/>
      <c r="E417" s="144"/>
      <c r="F417" s="52"/>
      <c r="G417" s="52"/>
      <c r="H417" s="52"/>
      <c r="I417" s="52"/>
      <c r="J417" s="52"/>
      <c r="K417" s="144"/>
      <c r="L417" s="144"/>
      <c r="M417" s="144"/>
      <c r="N417" s="144"/>
      <c r="O417" s="144"/>
      <c r="P417" s="144"/>
      <c r="Q417" s="144"/>
      <c r="R417" s="144"/>
      <c r="S417" s="144"/>
      <c r="T417" s="144"/>
      <c r="U417" s="144"/>
      <c r="V417" s="144"/>
      <c r="W417" s="144"/>
      <c r="X417" s="144"/>
      <c r="Y417" s="144"/>
      <c r="Z417" s="144"/>
    </row>
    <row r="418" spans="1:26" x14ac:dyDescent="0.3">
      <c r="A418" s="144"/>
      <c r="B418" s="144"/>
      <c r="C418" s="144"/>
      <c r="D418" s="144"/>
      <c r="E418" s="144"/>
      <c r="F418" s="52"/>
      <c r="G418" s="52"/>
      <c r="H418" s="52"/>
      <c r="I418" s="52"/>
      <c r="J418" s="52"/>
      <c r="K418" s="144"/>
      <c r="L418" s="144"/>
      <c r="M418" s="144"/>
      <c r="N418" s="144"/>
      <c r="O418" s="144"/>
      <c r="P418" s="144"/>
      <c r="Q418" s="144"/>
      <c r="R418" s="144"/>
      <c r="S418" s="144"/>
      <c r="T418" s="144"/>
      <c r="U418" s="144"/>
      <c r="V418" s="144"/>
      <c r="W418" s="144"/>
      <c r="X418" s="144"/>
      <c r="Y418" s="144"/>
      <c r="Z418" s="144"/>
    </row>
    <row r="419" spans="1:26" x14ac:dyDescent="0.3">
      <c r="A419" s="144"/>
      <c r="B419" s="144"/>
      <c r="C419" s="144"/>
      <c r="D419" s="144"/>
      <c r="E419" s="144"/>
      <c r="F419" s="52"/>
      <c r="G419" s="52"/>
      <c r="H419" s="52"/>
      <c r="I419" s="52"/>
      <c r="J419" s="52"/>
      <c r="K419" s="144"/>
      <c r="L419" s="144"/>
      <c r="M419" s="144"/>
      <c r="N419" s="144"/>
      <c r="O419" s="144"/>
      <c r="P419" s="144"/>
      <c r="Q419" s="144"/>
      <c r="R419" s="144"/>
      <c r="S419" s="144"/>
      <c r="T419" s="144"/>
      <c r="U419" s="144"/>
      <c r="V419" s="144"/>
      <c r="W419" s="144"/>
      <c r="X419" s="144"/>
      <c r="Y419" s="144"/>
      <c r="Z419" s="144"/>
    </row>
    <row r="420" spans="1:26" x14ac:dyDescent="0.3">
      <c r="A420" s="144"/>
      <c r="B420" s="144"/>
      <c r="C420" s="144"/>
      <c r="D420" s="144"/>
      <c r="E420" s="144"/>
      <c r="F420" s="52"/>
      <c r="G420" s="52"/>
      <c r="H420" s="52"/>
      <c r="I420" s="52"/>
      <c r="J420" s="52"/>
      <c r="K420" s="144"/>
      <c r="L420" s="144"/>
      <c r="M420" s="144"/>
      <c r="N420" s="144"/>
      <c r="O420" s="144"/>
      <c r="P420" s="144"/>
      <c r="Q420" s="144"/>
      <c r="R420" s="144"/>
      <c r="S420" s="144"/>
      <c r="T420" s="144"/>
      <c r="U420" s="144"/>
      <c r="V420" s="144"/>
      <c r="W420" s="144"/>
      <c r="X420" s="144"/>
      <c r="Y420" s="144"/>
      <c r="Z420" s="144"/>
    </row>
    <row r="421" spans="1:26" x14ac:dyDescent="0.3">
      <c r="A421" s="144"/>
      <c r="B421" s="144"/>
      <c r="C421" s="144"/>
      <c r="D421" s="144"/>
      <c r="E421" s="144"/>
      <c r="F421" s="52"/>
      <c r="G421" s="52"/>
      <c r="H421" s="52"/>
      <c r="I421" s="52"/>
      <c r="J421" s="52"/>
      <c r="K421" s="144"/>
      <c r="L421" s="144"/>
      <c r="M421" s="144"/>
      <c r="N421" s="144"/>
      <c r="O421" s="144"/>
      <c r="P421" s="144"/>
      <c r="Q421" s="144"/>
      <c r="R421" s="144"/>
      <c r="S421" s="144"/>
      <c r="T421" s="144"/>
      <c r="U421" s="144"/>
      <c r="V421" s="144"/>
      <c r="W421" s="144"/>
      <c r="X421" s="144"/>
      <c r="Y421" s="144"/>
      <c r="Z421" s="144"/>
    </row>
    <row r="422" spans="1:26" x14ac:dyDescent="0.3">
      <c r="A422" s="144"/>
      <c r="B422" s="144"/>
      <c r="C422" s="144"/>
      <c r="D422" s="144"/>
      <c r="E422" s="144"/>
      <c r="F422" s="52"/>
      <c r="G422" s="52"/>
      <c r="H422" s="52"/>
      <c r="I422" s="52"/>
      <c r="J422" s="52"/>
      <c r="K422" s="144"/>
      <c r="L422" s="144"/>
      <c r="M422" s="144"/>
      <c r="N422" s="144"/>
      <c r="O422" s="144"/>
      <c r="P422" s="144"/>
      <c r="Q422" s="144"/>
      <c r="R422" s="144"/>
      <c r="S422" s="144"/>
      <c r="T422" s="144"/>
      <c r="U422" s="144"/>
      <c r="V422" s="144"/>
      <c r="W422" s="144"/>
      <c r="X422" s="144"/>
      <c r="Y422" s="144"/>
      <c r="Z422" s="144"/>
    </row>
    <row r="423" spans="1:26" x14ac:dyDescent="0.3">
      <c r="A423" s="144"/>
      <c r="B423" s="144"/>
      <c r="C423" s="144"/>
      <c r="D423" s="144"/>
      <c r="E423" s="144"/>
      <c r="F423" s="52"/>
      <c r="G423" s="52"/>
      <c r="H423" s="52"/>
      <c r="I423" s="52"/>
      <c r="J423" s="52"/>
      <c r="K423" s="144"/>
      <c r="L423" s="144"/>
      <c r="M423" s="144"/>
      <c r="N423" s="144"/>
      <c r="O423" s="144"/>
      <c r="P423" s="144"/>
      <c r="Q423" s="144"/>
      <c r="R423" s="144"/>
      <c r="S423" s="144"/>
      <c r="T423" s="144"/>
      <c r="U423" s="144"/>
      <c r="V423" s="144"/>
      <c r="W423" s="144"/>
      <c r="X423" s="144"/>
      <c r="Y423" s="144"/>
      <c r="Z423" s="144"/>
    </row>
    <row r="424" spans="1:26" x14ac:dyDescent="0.3">
      <c r="A424" s="144"/>
      <c r="B424" s="144"/>
      <c r="C424" s="144"/>
      <c r="D424" s="144"/>
      <c r="E424" s="144"/>
      <c r="F424" s="52"/>
      <c r="G424" s="52"/>
      <c r="H424" s="52"/>
      <c r="I424" s="52"/>
      <c r="J424" s="52"/>
      <c r="K424" s="144"/>
      <c r="L424" s="144"/>
      <c r="M424" s="144"/>
      <c r="N424" s="144"/>
      <c r="O424" s="144"/>
      <c r="P424" s="144"/>
      <c r="Q424" s="144"/>
      <c r="R424" s="144"/>
      <c r="S424" s="144"/>
      <c r="T424" s="144"/>
      <c r="U424" s="144"/>
      <c r="V424" s="144"/>
      <c r="W424" s="144"/>
      <c r="X424" s="144"/>
      <c r="Y424" s="144"/>
      <c r="Z424" s="144"/>
    </row>
    <row r="425" spans="1:26" x14ac:dyDescent="0.3">
      <c r="A425" s="144"/>
      <c r="B425" s="144"/>
      <c r="C425" s="144"/>
      <c r="D425" s="144"/>
      <c r="E425" s="144"/>
      <c r="F425" s="52"/>
      <c r="G425" s="52"/>
      <c r="H425" s="52"/>
      <c r="I425" s="52"/>
      <c r="J425" s="52"/>
      <c r="K425" s="144"/>
      <c r="L425" s="144"/>
      <c r="M425" s="144"/>
      <c r="N425" s="144"/>
      <c r="O425" s="144"/>
      <c r="P425" s="144"/>
      <c r="Q425" s="144"/>
      <c r="R425" s="144"/>
      <c r="S425" s="144"/>
      <c r="T425" s="144"/>
      <c r="U425" s="144"/>
      <c r="V425" s="144"/>
      <c r="W425" s="144"/>
      <c r="X425" s="144"/>
      <c r="Y425" s="144"/>
      <c r="Z425" s="144"/>
    </row>
    <row r="426" spans="1:26" x14ac:dyDescent="0.3">
      <c r="A426" s="144"/>
      <c r="B426" s="144"/>
      <c r="C426" s="144"/>
      <c r="D426" s="144"/>
      <c r="E426" s="144"/>
      <c r="F426" s="52"/>
      <c r="G426" s="52"/>
      <c r="H426" s="52"/>
      <c r="I426" s="52"/>
      <c r="J426" s="52"/>
      <c r="K426" s="144"/>
      <c r="L426" s="144"/>
      <c r="M426" s="144"/>
      <c r="N426" s="144"/>
      <c r="O426" s="144"/>
      <c r="P426" s="144"/>
      <c r="Q426" s="144"/>
      <c r="R426" s="144"/>
      <c r="S426" s="144"/>
      <c r="T426" s="144"/>
      <c r="U426" s="144"/>
      <c r="V426" s="144"/>
      <c r="W426" s="144"/>
      <c r="X426" s="144"/>
      <c r="Y426" s="144"/>
      <c r="Z426" s="144"/>
    </row>
    <row r="427" spans="1:26" x14ac:dyDescent="0.3">
      <c r="A427" s="144"/>
      <c r="B427" s="144"/>
      <c r="C427" s="144"/>
      <c r="D427" s="144"/>
      <c r="E427" s="144"/>
      <c r="F427" s="52"/>
      <c r="G427" s="52"/>
      <c r="H427" s="52"/>
      <c r="I427" s="52"/>
      <c r="J427" s="52"/>
      <c r="K427" s="144"/>
      <c r="L427" s="144"/>
      <c r="M427" s="144"/>
      <c r="N427" s="144"/>
      <c r="O427" s="144"/>
      <c r="P427" s="144"/>
      <c r="Q427" s="144"/>
      <c r="R427" s="144"/>
      <c r="S427" s="144"/>
      <c r="T427" s="144"/>
      <c r="U427" s="144"/>
      <c r="V427" s="144"/>
      <c r="W427" s="144"/>
      <c r="X427" s="144"/>
      <c r="Y427" s="144"/>
      <c r="Z427" s="144"/>
    </row>
    <row r="428" spans="1:26" x14ac:dyDescent="0.3">
      <c r="A428" s="144"/>
      <c r="B428" s="144"/>
      <c r="C428" s="144"/>
      <c r="D428" s="144"/>
      <c r="E428" s="144"/>
      <c r="F428" s="52"/>
      <c r="G428" s="52"/>
      <c r="H428" s="52"/>
      <c r="I428" s="52"/>
      <c r="J428" s="52"/>
      <c r="K428" s="144"/>
      <c r="L428" s="144"/>
      <c r="M428" s="144"/>
      <c r="N428" s="144"/>
      <c r="O428" s="144"/>
      <c r="P428" s="144"/>
      <c r="Q428" s="144"/>
      <c r="R428" s="144"/>
      <c r="S428" s="144"/>
      <c r="T428" s="144"/>
      <c r="U428" s="144"/>
      <c r="V428" s="144"/>
      <c r="W428" s="144"/>
      <c r="X428" s="144"/>
      <c r="Y428" s="144"/>
      <c r="Z428" s="144"/>
    </row>
    <row r="429" spans="1:26" x14ac:dyDescent="0.3">
      <c r="A429" s="144"/>
      <c r="B429" s="144"/>
      <c r="C429" s="144"/>
      <c r="D429" s="144"/>
      <c r="E429" s="144"/>
      <c r="F429" s="52"/>
      <c r="G429" s="52"/>
      <c r="H429" s="52"/>
      <c r="I429" s="52"/>
      <c r="J429" s="52"/>
      <c r="K429" s="144"/>
      <c r="L429" s="144"/>
      <c r="M429" s="144"/>
      <c r="N429" s="144"/>
      <c r="O429" s="144"/>
      <c r="P429" s="144"/>
      <c r="Q429" s="144"/>
      <c r="R429" s="144"/>
      <c r="S429" s="144"/>
      <c r="T429" s="144"/>
      <c r="U429" s="144"/>
      <c r="V429" s="144"/>
      <c r="W429" s="144"/>
      <c r="X429" s="144"/>
      <c r="Y429" s="144"/>
      <c r="Z429" s="144"/>
    </row>
    <row r="430" spans="1:26" x14ac:dyDescent="0.3">
      <c r="A430" s="144"/>
      <c r="B430" s="144"/>
      <c r="C430" s="144"/>
      <c r="D430" s="144"/>
      <c r="E430" s="144"/>
      <c r="F430" s="52"/>
      <c r="G430" s="52"/>
      <c r="H430" s="52"/>
      <c r="I430" s="52"/>
      <c r="J430" s="52"/>
      <c r="K430" s="144"/>
      <c r="L430" s="144"/>
      <c r="M430" s="144"/>
      <c r="N430" s="144"/>
      <c r="O430" s="144"/>
      <c r="P430" s="144"/>
      <c r="Q430" s="144"/>
      <c r="R430" s="144"/>
      <c r="S430" s="144"/>
      <c r="T430" s="144"/>
      <c r="U430" s="144"/>
      <c r="V430" s="144"/>
      <c r="W430" s="144"/>
      <c r="X430" s="144"/>
      <c r="Y430" s="144"/>
      <c r="Z430" s="144"/>
    </row>
    <row r="431" spans="1:26" x14ac:dyDescent="0.3">
      <c r="A431" s="144"/>
      <c r="B431" s="144"/>
      <c r="C431" s="144"/>
      <c r="D431" s="144"/>
      <c r="E431" s="144"/>
      <c r="F431" s="52"/>
      <c r="G431" s="52"/>
      <c r="H431" s="52"/>
      <c r="I431" s="52"/>
      <c r="J431" s="52"/>
      <c r="K431" s="144"/>
      <c r="L431" s="144"/>
      <c r="M431" s="144"/>
      <c r="N431" s="144"/>
      <c r="O431" s="144"/>
      <c r="P431" s="144"/>
      <c r="Q431" s="144"/>
      <c r="R431" s="144"/>
      <c r="S431" s="144"/>
      <c r="T431" s="144"/>
      <c r="U431" s="144"/>
      <c r="V431" s="144"/>
      <c r="W431" s="144"/>
      <c r="X431" s="144"/>
      <c r="Y431" s="144"/>
      <c r="Z431" s="144"/>
    </row>
    <row r="432" spans="1:26" x14ac:dyDescent="0.3">
      <c r="A432" s="144"/>
      <c r="B432" s="144"/>
      <c r="C432" s="144"/>
      <c r="D432" s="144"/>
      <c r="E432" s="144"/>
      <c r="F432" s="52"/>
      <c r="G432" s="52"/>
      <c r="H432" s="52"/>
      <c r="I432" s="52"/>
      <c r="J432" s="52"/>
      <c r="K432" s="144"/>
      <c r="L432" s="144"/>
      <c r="M432" s="144"/>
      <c r="N432" s="144"/>
      <c r="O432" s="144"/>
      <c r="P432" s="144"/>
      <c r="Q432" s="144"/>
      <c r="R432" s="144"/>
      <c r="S432" s="144"/>
      <c r="T432" s="144"/>
      <c r="U432" s="144"/>
      <c r="V432" s="144"/>
      <c r="W432" s="144"/>
      <c r="X432" s="144"/>
      <c r="Y432" s="144"/>
      <c r="Z432" s="144"/>
    </row>
    <row r="433" spans="1:26" x14ac:dyDescent="0.3">
      <c r="A433" s="144"/>
      <c r="B433" s="144"/>
      <c r="C433" s="144"/>
      <c r="D433" s="144"/>
      <c r="E433" s="144"/>
      <c r="F433" s="52"/>
      <c r="G433" s="52"/>
      <c r="H433" s="52"/>
      <c r="I433" s="52"/>
      <c r="J433" s="52"/>
      <c r="K433" s="144"/>
      <c r="L433" s="144"/>
      <c r="M433" s="144"/>
      <c r="N433" s="144"/>
      <c r="O433" s="144"/>
      <c r="P433" s="144"/>
      <c r="Q433" s="144"/>
      <c r="R433" s="144"/>
      <c r="S433" s="144"/>
      <c r="T433" s="144"/>
      <c r="U433" s="144"/>
      <c r="V433" s="144"/>
      <c r="W433" s="144"/>
      <c r="X433" s="144"/>
      <c r="Y433" s="144"/>
      <c r="Z433" s="144"/>
    </row>
    <row r="434" spans="1:26" x14ac:dyDescent="0.3">
      <c r="A434" s="144"/>
      <c r="B434" s="144"/>
      <c r="C434" s="144"/>
      <c r="D434" s="144"/>
      <c r="E434" s="144"/>
      <c r="F434" s="52"/>
      <c r="G434" s="52"/>
      <c r="H434" s="52"/>
      <c r="I434" s="52"/>
      <c r="J434" s="52"/>
      <c r="K434" s="144"/>
      <c r="L434" s="144"/>
      <c r="M434" s="144"/>
      <c r="N434" s="144"/>
      <c r="O434" s="144"/>
      <c r="P434" s="144"/>
      <c r="Q434" s="144"/>
      <c r="R434" s="144"/>
      <c r="S434" s="144"/>
      <c r="T434" s="144"/>
      <c r="U434" s="144"/>
      <c r="V434" s="144"/>
      <c r="W434" s="144"/>
      <c r="X434" s="144"/>
      <c r="Y434" s="144"/>
      <c r="Z434" s="144"/>
    </row>
    <row r="435" spans="1:26" x14ac:dyDescent="0.3">
      <c r="A435" s="144"/>
      <c r="B435" s="144"/>
      <c r="C435" s="144"/>
      <c r="D435" s="144"/>
      <c r="E435" s="144"/>
      <c r="F435" s="52"/>
      <c r="G435" s="52"/>
      <c r="H435" s="52"/>
      <c r="I435" s="52"/>
      <c r="J435" s="52"/>
      <c r="K435" s="144"/>
      <c r="L435" s="144"/>
      <c r="M435" s="144"/>
      <c r="N435" s="144"/>
      <c r="O435" s="144"/>
      <c r="P435" s="144"/>
      <c r="Q435" s="144"/>
      <c r="R435" s="144"/>
      <c r="S435" s="144"/>
      <c r="T435" s="144"/>
      <c r="U435" s="144"/>
      <c r="V435" s="144"/>
      <c r="W435" s="144"/>
      <c r="X435" s="144"/>
      <c r="Y435" s="144"/>
      <c r="Z435" s="144"/>
    </row>
    <row r="436" spans="1:26" x14ac:dyDescent="0.3">
      <c r="A436" s="144"/>
      <c r="B436" s="144"/>
      <c r="C436" s="144"/>
      <c r="D436" s="144"/>
      <c r="E436" s="144"/>
      <c r="F436" s="52"/>
      <c r="G436" s="52"/>
      <c r="H436" s="52"/>
      <c r="I436" s="52"/>
      <c r="J436" s="52"/>
      <c r="K436" s="144"/>
      <c r="L436" s="144"/>
      <c r="M436" s="144"/>
      <c r="N436" s="144"/>
      <c r="O436" s="144"/>
      <c r="P436" s="144"/>
      <c r="Q436" s="144"/>
      <c r="R436" s="144"/>
      <c r="S436" s="144"/>
      <c r="T436" s="144"/>
      <c r="U436" s="144"/>
      <c r="V436" s="144"/>
      <c r="W436" s="144"/>
      <c r="X436" s="144"/>
      <c r="Y436" s="144"/>
      <c r="Z436" s="144"/>
    </row>
    <row r="437" spans="1:26" x14ac:dyDescent="0.3">
      <c r="A437" s="144"/>
      <c r="B437" s="144"/>
      <c r="C437" s="144"/>
      <c r="D437" s="144"/>
      <c r="E437" s="144"/>
      <c r="F437" s="52"/>
      <c r="G437" s="52"/>
      <c r="H437" s="52"/>
      <c r="I437" s="52"/>
      <c r="J437" s="52"/>
      <c r="K437" s="144"/>
      <c r="L437" s="144"/>
      <c r="M437" s="144"/>
      <c r="N437" s="144"/>
      <c r="O437" s="144"/>
      <c r="P437" s="144"/>
      <c r="Q437" s="144"/>
      <c r="R437" s="144"/>
      <c r="S437" s="144"/>
      <c r="T437" s="144"/>
      <c r="U437" s="144"/>
      <c r="V437" s="144"/>
      <c r="W437" s="144"/>
      <c r="X437" s="144"/>
      <c r="Y437" s="144"/>
      <c r="Z437" s="144"/>
    </row>
    <row r="438" spans="1:26" x14ac:dyDescent="0.3">
      <c r="A438" s="144"/>
      <c r="B438" s="144"/>
      <c r="C438" s="144"/>
      <c r="D438" s="144"/>
      <c r="E438" s="144"/>
      <c r="F438" s="52"/>
      <c r="G438" s="52"/>
      <c r="H438" s="52"/>
      <c r="I438" s="52"/>
      <c r="J438" s="52"/>
      <c r="K438" s="144"/>
      <c r="L438" s="144"/>
      <c r="M438" s="144"/>
      <c r="N438" s="144"/>
      <c r="O438" s="144"/>
      <c r="P438" s="144"/>
      <c r="Q438" s="144"/>
      <c r="R438" s="144"/>
      <c r="S438" s="144"/>
      <c r="T438" s="144"/>
      <c r="U438" s="144"/>
      <c r="V438" s="144"/>
      <c r="W438" s="144"/>
      <c r="X438" s="144"/>
      <c r="Y438" s="144"/>
      <c r="Z438" s="144"/>
    </row>
    <row r="439" spans="1:26" x14ac:dyDescent="0.3">
      <c r="A439" s="144"/>
      <c r="B439" s="144"/>
      <c r="C439" s="144"/>
      <c r="D439" s="144"/>
      <c r="E439" s="144"/>
      <c r="F439" s="52"/>
      <c r="G439" s="52"/>
      <c r="H439" s="52"/>
      <c r="I439" s="52"/>
      <c r="J439" s="52"/>
      <c r="K439" s="144"/>
      <c r="L439" s="144"/>
      <c r="M439" s="144"/>
      <c r="N439" s="144"/>
      <c r="O439" s="144"/>
      <c r="P439" s="144"/>
      <c r="Q439" s="144"/>
      <c r="R439" s="144"/>
      <c r="S439" s="144"/>
      <c r="T439" s="144"/>
      <c r="U439" s="144"/>
      <c r="V439" s="144"/>
      <c r="W439" s="144"/>
      <c r="X439" s="144"/>
      <c r="Y439" s="144"/>
      <c r="Z439" s="144"/>
    </row>
    <row r="440" spans="1:26" x14ac:dyDescent="0.3">
      <c r="A440" s="144"/>
      <c r="B440" s="144"/>
      <c r="C440" s="144"/>
      <c r="D440" s="144"/>
      <c r="E440" s="144"/>
      <c r="F440" s="52"/>
      <c r="G440" s="52"/>
      <c r="H440" s="52"/>
      <c r="I440" s="52"/>
      <c r="J440" s="52"/>
      <c r="K440" s="144"/>
      <c r="L440" s="144"/>
      <c r="M440" s="144"/>
      <c r="N440" s="144"/>
      <c r="O440" s="144"/>
      <c r="P440" s="144"/>
      <c r="Q440" s="144"/>
      <c r="R440" s="144"/>
      <c r="S440" s="144"/>
      <c r="T440" s="144"/>
      <c r="U440" s="144"/>
      <c r="V440" s="144"/>
      <c r="W440" s="144"/>
      <c r="X440" s="144"/>
      <c r="Y440" s="144"/>
      <c r="Z440" s="144"/>
    </row>
    <row r="441" spans="1:26" x14ac:dyDescent="0.3">
      <c r="A441" s="144"/>
      <c r="B441" s="144"/>
      <c r="C441" s="144"/>
      <c r="D441" s="144"/>
      <c r="E441" s="144"/>
      <c r="F441" s="52"/>
      <c r="G441" s="52"/>
      <c r="H441" s="52"/>
      <c r="I441" s="52"/>
      <c r="J441" s="52"/>
      <c r="K441" s="144"/>
      <c r="L441" s="144"/>
      <c r="M441" s="144"/>
      <c r="N441" s="144"/>
      <c r="O441" s="144"/>
      <c r="P441" s="144"/>
      <c r="Q441" s="144"/>
      <c r="R441" s="144"/>
      <c r="S441" s="144"/>
      <c r="T441" s="144"/>
      <c r="U441" s="144"/>
      <c r="V441" s="144"/>
      <c r="W441" s="144"/>
      <c r="X441" s="144"/>
      <c r="Y441" s="144"/>
      <c r="Z441" s="144"/>
    </row>
    <row r="442" spans="1:26" x14ac:dyDescent="0.3">
      <c r="A442" s="144"/>
      <c r="B442" s="144"/>
      <c r="C442" s="144"/>
      <c r="D442" s="144"/>
      <c r="E442" s="144"/>
      <c r="F442" s="52"/>
      <c r="G442" s="52"/>
      <c r="H442" s="52"/>
      <c r="I442" s="52"/>
      <c r="J442" s="52"/>
      <c r="K442" s="144"/>
      <c r="L442" s="144"/>
      <c r="M442" s="144"/>
      <c r="N442" s="144"/>
      <c r="O442" s="144"/>
      <c r="P442" s="144"/>
      <c r="Q442" s="144"/>
      <c r="R442" s="144"/>
      <c r="S442" s="144"/>
      <c r="T442" s="144"/>
      <c r="U442" s="144"/>
      <c r="V442" s="144"/>
      <c r="W442" s="144"/>
      <c r="X442" s="144"/>
      <c r="Y442" s="144"/>
      <c r="Z442" s="144"/>
    </row>
    <row r="443" spans="1:26" x14ac:dyDescent="0.3">
      <c r="A443" s="144"/>
      <c r="B443" s="144"/>
      <c r="C443" s="144"/>
      <c r="D443" s="144"/>
      <c r="E443" s="144"/>
      <c r="F443" s="52"/>
      <c r="G443" s="52"/>
      <c r="H443" s="52"/>
      <c r="I443" s="52"/>
      <c r="J443" s="52"/>
      <c r="K443" s="144"/>
      <c r="L443" s="144"/>
      <c r="M443" s="144"/>
      <c r="N443" s="144"/>
      <c r="O443" s="144"/>
      <c r="P443" s="144"/>
      <c r="Q443" s="144"/>
      <c r="R443" s="144"/>
      <c r="S443" s="144"/>
      <c r="T443" s="144"/>
      <c r="U443" s="144"/>
      <c r="V443" s="144"/>
      <c r="W443" s="144"/>
      <c r="X443" s="144"/>
      <c r="Y443" s="144"/>
      <c r="Z443" s="144"/>
    </row>
    <row r="444" spans="1:26" x14ac:dyDescent="0.3">
      <c r="A444" s="144"/>
      <c r="B444" s="144"/>
      <c r="C444" s="144"/>
      <c r="D444" s="144"/>
      <c r="E444" s="144"/>
      <c r="F444" s="52"/>
      <c r="G444" s="52"/>
      <c r="H444" s="52"/>
      <c r="I444" s="52"/>
      <c r="J444" s="52"/>
      <c r="K444" s="144"/>
      <c r="L444" s="144"/>
      <c r="M444" s="144"/>
      <c r="N444" s="144"/>
      <c r="O444" s="144"/>
      <c r="P444" s="144"/>
      <c r="Q444" s="144"/>
      <c r="R444" s="144"/>
      <c r="S444" s="144"/>
      <c r="T444" s="144"/>
      <c r="U444" s="144"/>
      <c r="V444" s="144"/>
      <c r="W444" s="144"/>
      <c r="X444" s="144"/>
      <c r="Y444" s="144"/>
      <c r="Z444" s="144"/>
    </row>
    <row r="445" spans="1:26" x14ac:dyDescent="0.3">
      <c r="A445" s="144"/>
      <c r="B445" s="144"/>
      <c r="C445" s="144"/>
      <c r="D445" s="144"/>
      <c r="E445" s="144"/>
      <c r="F445" s="52"/>
      <c r="G445" s="52"/>
      <c r="H445" s="52"/>
      <c r="I445" s="52"/>
      <c r="J445" s="52"/>
      <c r="K445" s="144"/>
      <c r="L445" s="144"/>
      <c r="M445" s="144"/>
      <c r="N445" s="144"/>
      <c r="O445" s="144"/>
      <c r="P445" s="144"/>
      <c r="Q445" s="144"/>
      <c r="R445" s="144"/>
      <c r="S445" s="144"/>
      <c r="T445" s="144"/>
      <c r="U445" s="144"/>
      <c r="V445" s="144"/>
      <c r="W445" s="144"/>
      <c r="X445" s="144"/>
      <c r="Y445" s="144"/>
      <c r="Z445" s="144"/>
    </row>
    <row r="446" spans="1:26" x14ac:dyDescent="0.3">
      <c r="A446" s="144"/>
      <c r="B446" s="144"/>
      <c r="C446" s="144"/>
      <c r="D446" s="144"/>
      <c r="E446" s="144"/>
      <c r="F446" s="52"/>
      <c r="G446" s="52"/>
      <c r="H446" s="52"/>
      <c r="I446" s="52"/>
      <c r="J446" s="52"/>
      <c r="K446" s="144"/>
      <c r="L446" s="144"/>
      <c r="M446" s="144"/>
      <c r="N446" s="144"/>
      <c r="O446" s="144"/>
      <c r="P446" s="144"/>
      <c r="Q446" s="144"/>
      <c r="R446" s="144"/>
      <c r="S446" s="144"/>
      <c r="T446" s="144"/>
      <c r="U446" s="144"/>
      <c r="V446" s="144"/>
      <c r="W446" s="144"/>
      <c r="X446" s="144"/>
      <c r="Y446" s="144"/>
      <c r="Z446" s="144"/>
    </row>
    <row r="447" spans="1:26" x14ac:dyDescent="0.3">
      <c r="A447" s="144"/>
      <c r="B447" s="144"/>
      <c r="C447" s="144"/>
      <c r="D447" s="144"/>
      <c r="E447" s="144"/>
      <c r="F447" s="52"/>
      <c r="G447" s="52"/>
      <c r="H447" s="52"/>
      <c r="I447" s="52"/>
      <c r="J447" s="52"/>
      <c r="K447" s="144"/>
      <c r="L447" s="144"/>
      <c r="M447" s="144"/>
      <c r="N447" s="144"/>
      <c r="O447" s="144"/>
      <c r="P447" s="144"/>
      <c r="Q447" s="144"/>
      <c r="R447" s="144"/>
      <c r="S447" s="144"/>
      <c r="T447" s="144"/>
      <c r="U447" s="144"/>
      <c r="V447" s="144"/>
      <c r="W447" s="144"/>
      <c r="X447" s="144"/>
      <c r="Y447" s="144"/>
      <c r="Z447" s="144"/>
    </row>
    <row r="448" spans="1:26" x14ac:dyDescent="0.3">
      <c r="A448" s="144"/>
      <c r="B448" s="144"/>
      <c r="C448" s="144"/>
      <c r="D448" s="144"/>
      <c r="E448" s="144"/>
      <c r="F448" s="52"/>
      <c r="G448" s="52"/>
      <c r="H448" s="52"/>
      <c r="I448" s="52"/>
      <c r="J448" s="52"/>
      <c r="K448" s="144"/>
      <c r="L448" s="144"/>
      <c r="M448" s="144"/>
      <c r="N448" s="144"/>
      <c r="O448" s="144"/>
      <c r="P448" s="144"/>
      <c r="Q448" s="144"/>
      <c r="R448" s="144"/>
      <c r="S448" s="144"/>
      <c r="T448" s="144"/>
      <c r="U448" s="144"/>
      <c r="V448" s="144"/>
      <c r="W448" s="144"/>
      <c r="X448" s="144"/>
      <c r="Y448" s="144"/>
      <c r="Z448" s="144"/>
    </row>
    <row r="449" spans="1:26" x14ac:dyDescent="0.3">
      <c r="A449" s="144"/>
      <c r="B449" s="144"/>
      <c r="C449" s="144"/>
      <c r="D449" s="144"/>
      <c r="E449" s="144"/>
      <c r="F449" s="52"/>
      <c r="G449" s="52"/>
      <c r="H449" s="52"/>
      <c r="I449" s="52"/>
      <c r="J449" s="52"/>
      <c r="K449" s="144"/>
      <c r="L449" s="144"/>
      <c r="M449" s="144"/>
      <c r="N449" s="144"/>
      <c r="O449" s="144"/>
      <c r="P449" s="144"/>
      <c r="Q449" s="144"/>
      <c r="R449" s="144"/>
      <c r="S449" s="144"/>
      <c r="T449" s="144"/>
      <c r="U449" s="144"/>
      <c r="V449" s="144"/>
      <c r="W449" s="144"/>
      <c r="X449" s="144"/>
      <c r="Y449" s="144"/>
      <c r="Z449" s="144"/>
    </row>
    <row r="450" spans="1:26" x14ac:dyDescent="0.3">
      <c r="A450" s="144"/>
      <c r="B450" s="144"/>
      <c r="C450" s="144"/>
      <c r="D450" s="144"/>
      <c r="E450" s="144"/>
      <c r="F450" s="52"/>
      <c r="G450" s="52"/>
      <c r="H450" s="52"/>
      <c r="I450" s="52"/>
      <c r="J450" s="52"/>
      <c r="K450" s="144"/>
      <c r="L450" s="144"/>
      <c r="M450" s="144"/>
      <c r="N450" s="144"/>
      <c r="O450" s="144"/>
      <c r="P450" s="144"/>
      <c r="Q450" s="144"/>
      <c r="R450" s="144"/>
      <c r="S450" s="144"/>
      <c r="T450" s="144"/>
      <c r="U450" s="144"/>
      <c r="V450" s="144"/>
      <c r="W450" s="144"/>
      <c r="X450" s="144"/>
      <c r="Y450" s="144"/>
      <c r="Z450" s="144"/>
    </row>
    <row r="451" spans="1:26" x14ac:dyDescent="0.3">
      <c r="A451" s="144"/>
      <c r="B451" s="144"/>
      <c r="C451" s="144"/>
      <c r="D451" s="144"/>
      <c r="E451" s="144"/>
      <c r="F451" s="52"/>
      <c r="G451" s="52"/>
      <c r="H451" s="52"/>
      <c r="I451" s="52"/>
      <c r="J451" s="52"/>
      <c r="K451" s="144"/>
      <c r="L451" s="144"/>
      <c r="M451" s="144"/>
      <c r="N451" s="144"/>
      <c r="O451" s="144"/>
      <c r="P451" s="144"/>
      <c r="Q451" s="144"/>
      <c r="R451" s="144"/>
      <c r="S451" s="144"/>
      <c r="T451" s="144"/>
      <c r="U451" s="144"/>
      <c r="V451" s="144"/>
      <c r="W451" s="144"/>
      <c r="X451" s="144"/>
      <c r="Y451" s="144"/>
      <c r="Z451" s="144"/>
    </row>
    <row r="452" spans="1:26" x14ac:dyDescent="0.3">
      <c r="A452" s="144"/>
      <c r="B452" s="144"/>
      <c r="C452" s="144"/>
      <c r="D452" s="144"/>
      <c r="E452" s="144"/>
      <c r="F452" s="52"/>
      <c r="G452" s="52"/>
      <c r="H452" s="52"/>
      <c r="I452" s="52"/>
      <c r="J452" s="52"/>
      <c r="K452" s="144"/>
      <c r="L452" s="144"/>
      <c r="M452" s="144"/>
      <c r="N452" s="144"/>
      <c r="O452" s="144"/>
      <c r="P452" s="144"/>
      <c r="Q452" s="144"/>
      <c r="R452" s="144"/>
      <c r="S452" s="144"/>
      <c r="T452" s="144"/>
      <c r="U452" s="144"/>
      <c r="V452" s="144"/>
      <c r="W452" s="144"/>
      <c r="X452" s="144"/>
      <c r="Y452" s="144"/>
      <c r="Z452" s="144"/>
    </row>
    <row r="453" spans="1:26" x14ac:dyDescent="0.3">
      <c r="A453" s="144"/>
      <c r="B453" s="144"/>
      <c r="C453" s="144"/>
      <c r="D453" s="144"/>
      <c r="E453" s="144"/>
      <c r="F453" s="52"/>
      <c r="G453" s="52"/>
      <c r="H453" s="52"/>
      <c r="I453" s="52"/>
      <c r="J453" s="52"/>
      <c r="K453" s="144"/>
      <c r="L453" s="144"/>
      <c r="M453" s="144"/>
      <c r="N453" s="144"/>
      <c r="O453" s="144"/>
      <c r="P453" s="144"/>
      <c r="Q453" s="144"/>
      <c r="R453" s="144"/>
      <c r="S453" s="144"/>
      <c r="T453" s="144"/>
      <c r="U453" s="144"/>
      <c r="V453" s="144"/>
      <c r="W453" s="144"/>
      <c r="X453" s="144"/>
      <c r="Y453" s="144"/>
      <c r="Z453" s="144"/>
    </row>
    <row r="454" spans="1:26" x14ac:dyDescent="0.3">
      <c r="A454" s="144"/>
      <c r="B454" s="144"/>
      <c r="C454" s="144"/>
      <c r="D454" s="144"/>
      <c r="E454" s="144"/>
      <c r="F454" s="52"/>
      <c r="G454" s="52"/>
      <c r="H454" s="52"/>
      <c r="I454" s="52"/>
      <c r="J454" s="52"/>
      <c r="K454" s="144"/>
      <c r="L454" s="144"/>
      <c r="M454" s="144"/>
      <c r="N454" s="144"/>
      <c r="O454" s="144"/>
      <c r="P454" s="144"/>
      <c r="Q454" s="144"/>
      <c r="R454" s="144"/>
      <c r="S454" s="144"/>
      <c r="T454" s="144"/>
      <c r="U454" s="144"/>
      <c r="V454" s="144"/>
      <c r="W454" s="144"/>
      <c r="X454" s="144"/>
      <c r="Y454" s="144"/>
      <c r="Z454" s="144"/>
    </row>
    <row r="455" spans="1:26" x14ac:dyDescent="0.3">
      <c r="A455" s="144"/>
      <c r="B455" s="144"/>
      <c r="C455" s="144"/>
      <c r="D455" s="144"/>
      <c r="E455" s="144"/>
      <c r="F455" s="52"/>
      <c r="G455" s="52"/>
      <c r="H455" s="52"/>
      <c r="I455" s="52"/>
      <c r="J455" s="52"/>
      <c r="K455" s="144"/>
      <c r="L455" s="144"/>
      <c r="M455" s="144"/>
      <c r="N455" s="144"/>
      <c r="O455" s="144"/>
      <c r="P455" s="144"/>
      <c r="Q455" s="144"/>
      <c r="R455" s="144"/>
      <c r="S455" s="144"/>
      <c r="T455" s="144"/>
      <c r="U455" s="144"/>
      <c r="V455" s="144"/>
      <c r="W455" s="144"/>
      <c r="X455" s="144"/>
      <c r="Y455" s="144"/>
      <c r="Z455" s="144"/>
    </row>
    <row r="456" spans="1:26" x14ac:dyDescent="0.3">
      <c r="A456" s="144"/>
      <c r="B456" s="144"/>
      <c r="C456" s="144"/>
      <c r="D456" s="144"/>
      <c r="E456" s="144"/>
      <c r="F456" s="52"/>
      <c r="G456" s="52"/>
      <c r="H456" s="52"/>
      <c r="I456" s="52"/>
      <c r="J456" s="52"/>
      <c r="K456" s="144"/>
      <c r="L456" s="144"/>
      <c r="M456" s="144"/>
      <c r="N456" s="144"/>
      <c r="O456" s="144"/>
      <c r="P456" s="144"/>
      <c r="Q456" s="144"/>
      <c r="R456" s="144"/>
      <c r="S456" s="144"/>
      <c r="T456" s="144"/>
      <c r="U456" s="144"/>
      <c r="V456" s="144"/>
      <c r="W456" s="144"/>
      <c r="X456" s="144"/>
      <c r="Y456" s="144"/>
      <c r="Z456" s="144"/>
    </row>
    <row r="457" spans="1:26" x14ac:dyDescent="0.3">
      <c r="A457" s="144"/>
      <c r="B457" s="144"/>
      <c r="C457" s="144"/>
      <c r="D457" s="144"/>
      <c r="E457" s="144"/>
      <c r="F457" s="52"/>
      <c r="G457" s="52"/>
      <c r="H457" s="52"/>
      <c r="I457" s="52"/>
      <c r="J457" s="52"/>
      <c r="K457" s="144"/>
      <c r="L457" s="144"/>
      <c r="M457" s="144"/>
      <c r="N457" s="144"/>
      <c r="O457" s="144"/>
      <c r="P457" s="144"/>
      <c r="Q457" s="144"/>
      <c r="R457" s="144"/>
      <c r="S457" s="144"/>
      <c r="T457" s="144"/>
      <c r="U457" s="144"/>
      <c r="V457" s="144"/>
      <c r="W457" s="144"/>
      <c r="X457" s="144"/>
      <c r="Y457" s="144"/>
      <c r="Z457" s="144"/>
    </row>
    <row r="458" spans="1:26" x14ac:dyDescent="0.3">
      <c r="A458" s="144"/>
      <c r="B458" s="144"/>
      <c r="C458" s="144"/>
      <c r="D458" s="144"/>
      <c r="E458" s="144"/>
      <c r="F458" s="52"/>
      <c r="G458" s="52"/>
      <c r="H458" s="52"/>
      <c r="I458" s="52"/>
      <c r="J458" s="52"/>
      <c r="K458" s="144"/>
      <c r="L458" s="144"/>
      <c r="M458" s="144"/>
      <c r="N458" s="144"/>
      <c r="O458" s="144"/>
      <c r="P458" s="144"/>
      <c r="Q458" s="144"/>
      <c r="R458" s="144"/>
      <c r="S458" s="144"/>
      <c r="T458" s="144"/>
      <c r="U458" s="144"/>
      <c r="V458" s="144"/>
      <c r="W458" s="144"/>
      <c r="X458" s="144"/>
      <c r="Y458" s="144"/>
      <c r="Z458" s="144"/>
    </row>
    <row r="459" spans="1:26" x14ac:dyDescent="0.3">
      <c r="A459" s="144"/>
      <c r="B459" s="144"/>
      <c r="C459" s="144"/>
      <c r="D459" s="144"/>
      <c r="E459" s="144"/>
      <c r="F459" s="52"/>
      <c r="G459" s="52"/>
      <c r="H459" s="52"/>
      <c r="I459" s="52"/>
      <c r="J459" s="52"/>
      <c r="K459" s="144"/>
      <c r="L459" s="144"/>
      <c r="M459" s="144"/>
      <c r="N459" s="144"/>
      <c r="O459" s="144"/>
      <c r="P459" s="144"/>
      <c r="Q459" s="144"/>
      <c r="R459" s="144"/>
      <c r="S459" s="144"/>
      <c r="T459" s="144"/>
      <c r="U459" s="144"/>
      <c r="V459" s="144"/>
      <c r="W459" s="144"/>
      <c r="X459" s="144"/>
      <c r="Y459" s="144"/>
      <c r="Z459" s="144"/>
    </row>
    <row r="460" spans="1:26" x14ac:dyDescent="0.3">
      <c r="A460" s="144"/>
      <c r="B460" s="144"/>
      <c r="C460" s="144"/>
      <c r="D460" s="144"/>
      <c r="E460" s="144"/>
      <c r="F460" s="52"/>
      <c r="G460" s="52"/>
      <c r="H460" s="52"/>
      <c r="I460" s="52"/>
      <c r="J460" s="52"/>
      <c r="K460" s="144"/>
      <c r="L460" s="144"/>
      <c r="M460" s="144"/>
      <c r="N460" s="144"/>
      <c r="O460" s="144"/>
      <c r="P460" s="144"/>
      <c r="Q460" s="144"/>
      <c r="R460" s="144"/>
      <c r="S460" s="144"/>
      <c r="T460" s="144"/>
      <c r="U460" s="144"/>
      <c r="V460" s="144"/>
      <c r="W460" s="144"/>
      <c r="X460" s="144"/>
      <c r="Y460" s="144"/>
      <c r="Z460" s="144"/>
    </row>
    <row r="461" spans="1:26" x14ac:dyDescent="0.3">
      <c r="A461" s="144"/>
      <c r="B461" s="144"/>
      <c r="C461" s="144"/>
      <c r="D461" s="144"/>
      <c r="E461" s="144"/>
      <c r="F461" s="52"/>
      <c r="G461" s="52"/>
      <c r="H461" s="52"/>
      <c r="I461" s="52"/>
      <c r="J461" s="52"/>
      <c r="K461" s="144"/>
      <c r="L461" s="144"/>
      <c r="M461" s="144"/>
      <c r="N461" s="144"/>
      <c r="O461" s="144"/>
      <c r="P461" s="144"/>
      <c r="Q461" s="144"/>
      <c r="R461" s="144"/>
      <c r="S461" s="144"/>
      <c r="T461" s="144"/>
      <c r="U461" s="144"/>
      <c r="V461" s="144"/>
      <c r="W461" s="144"/>
      <c r="X461" s="144"/>
      <c r="Y461" s="144"/>
      <c r="Z461" s="144"/>
    </row>
    <row r="462" spans="1:26" x14ac:dyDescent="0.3">
      <c r="A462" s="144"/>
      <c r="B462" s="144"/>
      <c r="C462" s="144"/>
      <c r="D462" s="144"/>
      <c r="E462" s="144"/>
      <c r="F462" s="52"/>
      <c r="G462" s="52"/>
      <c r="H462" s="52"/>
      <c r="I462" s="52"/>
      <c r="J462" s="52"/>
      <c r="K462" s="144"/>
      <c r="L462" s="144"/>
      <c r="M462" s="144"/>
      <c r="N462" s="144"/>
      <c r="O462" s="144"/>
      <c r="P462" s="144"/>
      <c r="Q462" s="144"/>
      <c r="R462" s="144"/>
      <c r="S462" s="144"/>
      <c r="T462" s="144"/>
      <c r="U462" s="144"/>
      <c r="V462" s="144"/>
      <c r="W462" s="144"/>
      <c r="X462" s="144"/>
      <c r="Y462" s="144"/>
      <c r="Z462" s="144"/>
    </row>
    <row r="463" spans="1:26" x14ac:dyDescent="0.3">
      <c r="A463" s="144"/>
      <c r="B463" s="144"/>
      <c r="C463" s="144"/>
      <c r="D463" s="144"/>
      <c r="E463" s="144"/>
      <c r="F463" s="52"/>
      <c r="G463" s="52"/>
      <c r="H463" s="52"/>
      <c r="I463" s="52"/>
      <c r="J463" s="52"/>
      <c r="K463" s="144"/>
      <c r="L463" s="144"/>
      <c r="M463" s="144"/>
      <c r="N463" s="144"/>
      <c r="O463" s="144"/>
      <c r="P463" s="144"/>
      <c r="Q463" s="144"/>
      <c r="R463" s="144"/>
      <c r="S463" s="144"/>
      <c r="T463" s="144"/>
      <c r="U463" s="144"/>
      <c r="V463" s="144"/>
      <c r="W463" s="144"/>
      <c r="X463" s="144"/>
      <c r="Y463" s="144"/>
      <c r="Z463" s="144"/>
    </row>
    <row r="464" spans="1:26" x14ac:dyDescent="0.3">
      <c r="A464" s="144"/>
      <c r="B464" s="144"/>
      <c r="C464" s="144"/>
      <c r="D464" s="144"/>
      <c r="E464" s="144"/>
      <c r="F464" s="52"/>
      <c r="G464" s="52"/>
      <c r="H464" s="52"/>
      <c r="I464" s="52"/>
      <c r="J464" s="52"/>
      <c r="K464" s="144"/>
      <c r="L464" s="144"/>
      <c r="M464" s="144"/>
      <c r="N464" s="144"/>
      <c r="O464" s="144"/>
      <c r="P464" s="144"/>
      <c r="Q464" s="144"/>
      <c r="R464" s="144"/>
      <c r="S464" s="144"/>
      <c r="T464" s="144"/>
      <c r="U464" s="144"/>
      <c r="V464" s="144"/>
      <c r="W464" s="144"/>
      <c r="X464" s="144"/>
      <c r="Y464" s="144"/>
      <c r="Z464" s="144"/>
    </row>
    <row r="465" spans="1:26" x14ac:dyDescent="0.3">
      <c r="A465" s="144"/>
      <c r="B465" s="144"/>
      <c r="C465" s="144"/>
      <c r="D465" s="144"/>
      <c r="E465" s="144"/>
      <c r="F465" s="52"/>
      <c r="G465" s="52"/>
      <c r="H465" s="52"/>
      <c r="I465" s="52"/>
      <c r="J465" s="52"/>
      <c r="K465" s="144"/>
      <c r="L465" s="144"/>
      <c r="M465" s="144"/>
      <c r="N465" s="144"/>
      <c r="O465" s="144"/>
      <c r="P465" s="144"/>
      <c r="Q465" s="144"/>
      <c r="R465" s="144"/>
      <c r="S465" s="144"/>
      <c r="T465" s="144"/>
      <c r="U465" s="144"/>
      <c r="V465" s="144"/>
      <c r="W465" s="144"/>
      <c r="X465" s="144"/>
      <c r="Y465" s="144"/>
      <c r="Z465" s="144"/>
    </row>
    <row r="466" spans="1:26" x14ac:dyDescent="0.3">
      <c r="A466" s="144"/>
      <c r="B466" s="144"/>
      <c r="C466" s="144"/>
      <c r="D466" s="144"/>
      <c r="E466" s="144"/>
      <c r="F466" s="52"/>
      <c r="G466" s="52"/>
      <c r="H466" s="52"/>
      <c r="I466" s="52"/>
      <c r="J466" s="52"/>
      <c r="K466" s="144"/>
      <c r="L466" s="144"/>
      <c r="M466" s="144"/>
      <c r="N466" s="144"/>
      <c r="O466" s="144"/>
      <c r="P466" s="144"/>
      <c r="Q466" s="144"/>
      <c r="R466" s="144"/>
      <c r="S466" s="144"/>
      <c r="T466" s="144"/>
      <c r="U466" s="144"/>
      <c r="V466" s="144"/>
      <c r="W466" s="144"/>
      <c r="X466" s="144"/>
      <c r="Y466" s="144"/>
      <c r="Z466" s="144"/>
    </row>
    <row r="467" spans="1:26" x14ac:dyDescent="0.3">
      <c r="A467" s="144"/>
      <c r="B467" s="144"/>
      <c r="C467" s="144"/>
      <c r="D467" s="144"/>
      <c r="E467" s="144"/>
      <c r="F467" s="52"/>
      <c r="G467" s="52"/>
      <c r="H467" s="52"/>
      <c r="I467" s="52"/>
      <c r="J467" s="52"/>
      <c r="K467" s="144"/>
      <c r="L467" s="144"/>
      <c r="M467" s="144"/>
      <c r="N467" s="144"/>
      <c r="O467" s="144"/>
      <c r="P467" s="144"/>
      <c r="Q467" s="144"/>
      <c r="R467" s="144"/>
      <c r="S467" s="144"/>
      <c r="T467" s="144"/>
      <c r="U467" s="144"/>
      <c r="V467" s="144"/>
      <c r="W467" s="144"/>
      <c r="X467" s="144"/>
      <c r="Y467" s="144"/>
      <c r="Z467" s="144"/>
    </row>
    <row r="468" spans="1:26" x14ac:dyDescent="0.3">
      <c r="A468" s="144"/>
      <c r="B468" s="144"/>
      <c r="C468" s="144"/>
      <c r="D468" s="144"/>
      <c r="E468" s="144"/>
      <c r="F468" s="52"/>
      <c r="G468" s="52"/>
      <c r="H468" s="52"/>
      <c r="I468" s="52"/>
      <c r="J468" s="52"/>
      <c r="K468" s="144"/>
      <c r="L468" s="144"/>
      <c r="M468" s="144"/>
      <c r="N468" s="144"/>
      <c r="O468" s="144"/>
      <c r="P468" s="144"/>
      <c r="Q468" s="144"/>
      <c r="R468" s="144"/>
      <c r="S468" s="144"/>
      <c r="T468" s="144"/>
      <c r="U468" s="144"/>
      <c r="V468" s="144"/>
      <c r="W468" s="144"/>
      <c r="X468" s="144"/>
      <c r="Y468" s="144"/>
      <c r="Z468" s="144"/>
    </row>
    <row r="469" spans="1:26" x14ac:dyDescent="0.3">
      <c r="A469" s="144"/>
      <c r="B469" s="144"/>
      <c r="C469" s="144"/>
      <c r="D469" s="144"/>
      <c r="E469" s="144"/>
      <c r="F469" s="52"/>
      <c r="G469" s="52"/>
      <c r="H469" s="52"/>
      <c r="I469" s="52"/>
      <c r="J469" s="52"/>
      <c r="K469" s="144"/>
      <c r="L469" s="144"/>
      <c r="M469" s="144"/>
      <c r="N469" s="144"/>
      <c r="O469" s="144"/>
      <c r="P469" s="144"/>
      <c r="Q469" s="144"/>
      <c r="R469" s="144"/>
      <c r="S469" s="144"/>
      <c r="T469" s="144"/>
      <c r="U469" s="144"/>
      <c r="V469" s="144"/>
      <c r="W469" s="144"/>
      <c r="X469" s="144"/>
      <c r="Y469" s="144"/>
      <c r="Z469" s="144"/>
    </row>
    <row r="470" spans="1:26" x14ac:dyDescent="0.3">
      <c r="A470" s="144"/>
      <c r="B470" s="144"/>
      <c r="C470" s="144"/>
      <c r="D470" s="144"/>
      <c r="E470" s="144"/>
      <c r="F470" s="52"/>
      <c r="G470" s="52"/>
      <c r="H470" s="52"/>
      <c r="I470" s="52"/>
      <c r="J470" s="52"/>
      <c r="K470" s="144"/>
      <c r="L470" s="144"/>
      <c r="M470" s="144"/>
      <c r="N470" s="144"/>
      <c r="O470" s="144"/>
      <c r="P470" s="144"/>
      <c r="Q470" s="144"/>
      <c r="R470" s="144"/>
      <c r="S470" s="144"/>
      <c r="T470" s="144"/>
      <c r="U470" s="144"/>
      <c r="V470" s="144"/>
      <c r="W470" s="144"/>
      <c r="X470" s="144"/>
      <c r="Y470" s="144"/>
      <c r="Z470" s="144"/>
    </row>
    <row r="471" spans="1:26" x14ac:dyDescent="0.3">
      <c r="A471" s="144"/>
      <c r="B471" s="144"/>
      <c r="C471" s="144"/>
      <c r="D471" s="144"/>
      <c r="E471" s="144"/>
      <c r="F471" s="52"/>
      <c r="G471" s="52"/>
      <c r="H471" s="52"/>
      <c r="I471" s="52"/>
      <c r="J471" s="52"/>
      <c r="K471" s="144"/>
      <c r="L471" s="144"/>
      <c r="M471" s="144"/>
      <c r="N471" s="144"/>
      <c r="O471" s="144"/>
      <c r="P471" s="144"/>
      <c r="Q471" s="144"/>
      <c r="R471" s="144"/>
      <c r="S471" s="144"/>
      <c r="T471" s="144"/>
      <c r="U471" s="144"/>
      <c r="V471" s="144"/>
      <c r="W471" s="144"/>
      <c r="X471" s="144"/>
      <c r="Y471" s="144"/>
      <c r="Z471" s="144"/>
    </row>
    <row r="472" spans="1:26" x14ac:dyDescent="0.3">
      <c r="A472" s="144"/>
      <c r="B472" s="144"/>
      <c r="C472" s="144"/>
      <c r="D472" s="144"/>
      <c r="E472" s="144"/>
      <c r="F472" s="52"/>
      <c r="G472" s="52"/>
      <c r="H472" s="52"/>
      <c r="I472" s="52"/>
      <c r="J472" s="52"/>
      <c r="K472" s="144"/>
      <c r="L472" s="144"/>
      <c r="M472" s="144"/>
      <c r="N472" s="144"/>
      <c r="O472" s="144"/>
      <c r="P472" s="144"/>
      <c r="Q472" s="144"/>
      <c r="R472" s="144"/>
      <c r="S472" s="144"/>
      <c r="T472" s="144"/>
      <c r="U472" s="144"/>
      <c r="V472" s="144"/>
      <c r="W472" s="144"/>
      <c r="X472" s="144"/>
      <c r="Y472" s="144"/>
      <c r="Z472" s="144"/>
    </row>
    <row r="473" spans="1:26" x14ac:dyDescent="0.3">
      <c r="A473" s="144"/>
      <c r="B473" s="144"/>
      <c r="C473" s="144"/>
      <c r="D473" s="144"/>
      <c r="E473" s="144"/>
      <c r="F473" s="52"/>
      <c r="G473" s="52"/>
      <c r="H473" s="52"/>
      <c r="I473" s="52"/>
      <c r="J473" s="52"/>
      <c r="K473" s="144"/>
      <c r="L473" s="144"/>
      <c r="M473" s="144"/>
      <c r="N473" s="144"/>
      <c r="O473" s="144"/>
      <c r="P473" s="144"/>
      <c r="Q473" s="144"/>
      <c r="R473" s="144"/>
      <c r="S473" s="144"/>
      <c r="T473" s="144"/>
      <c r="U473" s="144"/>
      <c r="V473" s="144"/>
      <c r="W473" s="144"/>
      <c r="X473" s="144"/>
      <c r="Y473" s="144"/>
      <c r="Z473" s="144"/>
    </row>
    <row r="474" spans="1:26" x14ac:dyDescent="0.3">
      <c r="A474" s="144"/>
      <c r="B474" s="144"/>
      <c r="C474" s="144"/>
      <c r="D474" s="144"/>
      <c r="E474" s="144"/>
      <c r="F474" s="52"/>
      <c r="G474" s="52"/>
      <c r="H474" s="52"/>
      <c r="I474" s="52"/>
      <c r="J474" s="52"/>
      <c r="K474" s="144"/>
      <c r="L474" s="144"/>
      <c r="M474" s="144"/>
      <c r="N474" s="144"/>
      <c r="O474" s="144"/>
      <c r="P474" s="144"/>
      <c r="Q474" s="144"/>
      <c r="R474" s="144"/>
      <c r="S474" s="144"/>
      <c r="T474" s="144"/>
      <c r="U474" s="144"/>
      <c r="V474" s="144"/>
      <c r="W474" s="144"/>
      <c r="X474" s="144"/>
      <c r="Y474" s="144"/>
      <c r="Z474" s="144"/>
    </row>
    <row r="475" spans="1:26" x14ac:dyDescent="0.3">
      <c r="A475" s="144"/>
      <c r="B475" s="144"/>
      <c r="C475" s="144"/>
      <c r="D475" s="144"/>
      <c r="E475" s="144"/>
      <c r="F475" s="52"/>
      <c r="G475" s="52"/>
      <c r="H475" s="52"/>
      <c r="I475" s="52"/>
      <c r="J475" s="52"/>
      <c r="K475" s="144"/>
      <c r="L475" s="144"/>
      <c r="M475" s="144"/>
      <c r="N475" s="144"/>
      <c r="O475" s="144"/>
      <c r="P475" s="144"/>
      <c r="Q475" s="144"/>
      <c r="R475" s="144"/>
      <c r="S475" s="144"/>
      <c r="T475" s="144"/>
      <c r="U475" s="144"/>
      <c r="V475" s="144"/>
      <c r="W475" s="144"/>
      <c r="X475" s="144"/>
      <c r="Y475" s="144"/>
      <c r="Z475" s="144"/>
    </row>
    <row r="476" spans="1:26" x14ac:dyDescent="0.3">
      <c r="A476" s="144"/>
      <c r="B476" s="144"/>
      <c r="C476" s="144"/>
      <c r="D476" s="144"/>
      <c r="E476" s="144"/>
      <c r="F476" s="52"/>
      <c r="G476" s="52"/>
      <c r="H476" s="52"/>
      <c r="I476" s="52"/>
      <c r="J476" s="52"/>
      <c r="K476" s="144"/>
      <c r="L476" s="144"/>
      <c r="M476" s="144"/>
      <c r="N476" s="144"/>
      <c r="O476" s="144"/>
      <c r="P476" s="144"/>
      <c r="Q476" s="144"/>
      <c r="R476" s="144"/>
      <c r="S476" s="144"/>
      <c r="T476" s="144"/>
      <c r="U476" s="144"/>
      <c r="V476" s="144"/>
      <c r="W476" s="144"/>
      <c r="X476" s="144"/>
      <c r="Y476" s="144"/>
      <c r="Z476" s="144"/>
    </row>
    <row r="477" spans="1:26" x14ac:dyDescent="0.3">
      <c r="A477" s="144"/>
      <c r="B477" s="144"/>
      <c r="C477" s="144"/>
      <c r="D477" s="144"/>
      <c r="E477" s="144"/>
      <c r="F477" s="52"/>
      <c r="G477" s="52"/>
      <c r="H477" s="52"/>
      <c r="I477" s="52"/>
      <c r="J477" s="52"/>
      <c r="K477" s="144"/>
      <c r="L477" s="144"/>
      <c r="M477" s="144"/>
      <c r="N477" s="144"/>
      <c r="O477" s="144"/>
      <c r="P477" s="144"/>
      <c r="Q477" s="144"/>
      <c r="R477" s="144"/>
      <c r="S477" s="144"/>
      <c r="T477" s="144"/>
      <c r="U477" s="144"/>
      <c r="V477" s="144"/>
      <c r="W477" s="144"/>
      <c r="X477" s="144"/>
      <c r="Y477" s="144"/>
      <c r="Z477" s="144"/>
    </row>
    <row r="478" spans="1:26" x14ac:dyDescent="0.3">
      <c r="A478" s="144"/>
      <c r="B478" s="144"/>
      <c r="C478" s="144"/>
      <c r="D478" s="144"/>
      <c r="E478" s="144"/>
      <c r="F478" s="52"/>
      <c r="G478" s="52"/>
      <c r="H478" s="52"/>
      <c r="I478" s="52"/>
      <c r="J478" s="52"/>
      <c r="K478" s="144"/>
      <c r="L478" s="144"/>
      <c r="M478" s="144"/>
      <c r="N478" s="144"/>
      <c r="O478" s="144"/>
      <c r="P478" s="144"/>
      <c r="Q478" s="144"/>
      <c r="R478" s="144"/>
      <c r="S478" s="144"/>
      <c r="T478" s="144"/>
      <c r="U478" s="144"/>
      <c r="V478" s="144"/>
      <c r="W478" s="144"/>
      <c r="X478" s="144"/>
      <c r="Y478" s="144"/>
      <c r="Z478" s="144"/>
    </row>
    <row r="479" spans="1:26" x14ac:dyDescent="0.3">
      <c r="A479" s="144"/>
      <c r="B479" s="144"/>
      <c r="C479" s="144"/>
      <c r="D479" s="144"/>
      <c r="E479" s="144"/>
      <c r="F479" s="52"/>
      <c r="G479" s="52"/>
      <c r="H479" s="52"/>
      <c r="I479" s="52"/>
      <c r="J479" s="52"/>
      <c r="K479" s="144"/>
      <c r="L479" s="144"/>
      <c r="M479" s="144"/>
      <c r="N479" s="144"/>
      <c r="O479" s="144"/>
      <c r="P479" s="144"/>
      <c r="Q479" s="144"/>
      <c r="R479" s="144"/>
      <c r="S479" s="144"/>
      <c r="T479" s="144"/>
      <c r="U479" s="144"/>
      <c r="V479" s="144"/>
      <c r="W479" s="144"/>
      <c r="X479" s="144"/>
      <c r="Y479" s="144"/>
      <c r="Z479" s="144"/>
    </row>
    <row r="480" spans="1:26" x14ac:dyDescent="0.3">
      <c r="A480" s="144"/>
      <c r="B480" s="144"/>
      <c r="C480" s="144"/>
      <c r="D480" s="144"/>
      <c r="E480" s="144"/>
      <c r="F480" s="52"/>
      <c r="G480" s="52"/>
      <c r="H480" s="52"/>
      <c r="I480" s="52"/>
      <c r="J480" s="52"/>
      <c r="K480" s="144"/>
      <c r="L480" s="144"/>
      <c r="M480" s="144"/>
      <c r="N480" s="144"/>
      <c r="O480" s="144"/>
      <c r="P480" s="144"/>
      <c r="Q480" s="144"/>
      <c r="R480" s="144"/>
      <c r="S480" s="144"/>
      <c r="T480" s="144"/>
      <c r="U480" s="144"/>
      <c r="V480" s="144"/>
      <c r="W480" s="144"/>
      <c r="X480" s="144"/>
      <c r="Y480" s="144"/>
      <c r="Z480" s="144"/>
    </row>
    <row r="481" spans="1:26" x14ac:dyDescent="0.3">
      <c r="A481" s="144"/>
      <c r="B481" s="144"/>
      <c r="C481" s="144"/>
      <c r="D481" s="144"/>
      <c r="E481" s="144"/>
      <c r="F481" s="52"/>
      <c r="G481" s="52"/>
      <c r="H481" s="52"/>
      <c r="I481" s="52"/>
      <c r="J481" s="52"/>
      <c r="K481" s="144"/>
      <c r="L481" s="144"/>
      <c r="M481" s="144"/>
      <c r="N481" s="144"/>
      <c r="O481" s="144"/>
      <c r="P481" s="144"/>
      <c r="Q481" s="144"/>
      <c r="R481" s="144"/>
      <c r="S481" s="144"/>
      <c r="T481" s="144"/>
      <c r="U481" s="144"/>
      <c r="V481" s="144"/>
      <c r="W481" s="144"/>
      <c r="X481" s="144"/>
      <c r="Y481" s="144"/>
      <c r="Z481" s="144"/>
    </row>
    <row r="482" spans="1:26" x14ac:dyDescent="0.3">
      <c r="A482" s="144"/>
      <c r="B482" s="144"/>
      <c r="C482" s="144"/>
      <c r="D482" s="144"/>
      <c r="E482" s="144"/>
      <c r="F482" s="52"/>
      <c r="G482" s="52"/>
      <c r="H482" s="52"/>
      <c r="I482" s="52"/>
      <c r="J482" s="52"/>
      <c r="K482" s="144"/>
      <c r="L482" s="144"/>
      <c r="M482" s="144"/>
      <c r="N482" s="144"/>
      <c r="O482" s="144"/>
      <c r="P482" s="144"/>
      <c r="Q482" s="144"/>
      <c r="R482" s="144"/>
      <c r="S482" s="144"/>
      <c r="T482" s="144"/>
      <c r="U482" s="144"/>
      <c r="V482" s="144"/>
      <c r="W482" s="144"/>
      <c r="X482" s="144"/>
      <c r="Y482" s="144"/>
      <c r="Z482" s="144"/>
    </row>
    <row r="483" spans="1:26" x14ac:dyDescent="0.3">
      <c r="A483" s="144"/>
      <c r="B483" s="144"/>
      <c r="C483" s="144"/>
      <c r="D483" s="144"/>
      <c r="E483" s="144"/>
      <c r="F483" s="52"/>
      <c r="G483" s="52"/>
      <c r="H483" s="52"/>
      <c r="I483" s="52"/>
      <c r="J483" s="52"/>
      <c r="K483" s="144"/>
      <c r="L483" s="144"/>
      <c r="M483" s="144"/>
      <c r="N483" s="144"/>
      <c r="O483" s="144"/>
      <c r="P483" s="144"/>
      <c r="Q483" s="144"/>
      <c r="R483" s="144"/>
      <c r="S483" s="144"/>
      <c r="T483" s="144"/>
      <c r="U483" s="144"/>
      <c r="V483" s="144"/>
      <c r="W483" s="144"/>
      <c r="X483" s="144"/>
      <c r="Y483" s="144"/>
      <c r="Z483" s="144"/>
    </row>
    <row r="484" spans="1:26" x14ac:dyDescent="0.3">
      <c r="A484" s="144"/>
      <c r="B484" s="144"/>
      <c r="C484" s="144"/>
      <c r="D484" s="144"/>
      <c r="E484" s="144"/>
      <c r="F484" s="52"/>
      <c r="G484" s="52"/>
      <c r="H484" s="52"/>
      <c r="I484" s="52"/>
      <c r="J484" s="52"/>
      <c r="K484" s="144"/>
      <c r="L484" s="144"/>
      <c r="M484" s="144"/>
      <c r="N484" s="144"/>
      <c r="O484" s="144"/>
      <c r="P484" s="144"/>
      <c r="Q484" s="144"/>
      <c r="R484" s="144"/>
      <c r="S484" s="144"/>
      <c r="T484" s="144"/>
      <c r="U484" s="144"/>
      <c r="V484" s="144"/>
      <c r="W484" s="144"/>
      <c r="X484" s="144"/>
      <c r="Y484" s="144"/>
      <c r="Z484" s="144"/>
    </row>
    <row r="485" spans="1:26" x14ac:dyDescent="0.3">
      <c r="A485" s="144"/>
      <c r="B485" s="144"/>
      <c r="C485" s="144"/>
      <c r="D485" s="144"/>
      <c r="E485" s="144"/>
      <c r="F485" s="52"/>
      <c r="G485" s="52"/>
      <c r="H485" s="52"/>
      <c r="I485" s="52"/>
      <c r="J485" s="52"/>
      <c r="K485" s="144"/>
      <c r="L485" s="144"/>
      <c r="M485" s="144"/>
      <c r="N485" s="144"/>
      <c r="O485" s="144"/>
      <c r="P485" s="144"/>
      <c r="Q485" s="144"/>
      <c r="R485" s="144"/>
      <c r="S485" s="144"/>
      <c r="T485" s="144"/>
      <c r="U485" s="144"/>
      <c r="V485" s="144"/>
      <c r="W485" s="144"/>
      <c r="X485" s="144"/>
      <c r="Y485" s="144"/>
      <c r="Z485" s="144"/>
    </row>
    <row r="486" spans="1:26" x14ac:dyDescent="0.3">
      <c r="A486" s="144"/>
      <c r="B486" s="144"/>
      <c r="C486" s="144"/>
      <c r="D486" s="144"/>
      <c r="E486" s="144"/>
      <c r="F486" s="52"/>
      <c r="G486" s="52"/>
      <c r="H486" s="52"/>
      <c r="I486" s="52"/>
      <c r="J486" s="52"/>
      <c r="K486" s="144"/>
      <c r="L486" s="144"/>
      <c r="M486" s="144"/>
      <c r="N486" s="144"/>
      <c r="O486" s="144"/>
      <c r="P486" s="144"/>
      <c r="Q486" s="144"/>
      <c r="R486" s="144"/>
      <c r="S486" s="144"/>
      <c r="T486" s="144"/>
      <c r="U486" s="144"/>
      <c r="V486" s="144"/>
      <c r="W486" s="144"/>
      <c r="X486" s="144"/>
      <c r="Y486" s="144"/>
      <c r="Z486" s="144"/>
    </row>
    <row r="487" spans="1:26" x14ac:dyDescent="0.3">
      <c r="A487" s="144"/>
      <c r="B487" s="144"/>
      <c r="C487" s="144"/>
      <c r="D487" s="144"/>
      <c r="E487" s="144"/>
      <c r="F487" s="52"/>
      <c r="G487" s="52"/>
      <c r="H487" s="52"/>
      <c r="I487" s="52"/>
      <c r="J487" s="52"/>
      <c r="K487" s="144"/>
      <c r="L487" s="144"/>
      <c r="M487" s="144"/>
      <c r="N487" s="144"/>
      <c r="O487" s="144"/>
      <c r="P487" s="144"/>
      <c r="Q487" s="144"/>
      <c r="R487" s="144"/>
      <c r="S487" s="144"/>
      <c r="T487" s="144"/>
      <c r="U487" s="144"/>
      <c r="V487" s="144"/>
      <c r="W487" s="144"/>
      <c r="X487" s="144"/>
      <c r="Y487" s="144"/>
      <c r="Z487" s="144"/>
    </row>
    <row r="488" spans="1:26" x14ac:dyDescent="0.3">
      <c r="A488" s="144"/>
      <c r="B488" s="144"/>
      <c r="C488" s="144"/>
      <c r="D488" s="144"/>
      <c r="E488" s="144"/>
      <c r="F488" s="52"/>
      <c r="G488" s="52"/>
      <c r="H488" s="52"/>
      <c r="I488" s="52"/>
      <c r="J488" s="52"/>
      <c r="K488" s="144"/>
      <c r="L488" s="144"/>
      <c r="M488" s="144"/>
      <c r="N488" s="144"/>
      <c r="O488" s="144"/>
      <c r="P488" s="144"/>
      <c r="Q488" s="144"/>
      <c r="R488" s="144"/>
      <c r="S488" s="144"/>
      <c r="T488" s="144"/>
      <c r="U488" s="144"/>
      <c r="V488" s="144"/>
      <c r="W488" s="144"/>
      <c r="X488" s="144"/>
      <c r="Y488" s="144"/>
      <c r="Z488" s="144"/>
    </row>
    <row r="489" spans="1:26" x14ac:dyDescent="0.3">
      <c r="A489" s="144"/>
      <c r="B489" s="144"/>
      <c r="C489" s="144"/>
      <c r="D489" s="144"/>
      <c r="E489" s="144"/>
      <c r="F489" s="52"/>
      <c r="G489" s="52"/>
      <c r="H489" s="52"/>
      <c r="I489" s="52"/>
      <c r="J489" s="52"/>
      <c r="K489" s="144"/>
      <c r="L489" s="144"/>
      <c r="M489" s="144"/>
      <c r="N489" s="144"/>
      <c r="O489" s="144"/>
      <c r="P489" s="144"/>
      <c r="Q489" s="144"/>
      <c r="R489" s="144"/>
      <c r="S489" s="144"/>
      <c r="T489" s="144"/>
      <c r="U489" s="144"/>
      <c r="V489" s="144"/>
      <c r="W489" s="144"/>
      <c r="X489" s="144"/>
      <c r="Y489" s="144"/>
      <c r="Z489" s="144"/>
    </row>
    <row r="490" spans="1:26" x14ac:dyDescent="0.3">
      <c r="A490" s="144"/>
      <c r="B490" s="144"/>
      <c r="C490" s="144"/>
      <c r="D490" s="144"/>
      <c r="E490" s="144"/>
      <c r="F490" s="52"/>
      <c r="G490" s="52"/>
      <c r="H490" s="52"/>
      <c r="I490" s="52"/>
      <c r="J490" s="52"/>
      <c r="K490" s="144"/>
      <c r="L490" s="144"/>
      <c r="M490" s="144"/>
      <c r="N490" s="144"/>
      <c r="O490" s="144"/>
      <c r="P490" s="144"/>
      <c r="Q490" s="144"/>
      <c r="R490" s="144"/>
      <c r="S490" s="144"/>
      <c r="T490" s="144"/>
      <c r="U490" s="144"/>
      <c r="V490" s="144"/>
      <c r="W490" s="144"/>
      <c r="X490" s="144"/>
      <c r="Y490" s="144"/>
      <c r="Z490" s="144"/>
    </row>
    <row r="491" spans="1:26" x14ac:dyDescent="0.3">
      <c r="A491" s="144"/>
      <c r="B491" s="144"/>
      <c r="C491" s="144"/>
      <c r="D491" s="144"/>
      <c r="E491" s="144"/>
      <c r="F491" s="52"/>
      <c r="G491" s="52"/>
      <c r="H491" s="52"/>
      <c r="I491" s="52"/>
      <c r="J491" s="52"/>
      <c r="K491" s="144"/>
      <c r="L491" s="144"/>
      <c r="M491" s="144"/>
      <c r="N491" s="144"/>
      <c r="O491" s="144"/>
      <c r="P491" s="144"/>
      <c r="Q491" s="144"/>
      <c r="R491" s="144"/>
      <c r="S491" s="144"/>
      <c r="T491" s="144"/>
      <c r="U491" s="144"/>
      <c r="V491" s="144"/>
      <c r="W491" s="144"/>
      <c r="X491" s="144"/>
      <c r="Y491" s="144"/>
      <c r="Z491" s="144"/>
    </row>
    <row r="492" spans="1:26" x14ac:dyDescent="0.3">
      <c r="A492" s="144"/>
      <c r="B492" s="144"/>
      <c r="C492" s="144"/>
      <c r="D492" s="144"/>
      <c r="E492" s="144"/>
      <c r="F492" s="52"/>
      <c r="G492" s="52"/>
      <c r="H492" s="52"/>
      <c r="I492" s="52"/>
      <c r="J492" s="52"/>
      <c r="K492" s="144"/>
      <c r="L492" s="144"/>
      <c r="M492" s="144"/>
      <c r="N492" s="144"/>
      <c r="O492" s="144"/>
      <c r="P492" s="144"/>
      <c r="Q492" s="144"/>
      <c r="R492" s="144"/>
      <c r="S492" s="144"/>
      <c r="T492" s="144"/>
      <c r="U492" s="144"/>
      <c r="V492" s="144"/>
      <c r="W492" s="144"/>
      <c r="X492" s="144"/>
      <c r="Y492" s="144"/>
      <c r="Z492" s="144"/>
    </row>
    <row r="493" spans="1:26" x14ac:dyDescent="0.3">
      <c r="A493" s="144"/>
      <c r="B493" s="144"/>
      <c r="C493" s="144"/>
      <c r="D493" s="144"/>
      <c r="E493" s="144"/>
      <c r="F493" s="52"/>
      <c r="G493" s="52"/>
      <c r="H493" s="52"/>
      <c r="I493" s="52"/>
      <c r="J493" s="52"/>
      <c r="K493" s="144"/>
      <c r="L493" s="144"/>
      <c r="M493" s="144"/>
      <c r="N493" s="144"/>
      <c r="O493" s="144"/>
      <c r="P493" s="144"/>
      <c r="Q493" s="144"/>
      <c r="R493" s="144"/>
      <c r="S493" s="144"/>
      <c r="T493" s="144"/>
      <c r="U493" s="144"/>
      <c r="V493" s="144"/>
      <c r="W493" s="144"/>
      <c r="X493" s="144"/>
      <c r="Y493" s="144"/>
      <c r="Z493" s="144"/>
    </row>
    <row r="494" spans="1:26" x14ac:dyDescent="0.3">
      <c r="A494" s="144"/>
      <c r="B494" s="144"/>
      <c r="C494" s="144"/>
      <c r="D494" s="144"/>
      <c r="E494" s="144"/>
      <c r="F494" s="52"/>
      <c r="G494" s="52"/>
      <c r="H494" s="52"/>
      <c r="I494" s="52"/>
      <c r="J494" s="52"/>
      <c r="K494" s="144"/>
      <c r="L494" s="144"/>
      <c r="M494" s="144"/>
      <c r="N494" s="144"/>
      <c r="O494" s="144"/>
      <c r="P494" s="144"/>
      <c r="Q494" s="144"/>
      <c r="R494" s="144"/>
      <c r="S494" s="144"/>
      <c r="T494" s="144"/>
      <c r="U494" s="144"/>
      <c r="V494" s="144"/>
      <c r="W494" s="144"/>
      <c r="X494" s="144"/>
      <c r="Y494" s="144"/>
      <c r="Z494" s="144"/>
    </row>
    <row r="495" spans="1:26" x14ac:dyDescent="0.3">
      <c r="A495" s="144"/>
      <c r="B495" s="144"/>
      <c r="C495" s="144"/>
      <c r="D495" s="144"/>
      <c r="E495" s="144"/>
      <c r="F495" s="52"/>
      <c r="G495" s="52"/>
      <c r="H495" s="52"/>
      <c r="I495" s="52"/>
      <c r="J495" s="52"/>
      <c r="K495" s="144"/>
      <c r="L495" s="144"/>
      <c r="M495" s="144"/>
      <c r="N495" s="144"/>
      <c r="O495" s="144"/>
      <c r="P495" s="144"/>
      <c r="Q495" s="144"/>
      <c r="R495" s="144"/>
      <c r="S495" s="144"/>
      <c r="T495" s="144"/>
      <c r="U495" s="144"/>
      <c r="V495" s="144"/>
      <c r="W495" s="144"/>
      <c r="X495" s="144"/>
      <c r="Y495" s="144"/>
      <c r="Z495" s="144"/>
    </row>
    <row r="496" spans="1:26" x14ac:dyDescent="0.3">
      <c r="A496" s="144"/>
      <c r="B496" s="144"/>
      <c r="C496" s="144"/>
      <c r="D496" s="144"/>
      <c r="E496" s="144"/>
      <c r="F496" s="52"/>
      <c r="G496" s="52"/>
      <c r="H496" s="52"/>
      <c r="I496" s="52"/>
      <c r="J496" s="52"/>
      <c r="K496" s="144"/>
      <c r="L496" s="144"/>
      <c r="M496" s="144"/>
      <c r="N496" s="144"/>
      <c r="O496" s="144"/>
      <c r="P496" s="144"/>
      <c r="Q496" s="144"/>
      <c r="R496" s="144"/>
      <c r="S496" s="144"/>
      <c r="T496" s="144"/>
      <c r="U496" s="144"/>
      <c r="V496" s="144"/>
      <c r="W496" s="144"/>
      <c r="X496" s="144"/>
      <c r="Y496" s="144"/>
      <c r="Z496" s="144"/>
    </row>
    <row r="497" spans="1:26" x14ac:dyDescent="0.3">
      <c r="A497" s="144"/>
      <c r="B497" s="144"/>
      <c r="C497" s="144"/>
      <c r="D497" s="144"/>
      <c r="E497" s="144"/>
      <c r="F497" s="52"/>
      <c r="G497" s="52"/>
      <c r="H497" s="52"/>
      <c r="I497" s="52"/>
      <c r="J497" s="52"/>
      <c r="K497" s="144"/>
      <c r="L497" s="144"/>
      <c r="M497" s="144"/>
      <c r="N497" s="144"/>
      <c r="O497" s="144"/>
      <c r="P497" s="144"/>
      <c r="Q497" s="144"/>
      <c r="R497" s="144"/>
      <c r="S497" s="144"/>
      <c r="T497" s="144"/>
      <c r="U497" s="144"/>
      <c r="V497" s="144"/>
      <c r="W497" s="144"/>
      <c r="X497" s="144"/>
      <c r="Y497" s="144"/>
      <c r="Z497" s="144"/>
    </row>
    <row r="498" spans="1:26" x14ac:dyDescent="0.3">
      <c r="A498" s="144"/>
      <c r="B498" s="144"/>
      <c r="C498" s="144"/>
      <c r="D498" s="144"/>
      <c r="E498" s="144"/>
      <c r="F498" s="52"/>
      <c r="G498" s="52"/>
      <c r="H498" s="52"/>
      <c r="I498" s="52"/>
      <c r="J498" s="52"/>
      <c r="K498" s="144"/>
      <c r="L498" s="144"/>
      <c r="M498" s="144"/>
      <c r="N498" s="144"/>
      <c r="O498" s="144"/>
      <c r="P498" s="144"/>
      <c r="Q498" s="144"/>
      <c r="R498" s="144"/>
      <c r="S498" s="144"/>
      <c r="T498" s="144"/>
      <c r="U498" s="144"/>
      <c r="V498" s="144"/>
      <c r="W498" s="144"/>
      <c r="X498" s="144"/>
      <c r="Y498" s="144"/>
      <c r="Z498" s="144"/>
    </row>
    <row r="499" spans="1:26" x14ac:dyDescent="0.3">
      <c r="A499" s="144"/>
      <c r="B499" s="144"/>
      <c r="C499" s="144"/>
      <c r="D499" s="144"/>
      <c r="E499" s="144"/>
      <c r="F499" s="52"/>
      <c r="G499" s="52"/>
      <c r="H499" s="52"/>
      <c r="I499" s="52"/>
      <c r="J499" s="52"/>
      <c r="K499" s="144"/>
      <c r="L499" s="144"/>
      <c r="M499" s="144"/>
      <c r="N499" s="144"/>
      <c r="O499" s="144"/>
      <c r="P499" s="144"/>
      <c r="Q499" s="144"/>
      <c r="R499" s="144"/>
      <c r="S499" s="144"/>
      <c r="T499" s="144"/>
      <c r="U499" s="144"/>
      <c r="V499" s="144"/>
      <c r="W499" s="144"/>
      <c r="X499" s="144"/>
      <c r="Y499" s="144"/>
      <c r="Z499" s="144"/>
    </row>
    <row r="500" spans="1:26" x14ac:dyDescent="0.3">
      <c r="A500" s="144"/>
      <c r="B500" s="144"/>
      <c r="C500" s="144"/>
      <c r="D500" s="144"/>
      <c r="E500" s="144"/>
      <c r="F500" s="52"/>
      <c r="G500" s="52"/>
      <c r="H500" s="52"/>
      <c r="I500" s="52"/>
      <c r="J500" s="52"/>
      <c r="K500" s="144"/>
      <c r="L500" s="144"/>
      <c r="M500" s="144"/>
      <c r="N500" s="144"/>
      <c r="O500" s="144"/>
      <c r="P500" s="144"/>
      <c r="Q500" s="144"/>
      <c r="R500" s="144"/>
      <c r="S500" s="144"/>
      <c r="T500" s="144"/>
      <c r="U500" s="144"/>
      <c r="V500" s="144"/>
      <c r="W500" s="144"/>
      <c r="X500" s="144"/>
      <c r="Y500" s="144"/>
      <c r="Z500" s="144"/>
    </row>
    <row r="501" spans="1:26" x14ac:dyDescent="0.3">
      <c r="A501" s="144"/>
      <c r="B501" s="144"/>
      <c r="C501" s="144"/>
      <c r="D501" s="144"/>
      <c r="E501" s="144"/>
      <c r="F501" s="52"/>
      <c r="G501" s="52"/>
      <c r="H501" s="52"/>
      <c r="I501" s="52"/>
      <c r="J501" s="52"/>
      <c r="K501" s="144"/>
      <c r="L501" s="144"/>
      <c r="M501" s="144"/>
      <c r="N501" s="144"/>
      <c r="O501" s="144"/>
      <c r="P501" s="144"/>
      <c r="Q501" s="144"/>
      <c r="R501" s="144"/>
      <c r="S501" s="144"/>
      <c r="T501" s="144"/>
      <c r="U501" s="144"/>
      <c r="V501" s="144"/>
      <c r="W501" s="144"/>
      <c r="X501" s="144"/>
      <c r="Y501" s="144"/>
      <c r="Z501" s="144"/>
    </row>
    <row r="502" spans="1:26" x14ac:dyDescent="0.3">
      <c r="A502" s="144"/>
      <c r="B502" s="144"/>
      <c r="C502" s="144"/>
      <c r="D502" s="144"/>
      <c r="E502" s="144"/>
      <c r="F502" s="52"/>
      <c r="G502" s="52"/>
      <c r="H502" s="52"/>
      <c r="I502" s="52"/>
      <c r="J502" s="52"/>
      <c r="K502" s="144"/>
      <c r="L502" s="144"/>
      <c r="M502" s="144"/>
      <c r="N502" s="144"/>
      <c r="O502" s="144"/>
      <c r="P502" s="144"/>
      <c r="Q502" s="144"/>
      <c r="R502" s="144"/>
      <c r="S502" s="144"/>
      <c r="T502" s="144"/>
      <c r="U502" s="144"/>
      <c r="V502" s="144"/>
      <c r="W502" s="144"/>
      <c r="X502" s="144"/>
      <c r="Y502" s="144"/>
      <c r="Z502" s="144"/>
    </row>
    <row r="503" spans="1:26" x14ac:dyDescent="0.3">
      <c r="A503" s="144"/>
      <c r="B503" s="144"/>
      <c r="C503" s="144"/>
      <c r="D503" s="144"/>
      <c r="E503" s="144"/>
      <c r="F503" s="52"/>
      <c r="G503" s="52"/>
      <c r="H503" s="52"/>
      <c r="I503" s="52"/>
      <c r="J503" s="52"/>
      <c r="K503" s="144"/>
      <c r="L503" s="144"/>
      <c r="M503" s="144"/>
      <c r="N503" s="144"/>
      <c r="O503" s="144"/>
      <c r="P503" s="144"/>
      <c r="Q503" s="144"/>
      <c r="R503" s="144"/>
      <c r="S503" s="144"/>
      <c r="T503" s="144"/>
      <c r="U503" s="144"/>
      <c r="V503" s="144"/>
      <c r="W503" s="144"/>
      <c r="X503" s="144"/>
      <c r="Y503" s="144"/>
      <c r="Z503" s="144"/>
    </row>
    <row r="504" spans="1:26" x14ac:dyDescent="0.3">
      <c r="A504" s="144"/>
      <c r="B504" s="144"/>
      <c r="C504" s="144"/>
      <c r="D504" s="144"/>
      <c r="E504" s="144"/>
      <c r="F504" s="52"/>
      <c r="G504" s="52"/>
      <c r="H504" s="52"/>
      <c r="I504" s="52"/>
      <c r="J504" s="52"/>
      <c r="K504" s="144"/>
      <c r="L504" s="144"/>
      <c r="M504" s="144"/>
      <c r="N504" s="144"/>
      <c r="O504" s="144"/>
      <c r="P504" s="144"/>
      <c r="Q504" s="144"/>
      <c r="R504" s="144"/>
      <c r="S504" s="144"/>
      <c r="T504" s="144"/>
      <c r="U504" s="144"/>
      <c r="V504" s="144"/>
      <c r="W504" s="144"/>
      <c r="X504" s="144"/>
      <c r="Y504" s="144"/>
      <c r="Z504" s="144"/>
    </row>
    <row r="505" spans="1:26" x14ac:dyDescent="0.3">
      <c r="A505" s="144"/>
      <c r="B505" s="144"/>
      <c r="C505" s="144"/>
      <c r="D505" s="144"/>
      <c r="E505" s="144"/>
      <c r="F505" s="52"/>
      <c r="G505" s="52"/>
      <c r="H505" s="52"/>
      <c r="I505" s="52"/>
      <c r="J505" s="52"/>
      <c r="K505" s="144"/>
      <c r="L505" s="144"/>
      <c r="M505" s="144"/>
      <c r="N505" s="144"/>
      <c r="O505" s="144"/>
      <c r="P505" s="144"/>
      <c r="Q505" s="144"/>
      <c r="R505" s="144"/>
      <c r="S505" s="144"/>
      <c r="T505" s="144"/>
      <c r="U505" s="144"/>
      <c r="V505" s="144"/>
      <c r="W505" s="144"/>
      <c r="X505" s="144"/>
      <c r="Y505" s="144"/>
      <c r="Z505" s="144"/>
    </row>
    <row r="506" spans="1:26" x14ac:dyDescent="0.3">
      <c r="A506" s="144"/>
      <c r="B506" s="144"/>
      <c r="C506" s="144"/>
      <c r="D506" s="144"/>
      <c r="E506" s="144"/>
      <c r="F506" s="52"/>
      <c r="G506" s="52"/>
      <c r="H506" s="52"/>
      <c r="I506" s="52"/>
      <c r="J506" s="52"/>
      <c r="K506" s="144"/>
      <c r="L506" s="144"/>
      <c r="M506" s="144"/>
      <c r="N506" s="144"/>
      <c r="O506" s="144"/>
      <c r="P506" s="144"/>
      <c r="Q506" s="144"/>
      <c r="R506" s="144"/>
      <c r="S506" s="144"/>
      <c r="T506" s="144"/>
      <c r="U506" s="144"/>
      <c r="V506" s="144"/>
      <c r="W506" s="144"/>
      <c r="X506" s="144"/>
      <c r="Y506" s="144"/>
      <c r="Z506" s="144"/>
    </row>
    <row r="507" spans="1:26" x14ac:dyDescent="0.3">
      <c r="A507" s="144"/>
      <c r="B507" s="144"/>
      <c r="C507" s="144"/>
      <c r="D507" s="144"/>
      <c r="E507" s="144"/>
      <c r="F507" s="52"/>
      <c r="G507" s="52"/>
      <c r="H507" s="52"/>
      <c r="I507" s="52"/>
      <c r="J507" s="52"/>
      <c r="K507" s="144"/>
      <c r="L507" s="144"/>
      <c r="M507" s="144"/>
      <c r="N507" s="144"/>
      <c r="O507" s="144"/>
      <c r="P507" s="144"/>
      <c r="Q507" s="144"/>
      <c r="R507" s="144"/>
      <c r="S507" s="144"/>
      <c r="T507" s="144"/>
      <c r="U507" s="144"/>
      <c r="V507" s="144"/>
      <c r="W507" s="144"/>
      <c r="X507" s="144"/>
      <c r="Y507" s="144"/>
      <c r="Z507" s="144"/>
    </row>
    <row r="508" spans="1:26" x14ac:dyDescent="0.3">
      <c r="A508" s="144"/>
      <c r="B508" s="144"/>
      <c r="C508" s="144"/>
      <c r="D508" s="144"/>
      <c r="E508" s="144"/>
      <c r="F508" s="52"/>
      <c r="G508" s="52"/>
      <c r="H508" s="52"/>
      <c r="I508" s="52"/>
      <c r="J508" s="52"/>
      <c r="K508" s="144"/>
      <c r="L508" s="144"/>
      <c r="M508" s="144"/>
      <c r="N508" s="144"/>
      <c r="O508" s="144"/>
      <c r="P508" s="144"/>
      <c r="Q508" s="144"/>
      <c r="R508" s="144"/>
      <c r="S508" s="144"/>
      <c r="T508" s="144"/>
      <c r="U508" s="144"/>
      <c r="V508" s="144"/>
      <c r="W508" s="144"/>
      <c r="X508" s="144"/>
      <c r="Y508" s="144"/>
      <c r="Z508" s="144"/>
    </row>
    <row r="509" spans="1:26" x14ac:dyDescent="0.3">
      <c r="A509" s="144"/>
      <c r="B509" s="144"/>
      <c r="C509" s="144"/>
      <c r="D509" s="144"/>
      <c r="E509" s="144"/>
      <c r="F509" s="52"/>
      <c r="G509" s="52"/>
      <c r="H509" s="52"/>
      <c r="I509" s="52"/>
      <c r="J509" s="52"/>
      <c r="K509" s="144"/>
      <c r="L509" s="144"/>
      <c r="M509" s="144"/>
      <c r="N509" s="144"/>
      <c r="O509" s="144"/>
      <c r="P509" s="144"/>
      <c r="Q509" s="144"/>
      <c r="R509" s="144"/>
      <c r="S509" s="144"/>
      <c r="T509" s="144"/>
      <c r="U509" s="144"/>
      <c r="V509" s="144"/>
      <c r="W509" s="144"/>
      <c r="X509" s="144"/>
      <c r="Y509" s="144"/>
      <c r="Z509" s="144"/>
    </row>
    <row r="510" spans="1:26" x14ac:dyDescent="0.3">
      <c r="A510" s="144"/>
      <c r="B510" s="144"/>
      <c r="C510" s="144"/>
      <c r="D510" s="144"/>
      <c r="E510" s="144"/>
      <c r="F510" s="52"/>
      <c r="G510" s="52"/>
      <c r="H510" s="52"/>
      <c r="I510" s="52"/>
      <c r="J510" s="52"/>
      <c r="K510" s="144"/>
      <c r="L510" s="144"/>
      <c r="M510" s="144"/>
      <c r="N510" s="144"/>
      <c r="O510" s="144"/>
      <c r="P510" s="144"/>
      <c r="Q510" s="144"/>
      <c r="R510" s="144"/>
      <c r="S510" s="144"/>
      <c r="T510" s="144"/>
      <c r="U510" s="144"/>
      <c r="V510" s="144"/>
      <c r="W510" s="144"/>
      <c r="X510" s="144"/>
      <c r="Y510" s="144"/>
      <c r="Z510" s="144"/>
    </row>
    <row r="511" spans="1:26" x14ac:dyDescent="0.3">
      <c r="A511" s="144"/>
      <c r="B511" s="144"/>
      <c r="C511" s="144"/>
      <c r="D511" s="144"/>
      <c r="E511" s="144"/>
      <c r="F511" s="52"/>
      <c r="G511" s="52"/>
      <c r="H511" s="52"/>
      <c r="I511" s="52"/>
      <c r="J511" s="52"/>
      <c r="K511" s="144"/>
      <c r="L511" s="144"/>
      <c r="M511" s="144"/>
      <c r="N511" s="144"/>
      <c r="O511" s="144"/>
      <c r="P511" s="144"/>
      <c r="Q511" s="144"/>
      <c r="R511" s="144"/>
      <c r="S511" s="144"/>
      <c r="T511" s="144"/>
      <c r="U511" s="144"/>
      <c r="V511" s="144"/>
      <c r="W511" s="144"/>
      <c r="X511" s="144"/>
      <c r="Y511" s="144"/>
      <c r="Z511" s="144"/>
    </row>
    <row r="512" spans="1:26" x14ac:dyDescent="0.3">
      <c r="A512" s="144"/>
      <c r="B512" s="144"/>
      <c r="C512" s="144"/>
      <c r="D512" s="144"/>
      <c r="E512" s="144"/>
      <c r="F512" s="52"/>
      <c r="G512" s="52"/>
      <c r="H512" s="52"/>
      <c r="I512" s="52"/>
      <c r="J512" s="52"/>
      <c r="K512" s="144"/>
      <c r="L512" s="144"/>
      <c r="M512" s="144"/>
      <c r="N512" s="144"/>
      <c r="O512" s="144"/>
      <c r="P512" s="144"/>
      <c r="Q512" s="144"/>
      <c r="R512" s="144"/>
      <c r="S512" s="144"/>
      <c r="T512" s="144"/>
      <c r="U512" s="144"/>
      <c r="V512" s="144"/>
      <c r="W512" s="144"/>
      <c r="X512" s="144"/>
      <c r="Y512" s="144"/>
      <c r="Z512" s="144"/>
    </row>
    <row r="513" spans="1:26" x14ac:dyDescent="0.3">
      <c r="A513" s="144"/>
      <c r="B513" s="144"/>
      <c r="C513" s="144"/>
      <c r="D513" s="144"/>
      <c r="E513" s="144"/>
      <c r="F513" s="52"/>
      <c r="G513" s="52"/>
      <c r="H513" s="52"/>
      <c r="I513" s="52"/>
      <c r="J513" s="52"/>
      <c r="K513" s="144"/>
      <c r="L513" s="144"/>
      <c r="M513" s="144"/>
      <c r="N513" s="144"/>
      <c r="O513" s="144"/>
      <c r="P513" s="144"/>
      <c r="Q513" s="144"/>
      <c r="R513" s="144"/>
      <c r="S513" s="144"/>
      <c r="T513" s="144"/>
      <c r="U513" s="144"/>
      <c r="V513" s="144"/>
      <c r="W513" s="144"/>
      <c r="X513" s="144"/>
      <c r="Y513" s="144"/>
      <c r="Z513" s="144"/>
    </row>
    <row r="514" spans="1:26" x14ac:dyDescent="0.3">
      <c r="A514" s="144"/>
      <c r="B514" s="144"/>
      <c r="C514" s="144"/>
      <c r="D514" s="144"/>
      <c r="E514" s="144"/>
      <c r="F514" s="52"/>
      <c r="G514" s="52"/>
      <c r="H514" s="52"/>
      <c r="I514" s="52"/>
      <c r="J514" s="52"/>
      <c r="K514" s="144"/>
      <c r="L514" s="144"/>
      <c r="M514" s="144"/>
      <c r="N514" s="144"/>
      <c r="O514" s="144"/>
      <c r="P514" s="144"/>
      <c r="Q514" s="144"/>
      <c r="R514" s="144"/>
      <c r="S514" s="144"/>
      <c r="T514" s="144"/>
      <c r="U514" s="144"/>
      <c r="V514" s="144"/>
      <c r="W514" s="144"/>
      <c r="X514" s="144"/>
      <c r="Y514" s="144"/>
      <c r="Z514" s="144"/>
    </row>
    <row r="515" spans="1:26" x14ac:dyDescent="0.3">
      <c r="A515" s="144"/>
      <c r="B515" s="144"/>
      <c r="C515" s="144"/>
      <c r="D515" s="144"/>
      <c r="E515" s="144"/>
      <c r="F515" s="52"/>
      <c r="G515" s="52"/>
      <c r="H515" s="52"/>
      <c r="I515" s="52"/>
      <c r="J515" s="52"/>
      <c r="K515" s="144"/>
      <c r="L515" s="144"/>
      <c r="M515" s="144"/>
      <c r="N515" s="144"/>
      <c r="O515" s="144"/>
      <c r="P515" s="144"/>
      <c r="Q515" s="144"/>
      <c r="R515" s="144"/>
      <c r="S515" s="144"/>
      <c r="T515" s="144"/>
      <c r="U515" s="144"/>
      <c r="V515" s="144"/>
      <c r="W515" s="144"/>
      <c r="X515" s="144"/>
      <c r="Y515" s="144"/>
      <c r="Z515" s="144"/>
    </row>
    <row r="516" spans="1:26" x14ac:dyDescent="0.3">
      <c r="A516" s="144"/>
      <c r="B516" s="144"/>
      <c r="C516" s="144"/>
      <c r="D516" s="144"/>
      <c r="E516" s="144"/>
      <c r="F516" s="52"/>
      <c r="G516" s="52"/>
      <c r="H516" s="52"/>
      <c r="I516" s="52"/>
      <c r="J516" s="52"/>
      <c r="K516" s="144"/>
      <c r="L516" s="144"/>
      <c r="M516" s="144"/>
      <c r="N516" s="144"/>
      <c r="O516" s="144"/>
      <c r="P516" s="144"/>
      <c r="Q516" s="144"/>
      <c r="R516" s="144"/>
      <c r="S516" s="144"/>
      <c r="T516" s="144"/>
      <c r="U516" s="144"/>
      <c r="V516" s="144"/>
      <c r="W516" s="144"/>
      <c r="X516" s="144"/>
      <c r="Y516" s="144"/>
      <c r="Z516" s="144"/>
    </row>
    <row r="517" spans="1:26" x14ac:dyDescent="0.3">
      <c r="A517" s="144"/>
      <c r="B517" s="144"/>
      <c r="C517" s="144"/>
      <c r="D517" s="144"/>
      <c r="E517" s="144"/>
      <c r="F517" s="52"/>
      <c r="G517" s="52"/>
      <c r="H517" s="52"/>
      <c r="I517" s="52"/>
      <c r="J517" s="52"/>
      <c r="K517" s="144"/>
      <c r="L517" s="144"/>
      <c r="M517" s="144"/>
      <c r="N517" s="144"/>
      <c r="O517" s="144"/>
      <c r="P517" s="144"/>
      <c r="Q517" s="144"/>
      <c r="R517" s="144"/>
      <c r="S517" s="144"/>
      <c r="T517" s="144"/>
      <c r="U517" s="144"/>
      <c r="V517" s="144"/>
      <c r="W517" s="144"/>
      <c r="X517" s="144"/>
      <c r="Y517" s="144"/>
      <c r="Z517" s="144"/>
    </row>
    <row r="518" spans="1:26" x14ac:dyDescent="0.3">
      <c r="A518" s="144"/>
      <c r="B518" s="144"/>
      <c r="C518" s="144"/>
      <c r="D518" s="144"/>
      <c r="E518" s="144"/>
      <c r="F518" s="52"/>
      <c r="G518" s="52"/>
      <c r="H518" s="52"/>
      <c r="I518" s="52"/>
      <c r="J518" s="52"/>
      <c r="K518" s="144"/>
      <c r="L518" s="144"/>
      <c r="M518" s="144"/>
      <c r="N518" s="144"/>
      <c r="O518" s="144"/>
      <c r="P518" s="144"/>
      <c r="Q518" s="144"/>
      <c r="R518" s="144"/>
      <c r="S518" s="144"/>
      <c r="T518" s="144"/>
      <c r="U518" s="144"/>
      <c r="V518" s="144"/>
      <c r="W518" s="144"/>
      <c r="X518" s="144"/>
      <c r="Y518" s="144"/>
      <c r="Z518" s="144"/>
    </row>
    <row r="519" spans="1:26" x14ac:dyDescent="0.3">
      <c r="A519" s="144"/>
      <c r="B519" s="144"/>
      <c r="C519" s="144"/>
      <c r="D519" s="144"/>
      <c r="E519" s="144"/>
      <c r="F519" s="52"/>
      <c r="G519" s="52"/>
      <c r="H519" s="52"/>
      <c r="I519" s="52"/>
      <c r="J519" s="52"/>
      <c r="K519" s="144"/>
      <c r="L519" s="144"/>
      <c r="M519" s="144"/>
      <c r="N519" s="144"/>
      <c r="O519" s="144"/>
      <c r="P519" s="144"/>
      <c r="Q519" s="144"/>
      <c r="R519" s="144"/>
      <c r="S519" s="144"/>
      <c r="T519" s="144"/>
      <c r="U519" s="144"/>
      <c r="V519" s="144"/>
      <c r="W519" s="144"/>
      <c r="X519" s="144"/>
      <c r="Y519" s="144"/>
      <c r="Z519" s="144"/>
    </row>
    <row r="520" spans="1:26" x14ac:dyDescent="0.3">
      <c r="A520" s="144"/>
      <c r="B520" s="144"/>
      <c r="C520" s="144"/>
      <c r="D520" s="144"/>
      <c r="E520" s="144"/>
      <c r="F520" s="52"/>
      <c r="G520" s="52"/>
      <c r="H520" s="52"/>
      <c r="I520" s="52"/>
      <c r="J520" s="52"/>
      <c r="K520" s="144"/>
      <c r="L520" s="144"/>
      <c r="M520" s="144"/>
      <c r="N520" s="144"/>
      <c r="O520" s="144"/>
      <c r="P520" s="144"/>
      <c r="Q520" s="144"/>
      <c r="R520" s="144"/>
      <c r="S520" s="144"/>
      <c r="T520" s="144"/>
      <c r="U520" s="144"/>
      <c r="V520" s="144"/>
      <c r="W520" s="144"/>
      <c r="X520" s="144"/>
      <c r="Y520" s="144"/>
      <c r="Z520" s="144"/>
    </row>
    <row r="521" spans="1:26" x14ac:dyDescent="0.3">
      <c r="A521" s="144"/>
      <c r="B521" s="144"/>
      <c r="C521" s="144"/>
      <c r="D521" s="144"/>
      <c r="E521" s="144"/>
      <c r="F521" s="52"/>
      <c r="G521" s="52"/>
      <c r="H521" s="52"/>
      <c r="I521" s="52"/>
      <c r="J521" s="52"/>
      <c r="K521" s="144"/>
      <c r="L521" s="144"/>
      <c r="M521" s="144"/>
      <c r="N521" s="144"/>
      <c r="O521" s="144"/>
      <c r="P521" s="144"/>
      <c r="Q521" s="144"/>
      <c r="R521" s="144"/>
      <c r="S521" s="144"/>
      <c r="T521" s="144"/>
      <c r="U521" s="144"/>
      <c r="V521" s="144"/>
      <c r="W521" s="144"/>
      <c r="X521" s="144"/>
      <c r="Y521" s="144"/>
      <c r="Z521" s="144"/>
    </row>
    <row r="522" spans="1:26" x14ac:dyDescent="0.3">
      <c r="A522" s="144"/>
      <c r="B522" s="144"/>
      <c r="C522" s="144"/>
      <c r="D522" s="144"/>
      <c r="E522" s="144"/>
      <c r="F522" s="52"/>
      <c r="G522" s="52"/>
      <c r="H522" s="52"/>
      <c r="I522" s="52"/>
      <c r="J522" s="52"/>
      <c r="K522" s="144"/>
      <c r="L522" s="144"/>
      <c r="M522" s="144"/>
      <c r="N522" s="144"/>
      <c r="O522" s="144"/>
      <c r="P522" s="144"/>
      <c r="Q522" s="144"/>
      <c r="R522" s="144"/>
      <c r="S522" s="144"/>
      <c r="T522" s="144"/>
      <c r="U522" s="144"/>
      <c r="V522" s="144"/>
      <c r="W522" s="144"/>
      <c r="X522" s="144"/>
      <c r="Y522" s="144"/>
      <c r="Z522" s="144"/>
    </row>
    <row r="523" spans="1:26" x14ac:dyDescent="0.3">
      <c r="A523" s="144"/>
      <c r="B523" s="144"/>
      <c r="C523" s="144"/>
      <c r="D523" s="144"/>
      <c r="E523" s="144"/>
      <c r="F523" s="52"/>
      <c r="G523" s="52"/>
      <c r="H523" s="52"/>
      <c r="I523" s="52"/>
      <c r="J523" s="52"/>
      <c r="K523" s="144"/>
      <c r="L523" s="144"/>
      <c r="M523" s="144"/>
      <c r="N523" s="144"/>
      <c r="O523" s="144"/>
      <c r="P523" s="144"/>
      <c r="Q523" s="144"/>
      <c r="R523" s="144"/>
      <c r="S523" s="144"/>
      <c r="T523" s="144"/>
      <c r="U523" s="144"/>
      <c r="V523" s="144"/>
      <c r="W523" s="144"/>
      <c r="X523" s="144"/>
      <c r="Y523" s="144"/>
      <c r="Z523" s="144"/>
    </row>
    <row r="524" spans="1:26" x14ac:dyDescent="0.3">
      <c r="A524" s="144"/>
      <c r="B524" s="144"/>
      <c r="C524" s="144"/>
      <c r="D524" s="144"/>
      <c r="E524" s="144"/>
      <c r="F524" s="52"/>
      <c r="G524" s="52"/>
      <c r="H524" s="52"/>
      <c r="I524" s="52"/>
      <c r="J524" s="52"/>
      <c r="K524" s="144"/>
      <c r="L524" s="144"/>
      <c r="M524" s="144"/>
      <c r="N524" s="144"/>
      <c r="O524" s="144"/>
      <c r="P524" s="144"/>
      <c r="Q524" s="144"/>
      <c r="R524" s="144"/>
      <c r="S524" s="144"/>
      <c r="T524" s="144"/>
      <c r="U524" s="144"/>
      <c r="V524" s="144"/>
      <c r="W524" s="144"/>
      <c r="X524" s="144"/>
      <c r="Y524" s="144"/>
      <c r="Z524" s="144"/>
    </row>
    <row r="525" spans="1:26" x14ac:dyDescent="0.3">
      <c r="A525" s="144"/>
      <c r="B525" s="144"/>
      <c r="C525" s="144"/>
      <c r="D525" s="144"/>
      <c r="E525" s="144"/>
      <c r="F525" s="52"/>
      <c r="G525" s="52"/>
      <c r="H525" s="52"/>
      <c r="I525" s="52"/>
      <c r="J525" s="52"/>
      <c r="K525" s="144"/>
      <c r="L525" s="144"/>
      <c r="M525" s="144"/>
      <c r="N525" s="144"/>
      <c r="O525" s="144"/>
      <c r="P525" s="144"/>
      <c r="Q525" s="144"/>
      <c r="R525" s="144"/>
      <c r="S525" s="144"/>
      <c r="T525" s="144"/>
      <c r="U525" s="144"/>
      <c r="V525" s="144"/>
      <c r="W525" s="144"/>
      <c r="X525" s="144"/>
      <c r="Y525" s="144"/>
      <c r="Z525" s="144"/>
    </row>
    <row r="526" spans="1:26" x14ac:dyDescent="0.3">
      <c r="A526" s="144"/>
      <c r="B526" s="144"/>
      <c r="C526" s="144"/>
      <c r="D526" s="144"/>
      <c r="E526" s="144"/>
      <c r="F526" s="52"/>
      <c r="G526" s="52"/>
      <c r="H526" s="52"/>
      <c r="I526" s="52"/>
      <c r="J526" s="52"/>
      <c r="K526" s="144"/>
      <c r="L526" s="144"/>
      <c r="M526" s="144"/>
      <c r="N526" s="144"/>
      <c r="O526" s="144"/>
      <c r="P526" s="144"/>
      <c r="Q526" s="144"/>
      <c r="R526" s="144"/>
      <c r="S526" s="144"/>
      <c r="T526" s="144"/>
      <c r="U526" s="144"/>
      <c r="V526" s="144"/>
      <c r="W526" s="144"/>
      <c r="X526" s="144"/>
      <c r="Y526" s="144"/>
      <c r="Z526" s="144"/>
    </row>
    <row r="527" spans="1:26" x14ac:dyDescent="0.3">
      <c r="A527" s="144"/>
      <c r="B527" s="144"/>
      <c r="C527" s="144"/>
      <c r="D527" s="144"/>
      <c r="E527" s="144"/>
      <c r="F527" s="52"/>
      <c r="G527" s="52"/>
      <c r="H527" s="52"/>
      <c r="I527" s="52"/>
      <c r="J527" s="52"/>
      <c r="K527" s="144"/>
      <c r="L527" s="144"/>
      <c r="M527" s="144"/>
      <c r="N527" s="144"/>
      <c r="O527" s="144"/>
      <c r="P527" s="144"/>
      <c r="Q527" s="144"/>
      <c r="R527" s="144"/>
      <c r="S527" s="144"/>
      <c r="T527" s="144"/>
      <c r="U527" s="144"/>
      <c r="V527" s="144"/>
      <c r="W527" s="144"/>
      <c r="X527" s="144"/>
      <c r="Y527" s="144"/>
      <c r="Z527" s="144"/>
    </row>
    <row r="528" spans="1:26" x14ac:dyDescent="0.3">
      <c r="A528" s="144"/>
      <c r="B528" s="144"/>
      <c r="C528" s="144"/>
      <c r="D528" s="144"/>
      <c r="E528" s="144"/>
      <c r="F528" s="52"/>
      <c r="G528" s="52"/>
      <c r="H528" s="52"/>
      <c r="I528" s="52"/>
      <c r="J528" s="52"/>
      <c r="K528" s="144"/>
      <c r="L528" s="144"/>
      <c r="M528" s="144"/>
      <c r="N528" s="144"/>
      <c r="O528" s="144"/>
      <c r="P528" s="144"/>
      <c r="Q528" s="144"/>
      <c r="R528" s="144"/>
      <c r="S528" s="144"/>
      <c r="T528" s="144"/>
      <c r="U528" s="144"/>
      <c r="V528" s="144"/>
      <c r="W528" s="144"/>
      <c r="X528" s="144"/>
      <c r="Y528" s="144"/>
      <c r="Z528" s="144"/>
    </row>
    <row r="529" spans="1:26" x14ac:dyDescent="0.3">
      <c r="A529" s="144"/>
      <c r="B529" s="144"/>
      <c r="C529" s="144"/>
      <c r="D529" s="144"/>
      <c r="E529" s="144"/>
      <c r="F529" s="52"/>
      <c r="G529" s="52"/>
      <c r="H529" s="52"/>
      <c r="I529" s="52"/>
      <c r="J529" s="52"/>
      <c r="K529" s="144"/>
      <c r="L529" s="144"/>
      <c r="M529" s="144"/>
      <c r="N529" s="144"/>
      <c r="O529" s="144"/>
      <c r="P529" s="144"/>
      <c r="Q529" s="144"/>
      <c r="R529" s="144"/>
      <c r="S529" s="144"/>
      <c r="T529" s="144"/>
      <c r="U529" s="144"/>
      <c r="V529" s="144"/>
      <c r="W529" s="144"/>
      <c r="X529" s="144"/>
      <c r="Y529" s="144"/>
      <c r="Z529" s="144"/>
    </row>
    <row r="530" spans="1:26" x14ac:dyDescent="0.3">
      <c r="A530" s="144"/>
      <c r="B530" s="144"/>
      <c r="C530" s="144"/>
      <c r="D530" s="144"/>
      <c r="E530" s="144"/>
      <c r="F530" s="52"/>
      <c r="G530" s="52"/>
      <c r="H530" s="52"/>
      <c r="I530" s="52"/>
      <c r="J530" s="52"/>
      <c r="K530" s="144"/>
      <c r="L530" s="144"/>
      <c r="M530" s="144"/>
      <c r="N530" s="144"/>
      <c r="O530" s="144"/>
      <c r="P530" s="144"/>
      <c r="Q530" s="144"/>
      <c r="R530" s="144"/>
      <c r="S530" s="144"/>
      <c r="T530" s="144"/>
      <c r="U530" s="144"/>
      <c r="V530" s="144"/>
      <c r="W530" s="144"/>
      <c r="X530" s="144"/>
      <c r="Y530" s="144"/>
      <c r="Z530" s="144"/>
    </row>
    <row r="531" spans="1:26" x14ac:dyDescent="0.3">
      <c r="A531" s="144"/>
      <c r="B531" s="144"/>
      <c r="C531" s="144"/>
      <c r="D531" s="144"/>
      <c r="E531" s="144"/>
      <c r="F531" s="52"/>
      <c r="G531" s="52"/>
      <c r="H531" s="52"/>
      <c r="I531" s="52"/>
      <c r="J531" s="52"/>
      <c r="K531" s="144"/>
      <c r="L531" s="144"/>
      <c r="M531" s="144"/>
      <c r="N531" s="144"/>
      <c r="O531" s="144"/>
      <c r="P531" s="144"/>
      <c r="Q531" s="144"/>
      <c r="R531" s="144"/>
      <c r="S531" s="144"/>
      <c r="T531" s="144"/>
      <c r="U531" s="144"/>
      <c r="V531" s="144"/>
      <c r="W531" s="144"/>
      <c r="X531" s="144"/>
      <c r="Y531" s="144"/>
      <c r="Z531" s="144"/>
    </row>
    <row r="532" spans="1:26" x14ac:dyDescent="0.3">
      <c r="A532" s="144"/>
      <c r="B532" s="144"/>
      <c r="C532" s="144"/>
      <c r="D532" s="144"/>
      <c r="E532" s="144"/>
      <c r="F532" s="52"/>
      <c r="G532" s="52"/>
      <c r="H532" s="52"/>
      <c r="I532" s="52"/>
      <c r="J532" s="52"/>
      <c r="K532" s="144"/>
      <c r="L532" s="144"/>
      <c r="M532" s="144"/>
      <c r="N532" s="144"/>
      <c r="O532" s="144"/>
      <c r="P532" s="144"/>
      <c r="Q532" s="144"/>
      <c r="R532" s="144"/>
      <c r="S532" s="144"/>
      <c r="T532" s="144"/>
      <c r="U532" s="144"/>
      <c r="V532" s="144"/>
      <c r="W532" s="144"/>
      <c r="X532" s="144"/>
      <c r="Y532" s="144"/>
      <c r="Z532" s="144"/>
    </row>
    <row r="533" spans="1:26" x14ac:dyDescent="0.3">
      <c r="A533" s="144"/>
      <c r="B533" s="144"/>
      <c r="C533" s="144"/>
      <c r="D533" s="144"/>
      <c r="E533" s="144"/>
      <c r="F533" s="52"/>
      <c r="G533" s="52"/>
      <c r="H533" s="52"/>
      <c r="I533" s="52"/>
      <c r="J533" s="52"/>
      <c r="K533" s="144"/>
      <c r="L533" s="144"/>
      <c r="M533" s="144"/>
      <c r="N533" s="144"/>
      <c r="O533" s="144"/>
      <c r="P533" s="144"/>
      <c r="Q533" s="144"/>
      <c r="R533" s="144"/>
      <c r="S533" s="144"/>
      <c r="T533" s="144"/>
      <c r="U533" s="144"/>
      <c r="V533" s="144"/>
      <c r="W533" s="144"/>
      <c r="X533" s="144"/>
      <c r="Y533" s="144"/>
      <c r="Z533" s="144"/>
    </row>
    <row r="534" spans="1:26" x14ac:dyDescent="0.3">
      <c r="A534" s="144"/>
      <c r="B534" s="144"/>
      <c r="C534" s="144"/>
      <c r="D534" s="144"/>
      <c r="E534" s="144"/>
      <c r="F534" s="52"/>
      <c r="G534" s="52"/>
      <c r="H534" s="52"/>
      <c r="I534" s="52"/>
      <c r="J534" s="52"/>
      <c r="K534" s="144"/>
      <c r="L534" s="144"/>
      <c r="M534" s="144"/>
      <c r="N534" s="144"/>
      <c r="O534" s="144"/>
      <c r="P534" s="144"/>
      <c r="Q534" s="144"/>
      <c r="R534" s="144"/>
      <c r="S534" s="144"/>
      <c r="T534" s="144"/>
      <c r="U534" s="144"/>
      <c r="V534" s="144"/>
      <c r="W534" s="144"/>
      <c r="X534" s="144"/>
      <c r="Y534" s="144"/>
      <c r="Z534" s="144"/>
    </row>
    <row r="535" spans="1:26" x14ac:dyDescent="0.3">
      <c r="A535" s="144"/>
      <c r="B535" s="144"/>
      <c r="C535" s="144"/>
      <c r="D535" s="144"/>
      <c r="E535" s="144"/>
      <c r="F535" s="52"/>
      <c r="G535" s="52"/>
      <c r="H535" s="52"/>
      <c r="I535" s="52"/>
      <c r="J535" s="52"/>
      <c r="K535" s="144"/>
      <c r="L535" s="144"/>
      <c r="M535" s="144"/>
      <c r="N535" s="144"/>
      <c r="O535" s="144"/>
      <c r="P535" s="144"/>
      <c r="Q535" s="144"/>
      <c r="R535" s="144"/>
      <c r="S535" s="144"/>
      <c r="T535" s="144"/>
      <c r="U535" s="144"/>
      <c r="V535" s="144"/>
      <c r="W535" s="144"/>
      <c r="X535" s="144"/>
      <c r="Y535" s="144"/>
      <c r="Z535" s="144"/>
    </row>
    <row r="536" spans="1:26" x14ac:dyDescent="0.3">
      <c r="A536" s="144"/>
      <c r="B536" s="144"/>
      <c r="C536" s="144"/>
      <c r="D536" s="144"/>
      <c r="E536" s="144"/>
      <c r="F536" s="52"/>
      <c r="G536" s="52"/>
      <c r="H536" s="52"/>
      <c r="I536" s="52"/>
      <c r="J536" s="52"/>
      <c r="K536" s="144"/>
      <c r="L536" s="144"/>
      <c r="M536" s="144"/>
      <c r="N536" s="144"/>
      <c r="O536" s="144"/>
      <c r="P536" s="144"/>
      <c r="Q536" s="144"/>
      <c r="R536" s="144"/>
      <c r="S536" s="144"/>
      <c r="T536" s="144"/>
      <c r="U536" s="144"/>
      <c r="V536" s="144"/>
      <c r="W536" s="144"/>
      <c r="X536" s="144"/>
      <c r="Y536" s="144"/>
      <c r="Z536" s="144"/>
    </row>
    <row r="537" spans="1:26" x14ac:dyDescent="0.3">
      <c r="A537" s="144"/>
      <c r="B537" s="144"/>
      <c r="C537" s="144"/>
      <c r="D537" s="144"/>
      <c r="E537" s="144"/>
      <c r="F537" s="52"/>
      <c r="G537" s="52"/>
      <c r="H537" s="52"/>
      <c r="I537" s="52"/>
      <c r="J537" s="52"/>
      <c r="K537" s="144"/>
      <c r="L537" s="144"/>
      <c r="M537" s="144"/>
      <c r="N537" s="144"/>
      <c r="O537" s="144"/>
      <c r="P537" s="144"/>
      <c r="Q537" s="144"/>
      <c r="R537" s="144"/>
      <c r="S537" s="144"/>
      <c r="T537" s="144"/>
      <c r="U537" s="144"/>
      <c r="V537" s="144"/>
      <c r="W537" s="144"/>
      <c r="X537" s="144"/>
      <c r="Y537" s="144"/>
      <c r="Z537" s="144"/>
    </row>
    <row r="538" spans="1:26" x14ac:dyDescent="0.3">
      <c r="A538" s="144"/>
      <c r="B538" s="144"/>
      <c r="C538" s="144"/>
      <c r="D538" s="144"/>
      <c r="E538" s="144"/>
      <c r="F538" s="52"/>
      <c r="G538" s="52"/>
      <c r="H538" s="52"/>
      <c r="I538" s="52"/>
      <c r="J538" s="52"/>
      <c r="K538" s="144"/>
      <c r="L538" s="144"/>
      <c r="M538" s="144"/>
      <c r="N538" s="144"/>
      <c r="O538" s="144"/>
      <c r="P538" s="144"/>
      <c r="Q538" s="144"/>
      <c r="R538" s="144"/>
      <c r="S538" s="144"/>
      <c r="T538" s="144"/>
      <c r="U538" s="144"/>
      <c r="V538" s="144"/>
      <c r="W538" s="144"/>
      <c r="X538" s="144"/>
      <c r="Y538" s="144"/>
      <c r="Z538" s="144"/>
    </row>
    <row r="539" spans="1:26" x14ac:dyDescent="0.3">
      <c r="A539" s="144"/>
      <c r="B539" s="144"/>
      <c r="C539" s="144"/>
      <c r="D539" s="144"/>
      <c r="E539" s="144"/>
      <c r="F539" s="52"/>
      <c r="G539" s="52"/>
      <c r="H539" s="52"/>
      <c r="I539" s="52"/>
      <c r="J539" s="52"/>
      <c r="K539" s="144"/>
      <c r="L539" s="144"/>
      <c r="M539" s="144"/>
      <c r="N539" s="144"/>
      <c r="O539" s="144"/>
      <c r="P539" s="144"/>
      <c r="Q539" s="144"/>
      <c r="R539" s="144"/>
      <c r="S539" s="144"/>
      <c r="T539" s="144"/>
      <c r="U539" s="144"/>
      <c r="V539" s="144"/>
      <c r="W539" s="144"/>
      <c r="X539" s="144"/>
      <c r="Y539" s="144"/>
      <c r="Z539" s="144"/>
    </row>
    <row r="540" spans="1:26" x14ac:dyDescent="0.3">
      <c r="A540" s="144"/>
      <c r="B540" s="144"/>
      <c r="C540" s="144"/>
      <c r="D540" s="144"/>
      <c r="E540" s="144"/>
      <c r="F540" s="52"/>
      <c r="G540" s="52"/>
      <c r="H540" s="52"/>
      <c r="I540" s="52"/>
      <c r="J540" s="52"/>
      <c r="K540" s="144"/>
      <c r="L540" s="144"/>
      <c r="M540" s="144"/>
      <c r="N540" s="144"/>
      <c r="O540" s="144"/>
      <c r="P540" s="144"/>
      <c r="Q540" s="144"/>
      <c r="R540" s="144"/>
      <c r="S540" s="144"/>
      <c r="T540" s="144"/>
      <c r="U540" s="144"/>
      <c r="V540" s="144"/>
      <c r="W540" s="144"/>
      <c r="X540" s="144"/>
      <c r="Y540" s="144"/>
      <c r="Z540" s="144"/>
    </row>
    <row r="541" spans="1:26" x14ac:dyDescent="0.3">
      <c r="A541" s="144"/>
      <c r="B541" s="144"/>
      <c r="C541" s="144"/>
      <c r="D541" s="144"/>
      <c r="E541" s="144"/>
      <c r="F541" s="52"/>
      <c r="G541" s="52"/>
      <c r="H541" s="52"/>
      <c r="I541" s="52"/>
      <c r="J541" s="52"/>
      <c r="K541" s="144"/>
      <c r="L541" s="144"/>
      <c r="M541" s="144"/>
      <c r="N541" s="144"/>
      <c r="O541" s="144"/>
      <c r="P541" s="144"/>
      <c r="Q541" s="144"/>
      <c r="R541" s="144"/>
      <c r="S541" s="144"/>
      <c r="T541" s="144"/>
      <c r="U541" s="144"/>
      <c r="V541" s="144"/>
      <c r="W541" s="144"/>
      <c r="X541" s="144"/>
      <c r="Y541" s="144"/>
      <c r="Z541" s="144"/>
    </row>
    <row r="542" spans="1:26" x14ac:dyDescent="0.3">
      <c r="A542" s="144"/>
      <c r="B542" s="144"/>
      <c r="C542" s="144"/>
      <c r="D542" s="144"/>
      <c r="E542" s="144"/>
      <c r="F542" s="52"/>
      <c r="G542" s="52"/>
      <c r="H542" s="52"/>
      <c r="I542" s="52"/>
      <c r="J542" s="52"/>
      <c r="K542" s="144"/>
      <c r="L542" s="144"/>
      <c r="M542" s="144"/>
      <c r="N542" s="144"/>
      <c r="O542" s="144"/>
      <c r="P542" s="144"/>
      <c r="Q542" s="144"/>
      <c r="R542" s="144"/>
      <c r="S542" s="144"/>
      <c r="T542" s="144"/>
      <c r="U542" s="144"/>
      <c r="V542" s="144"/>
      <c r="W542" s="144"/>
      <c r="X542" s="144"/>
      <c r="Y542" s="144"/>
      <c r="Z542" s="144"/>
    </row>
    <row r="543" spans="1:26" x14ac:dyDescent="0.3">
      <c r="A543" s="144"/>
      <c r="B543" s="144"/>
      <c r="C543" s="144"/>
      <c r="D543" s="144"/>
      <c r="E543" s="144"/>
      <c r="F543" s="52"/>
      <c r="G543" s="52"/>
      <c r="H543" s="52"/>
      <c r="I543" s="52"/>
      <c r="J543" s="52"/>
      <c r="K543" s="144"/>
      <c r="L543" s="144"/>
      <c r="M543" s="144"/>
      <c r="N543" s="144"/>
      <c r="O543" s="144"/>
      <c r="P543" s="144"/>
      <c r="Q543" s="144"/>
      <c r="R543" s="144"/>
      <c r="S543" s="144"/>
      <c r="T543" s="144"/>
      <c r="U543" s="144"/>
      <c r="V543" s="144"/>
      <c r="W543" s="144"/>
      <c r="X543" s="144"/>
      <c r="Y543" s="144"/>
      <c r="Z543" s="144"/>
    </row>
    <row r="544" spans="1:26" x14ac:dyDescent="0.3">
      <c r="A544" s="144"/>
      <c r="B544" s="144"/>
      <c r="C544" s="144"/>
      <c r="D544" s="144"/>
      <c r="E544" s="144"/>
      <c r="F544" s="52"/>
      <c r="G544" s="52"/>
      <c r="H544" s="52"/>
      <c r="I544" s="52"/>
      <c r="J544" s="52"/>
      <c r="K544" s="144"/>
      <c r="L544" s="144"/>
      <c r="M544" s="144"/>
      <c r="N544" s="144"/>
      <c r="O544" s="144"/>
      <c r="P544" s="144"/>
      <c r="Q544" s="144"/>
      <c r="R544" s="144"/>
      <c r="S544" s="144"/>
      <c r="T544" s="144"/>
      <c r="U544" s="144"/>
      <c r="V544" s="144"/>
      <c r="W544" s="144"/>
      <c r="X544" s="144"/>
      <c r="Y544" s="144"/>
      <c r="Z544" s="144"/>
    </row>
    <row r="545" spans="1:26" x14ac:dyDescent="0.3">
      <c r="A545" s="144"/>
      <c r="B545" s="144"/>
      <c r="C545" s="144"/>
      <c r="D545" s="144"/>
      <c r="E545" s="144"/>
      <c r="F545" s="52"/>
      <c r="G545" s="52"/>
      <c r="H545" s="52"/>
      <c r="I545" s="52"/>
      <c r="J545" s="52"/>
      <c r="K545" s="144"/>
      <c r="L545" s="144"/>
      <c r="M545" s="144"/>
      <c r="N545" s="144"/>
      <c r="O545" s="144"/>
      <c r="P545" s="144"/>
      <c r="Q545" s="144"/>
      <c r="R545" s="144"/>
      <c r="S545" s="144"/>
      <c r="T545" s="144"/>
      <c r="U545" s="144"/>
      <c r="V545" s="144"/>
      <c r="W545" s="144"/>
      <c r="X545" s="144"/>
      <c r="Y545" s="144"/>
      <c r="Z545" s="144"/>
    </row>
    <row r="546" spans="1:26" x14ac:dyDescent="0.3">
      <c r="A546" s="144"/>
      <c r="B546" s="144"/>
      <c r="C546" s="144"/>
      <c r="D546" s="144"/>
      <c r="E546" s="144"/>
      <c r="F546" s="52"/>
      <c r="G546" s="52"/>
      <c r="H546" s="52"/>
      <c r="I546" s="52"/>
      <c r="J546" s="52"/>
      <c r="K546" s="144"/>
      <c r="L546" s="144"/>
      <c r="M546" s="144"/>
      <c r="N546" s="144"/>
      <c r="O546" s="144"/>
      <c r="P546" s="144"/>
      <c r="Q546" s="144"/>
      <c r="R546" s="144"/>
      <c r="S546" s="144"/>
      <c r="T546" s="144"/>
      <c r="U546" s="144"/>
      <c r="V546" s="144"/>
      <c r="W546" s="144"/>
      <c r="X546" s="144"/>
      <c r="Y546" s="144"/>
      <c r="Z546" s="144"/>
    </row>
    <row r="547" spans="1:26" x14ac:dyDescent="0.3">
      <c r="A547" s="144"/>
      <c r="B547" s="144"/>
      <c r="C547" s="144"/>
      <c r="D547" s="144"/>
      <c r="E547" s="144"/>
      <c r="F547" s="52"/>
      <c r="G547" s="52"/>
      <c r="H547" s="52"/>
      <c r="I547" s="52"/>
      <c r="J547" s="52"/>
      <c r="K547" s="144"/>
      <c r="L547" s="144"/>
      <c r="M547" s="144"/>
      <c r="N547" s="144"/>
      <c r="O547" s="144"/>
      <c r="P547" s="144"/>
      <c r="Q547" s="144"/>
      <c r="R547" s="144"/>
      <c r="S547" s="144"/>
      <c r="T547" s="144"/>
      <c r="U547" s="144"/>
      <c r="V547" s="144"/>
      <c r="W547" s="144"/>
      <c r="X547" s="144"/>
      <c r="Y547" s="144"/>
      <c r="Z547" s="144"/>
    </row>
    <row r="548" spans="1:26" x14ac:dyDescent="0.3">
      <c r="A548" s="144"/>
      <c r="B548" s="144"/>
      <c r="C548" s="144"/>
      <c r="D548" s="144"/>
      <c r="E548" s="144"/>
      <c r="F548" s="52"/>
      <c r="G548" s="52"/>
      <c r="H548" s="52"/>
      <c r="I548" s="52"/>
      <c r="J548" s="52"/>
      <c r="K548" s="144"/>
      <c r="L548" s="144"/>
      <c r="M548" s="144"/>
      <c r="N548" s="144"/>
      <c r="O548" s="144"/>
      <c r="P548" s="144"/>
      <c r="Q548" s="144"/>
      <c r="R548" s="144"/>
      <c r="S548" s="144"/>
      <c r="T548" s="144"/>
      <c r="U548" s="144"/>
      <c r="V548" s="144"/>
      <c r="W548" s="144"/>
      <c r="X548" s="144"/>
      <c r="Y548" s="144"/>
      <c r="Z548" s="144"/>
    </row>
    <row r="549" spans="1:26" x14ac:dyDescent="0.3">
      <c r="A549" s="144"/>
      <c r="B549" s="144"/>
      <c r="C549" s="144"/>
      <c r="D549" s="144"/>
      <c r="E549" s="144"/>
      <c r="F549" s="52"/>
      <c r="G549" s="52"/>
      <c r="H549" s="52"/>
      <c r="I549" s="52"/>
      <c r="J549" s="52"/>
      <c r="K549" s="144"/>
      <c r="L549" s="144"/>
      <c r="M549" s="144"/>
      <c r="N549" s="144"/>
      <c r="O549" s="144"/>
      <c r="P549" s="144"/>
      <c r="Q549" s="144"/>
      <c r="R549" s="144"/>
      <c r="S549" s="144"/>
      <c r="T549" s="144"/>
      <c r="U549" s="144"/>
      <c r="V549" s="144"/>
      <c r="W549" s="144"/>
      <c r="X549" s="144"/>
      <c r="Y549" s="144"/>
      <c r="Z549" s="144"/>
    </row>
    <row r="550" spans="1:26" x14ac:dyDescent="0.3">
      <c r="A550" s="144"/>
      <c r="B550" s="144"/>
      <c r="C550" s="144"/>
      <c r="D550" s="144"/>
      <c r="E550" s="144"/>
      <c r="F550" s="52"/>
      <c r="G550" s="52"/>
      <c r="H550" s="52"/>
      <c r="I550" s="52"/>
      <c r="J550" s="52"/>
      <c r="K550" s="144"/>
      <c r="L550" s="144"/>
      <c r="M550" s="144"/>
      <c r="N550" s="144"/>
      <c r="O550" s="144"/>
      <c r="P550" s="144"/>
      <c r="Q550" s="144"/>
      <c r="R550" s="144"/>
      <c r="S550" s="144"/>
      <c r="T550" s="144"/>
      <c r="U550" s="144"/>
      <c r="V550" s="144"/>
      <c r="W550" s="144"/>
      <c r="X550" s="144"/>
      <c r="Y550" s="144"/>
      <c r="Z550" s="144"/>
    </row>
    <row r="551" spans="1:26" x14ac:dyDescent="0.3">
      <c r="A551" s="144"/>
      <c r="B551" s="144"/>
      <c r="C551" s="144"/>
      <c r="D551" s="144"/>
      <c r="E551" s="144"/>
      <c r="F551" s="52"/>
      <c r="G551" s="52"/>
      <c r="H551" s="52"/>
      <c r="I551" s="52"/>
      <c r="J551" s="52"/>
      <c r="K551" s="144"/>
      <c r="L551" s="144"/>
      <c r="M551" s="144"/>
      <c r="N551" s="144"/>
      <c r="O551" s="144"/>
      <c r="P551" s="144"/>
      <c r="Q551" s="144"/>
      <c r="R551" s="144"/>
      <c r="S551" s="144"/>
      <c r="T551" s="144"/>
      <c r="U551" s="144"/>
      <c r="V551" s="144"/>
      <c r="W551" s="144"/>
      <c r="X551" s="144"/>
      <c r="Y551" s="144"/>
      <c r="Z551" s="144"/>
    </row>
    <row r="552" spans="1:26" x14ac:dyDescent="0.3">
      <c r="A552" s="144"/>
      <c r="B552" s="144"/>
      <c r="C552" s="144"/>
      <c r="D552" s="144"/>
      <c r="E552" s="144"/>
      <c r="F552" s="52"/>
      <c r="G552" s="52"/>
      <c r="H552" s="52"/>
      <c r="I552" s="52"/>
      <c r="J552" s="52"/>
      <c r="K552" s="144"/>
      <c r="L552" s="144"/>
      <c r="M552" s="144"/>
      <c r="N552" s="144"/>
      <c r="O552" s="144"/>
      <c r="P552" s="144"/>
      <c r="Q552" s="144"/>
      <c r="R552" s="144"/>
      <c r="S552" s="144"/>
      <c r="T552" s="144"/>
      <c r="U552" s="144"/>
      <c r="V552" s="144"/>
      <c r="W552" s="144"/>
      <c r="X552" s="144"/>
      <c r="Y552" s="144"/>
      <c r="Z552" s="144"/>
    </row>
    <row r="553" spans="1:26" x14ac:dyDescent="0.3">
      <c r="A553" s="144"/>
      <c r="B553" s="144"/>
      <c r="C553" s="144"/>
      <c r="D553" s="144"/>
      <c r="E553" s="144"/>
      <c r="F553" s="52"/>
      <c r="G553" s="52"/>
      <c r="H553" s="52"/>
      <c r="I553" s="52"/>
      <c r="J553" s="52"/>
      <c r="K553" s="144"/>
      <c r="L553" s="144"/>
      <c r="M553" s="144"/>
      <c r="N553" s="144"/>
      <c r="O553" s="144"/>
      <c r="P553" s="144"/>
      <c r="Q553" s="144"/>
      <c r="R553" s="144"/>
      <c r="S553" s="144"/>
      <c r="T553" s="144"/>
      <c r="U553" s="144"/>
      <c r="V553" s="144"/>
      <c r="W553" s="144"/>
      <c r="X553" s="144"/>
      <c r="Y553" s="144"/>
      <c r="Z553" s="144"/>
    </row>
    <row r="554" spans="1:26" x14ac:dyDescent="0.3">
      <c r="A554" s="144"/>
      <c r="B554" s="144"/>
      <c r="C554" s="144"/>
      <c r="D554" s="144"/>
      <c r="E554" s="144"/>
      <c r="F554" s="52"/>
      <c r="G554" s="52"/>
      <c r="H554" s="52"/>
      <c r="I554" s="52"/>
      <c r="J554" s="52"/>
      <c r="K554" s="144"/>
      <c r="L554" s="144"/>
      <c r="M554" s="144"/>
      <c r="N554" s="144"/>
      <c r="O554" s="144"/>
      <c r="P554" s="144"/>
      <c r="Q554" s="144"/>
      <c r="R554" s="144"/>
      <c r="S554" s="144"/>
      <c r="T554" s="144"/>
      <c r="U554" s="144"/>
      <c r="V554" s="144"/>
      <c r="W554" s="144"/>
      <c r="X554" s="144"/>
      <c r="Y554" s="144"/>
      <c r="Z554" s="144"/>
    </row>
    <row r="555" spans="1:26" x14ac:dyDescent="0.3">
      <c r="A555" s="144"/>
      <c r="B555" s="144"/>
      <c r="C555" s="144"/>
      <c r="D555" s="144"/>
      <c r="E555" s="144"/>
      <c r="F555" s="52"/>
      <c r="G555" s="52"/>
      <c r="H555" s="52"/>
      <c r="I555" s="52"/>
      <c r="J555" s="52"/>
      <c r="K555" s="144"/>
      <c r="L555" s="144"/>
      <c r="M555" s="144"/>
      <c r="N555" s="144"/>
      <c r="O555" s="144"/>
      <c r="P555" s="144"/>
      <c r="Q555" s="144"/>
      <c r="R555" s="144"/>
      <c r="S555" s="144"/>
      <c r="T555" s="144"/>
      <c r="U555" s="144"/>
      <c r="V555" s="144"/>
      <c r="W555" s="144"/>
      <c r="X555" s="144"/>
      <c r="Y555" s="144"/>
      <c r="Z555" s="144"/>
    </row>
    <row r="556" spans="1:26" x14ac:dyDescent="0.3">
      <c r="A556" s="144"/>
      <c r="B556" s="144"/>
      <c r="C556" s="144"/>
      <c r="D556" s="144"/>
      <c r="E556" s="144"/>
      <c r="F556" s="52"/>
      <c r="G556" s="52"/>
      <c r="H556" s="52"/>
      <c r="I556" s="52"/>
      <c r="J556" s="52"/>
      <c r="K556" s="144"/>
      <c r="L556" s="144"/>
      <c r="M556" s="144"/>
      <c r="N556" s="144"/>
      <c r="O556" s="144"/>
      <c r="P556" s="144"/>
      <c r="Q556" s="144"/>
      <c r="R556" s="144"/>
      <c r="S556" s="144"/>
      <c r="T556" s="144"/>
      <c r="U556" s="144"/>
      <c r="V556" s="144"/>
      <c r="W556" s="144"/>
      <c r="X556" s="144"/>
      <c r="Y556" s="144"/>
      <c r="Z556" s="144"/>
    </row>
    <row r="557" spans="1:26" x14ac:dyDescent="0.3">
      <c r="A557" s="144"/>
      <c r="B557" s="144"/>
      <c r="C557" s="144"/>
      <c r="D557" s="144"/>
      <c r="E557" s="144"/>
      <c r="F557" s="52"/>
      <c r="G557" s="52"/>
      <c r="H557" s="52"/>
      <c r="I557" s="52"/>
      <c r="J557" s="52"/>
      <c r="K557" s="144"/>
      <c r="L557" s="144"/>
      <c r="M557" s="144"/>
      <c r="N557" s="144"/>
      <c r="O557" s="144"/>
      <c r="P557" s="144"/>
      <c r="Q557" s="144"/>
      <c r="R557" s="144"/>
      <c r="S557" s="144"/>
      <c r="T557" s="144"/>
      <c r="U557" s="144"/>
      <c r="V557" s="144"/>
      <c r="W557" s="144"/>
      <c r="X557" s="144"/>
      <c r="Y557" s="144"/>
      <c r="Z557" s="144"/>
    </row>
    <row r="558" spans="1:26" x14ac:dyDescent="0.3">
      <c r="A558" s="144"/>
      <c r="B558" s="144"/>
      <c r="C558" s="144"/>
      <c r="D558" s="144"/>
      <c r="E558" s="144"/>
      <c r="F558" s="52"/>
      <c r="G558" s="52"/>
      <c r="H558" s="52"/>
      <c r="I558" s="52"/>
      <c r="J558" s="52"/>
      <c r="K558" s="144"/>
      <c r="L558" s="144"/>
      <c r="M558" s="144"/>
      <c r="N558" s="144"/>
      <c r="O558" s="144"/>
      <c r="P558" s="144"/>
      <c r="Q558" s="144"/>
      <c r="R558" s="144"/>
      <c r="S558" s="144"/>
      <c r="T558" s="144"/>
      <c r="U558" s="144"/>
      <c r="V558" s="144"/>
      <c r="W558" s="144"/>
      <c r="X558" s="144"/>
      <c r="Y558" s="144"/>
      <c r="Z558" s="144"/>
    </row>
    <row r="559" spans="1:26" x14ac:dyDescent="0.3">
      <c r="A559" s="144"/>
      <c r="B559" s="144"/>
      <c r="C559" s="144"/>
      <c r="D559" s="144"/>
      <c r="E559" s="144"/>
      <c r="F559" s="52"/>
      <c r="G559" s="52"/>
      <c r="H559" s="52"/>
      <c r="I559" s="52"/>
      <c r="J559" s="52"/>
      <c r="K559" s="144"/>
      <c r="L559" s="144"/>
      <c r="M559" s="144"/>
      <c r="N559" s="144"/>
      <c r="O559" s="144"/>
      <c r="P559" s="144"/>
      <c r="Q559" s="144"/>
      <c r="R559" s="144"/>
      <c r="S559" s="144"/>
      <c r="T559" s="144"/>
      <c r="U559" s="144"/>
      <c r="V559" s="144"/>
      <c r="W559" s="144"/>
      <c r="X559" s="144"/>
      <c r="Y559" s="144"/>
      <c r="Z559" s="144"/>
    </row>
    <row r="560" spans="1:26" x14ac:dyDescent="0.3">
      <c r="A560" s="144"/>
      <c r="B560" s="144"/>
      <c r="C560" s="144"/>
      <c r="D560" s="144"/>
      <c r="E560" s="144"/>
      <c r="F560" s="52"/>
      <c r="G560" s="52"/>
      <c r="H560" s="52"/>
      <c r="I560" s="52"/>
      <c r="J560" s="52"/>
      <c r="K560" s="144"/>
      <c r="L560" s="144"/>
      <c r="M560" s="144"/>
      <c r="N560" s="144"/>
      <c r="O560" s="144"/>
      <c r="P560" s="144"/>
      <c r="Q560" s="144"/>
      <c r="R560" s="144"/>
      <c r="S560" s="144"/>
      <c r="T560" s="144"/>
      <c r="U560" s="144"/>
      <c r="V560" s="144"/>
      <c r="W560" s="144"/>
      <c r="X560" s="144"/>
      <c r="Y560" s="144"/>
      <c r="Z560" s="144"/>
    </row>
    <row r="561" spans="1:26" x14ac:dyDescent="0.3">
      <c r="A561" s="144"/>
      <c r="B561" s="144"/>
      <c r="C561" s="144"/>
      <c r="D561" s="144"/>
      <c r="E561" s="144"/>
      <c r="F561" s="52"/>
      <c r="G561" s="52"/>
      <c r="H561" s="52"/>
      <c r="I561" s="52"/>
      <c r="J561" s="52"/>
      <c r="K561" s="144"/>
      <c r="L561" s="144"/>
      <c r="M561" s="144"/>
      <c r="N561" s="144"/>
      <c r="O561" s="144"/>
      <c r="P561" s="144"/>
      <c r="Q561" s="144"/>
      <c r="R561" s="144"/>
      <c r="S561" s="144"/>
      <c r="T561" s="144"/>
      <c r="U561" s="144"/>
      <c r="V561" s="144"/>
      <c r="W561" s="144"/>
      <c r="X561" s="144"/>
      <c r="Y561" s="144"/>
      <c r="Z561" s="144"/>
    </row>
    <row r="562" spans="1:26" x14ac:dyDescent="0.3">
      <c r="A562" s="144"/>
      <c r="B562" s="144"/>
      <c r="C562" s="144"/>
      <c r="D562" s="144"/>
      <c r="E562" s="144"/>
      <c r="F562" s="52"/>
      <c r="G562" s="52"/>
      <c r="H562" s="52"/>
      <c r="I562" s="52"/>
      <c r="J562" s="52"/>
      <c r="K562" s="144"/>
      <c r="L562" s="144"/>
      <c r="M562" s="144"/>
      <c r="N562" s="144"/>
      <c r="O562" s="144"/>
      <c r="P562" s="144"/>
      <c r="Q562" s="144"/>
      <c r="R562" s="144"/>
      <c r="S562" s="144"/>
      <c r="T562" s="144"/>
      <c r="U562" s="144"/>
      <c r="V562" s="144"/>
      <c r="W562" s="144"/>
      <c r="X562" s="144"/>
      <c r="Y562" s="144"/>
      <c r="Z562" s="144"/>
    </row>
    <row r="563" spans="1:26" x14ac:dyDescent="0.3">
      <c r="A563" s="144"/>
      <c r="B563" s="144"/>
      <c r="C563" s="144"/>
      <c r="D563" s="144"/>
      <c r="E563" s="144"/>
      <c r="F563" s="52"/>
      <c r="G563" s="52"/>
      <c r="H563" s="52"/>
      <c r="I563" s="52"/>
      <c r="J563" s="52"/>
      <c r="K563" s="144"/>
      <c r="L563" s="144"/>
      <c r="M563" s="144"/>
      <c r="N563" s="144"/>
      <c r="O563" s="144"/>
      <c r="P563" s="144"/>
      <c r="Q563" s="144"/>
      <c r="R563" s="144"/>
      <c r="S563" s="144"/>
      <c r="T563" s="144"/>
      <c r="U563" s="144"/>
      <c r="V563" s="144"/>
      <c r="W563" s="144"/>
      <c r="X563" s="144"/>
      <c r="Y563" s="144"/>
      <c r="Z563" s="144"/>
    </row>
    <row r="564" spans="1:26" x14ac:dyDescent="0.3">
      <c r="A564" s="144"/>
      <c r="B564" s="144"/>
      <c r="C564" s="144"/>
      <c r="D564" s="144"/>
      <c r="E564" s="144"/>
      <c r="F564" s="52"/>
      <c r="G564" s="52"/>
      <c r="H564" s="52"/>
      <c r="I564" s="52"/>
      <c r="J564" s="52"/>
      <c r="K564" s="144"/>
      <c r="L564" s="144"/>
      <c r="M564" s="144"/>
      <c r="N564" s="144"/>
      <c r="O564" s="144"/>
      <c r="P564" s="144"/>
      <c r="Q564" s="144"/>
      <c r="R564" s="144"/>
      <c r="S564" s="144"/>
      <c r="T564" s="144"/>
      <c r="U564" s="144"/>
      <c r="V564" s="144"/>
      <c r="W564" s="144"/>
      <c r="X564" s="144"/>
      <c r="Y564" s="144"/>
      <c r="Z564" s="144"/>
    </row>
    <row r="565" spans="1:26" x14ac:dyDescent="0.3">
      <c r="A565" s="144"/>
      <c r="B565" s="144"/>
      <c r="C565" s="144"/>
      <c r="D565" s="144"/>
      <c r="E565" s="144"/>
      <c r="F565" s="52"/>
      <c r="G565" s="52"/>
      <c r="H565" s="52"/>
      <c r="I565" s="52"/>
      <c r="J565" s="52"/>
      <c r="K565" s="144"/>
      <c r="L565" s="144"/>
      <c r="M565" s="144"/>
      <c r="N565" s="144"/>
      <c r="O565" s="144"/>
      <c r="P565" s="144"/>
      <c r="Q565" s="144"/>
      <c r="R565" s="144"/>
      <c r="S565" s="144"/>
      <c r="T565" s="144"/>
      <c r="U565" s="144"/>
      <c r="V565" s="144"/>
      <c r="W565" s="144"/>
      <c r="X565" s="144"/>
      <c r="Y565" s="144"/>
      <c r="Z565" s="144"/>
    </row>
    <row r="566" spans="1:26" x14ac:dyDescent="0.3">
      <c r="A566" s="144"/>
      <c r="B566" s="144"/>
      <c r="C566" s="144"/>
      <c r="D566" s="144"/>
      <c r="E566" s="144"/>
      <c r="F566" s="52"/>
      <c r="G566" s="52"/>
      <c r="H566" s="52"/>
      <c r="I566" s="52"/>
      <c r="J566" s="52"/>
      <c r="K566" s="144"/>
      <c r="L566" s="144"/>
      <c r="M566" s="144"/>
      <c r="N566" s="144"/>
      <c r="O566" s="144"/>
      <c r="P566" s="144"/>
      <c r="Q566" s="144"/>
      <c r="R566" s="144"/>
      <c r="S566" s="144"/>
      <c r="T566" s="144"/>
      <c r="U566" s="144"/>
      <c r="V566" s="144"/>
      <c r="W566" s="144"/>
      <c r="X566" s="144"/>
      <c r="Y566" s="144"/>
      <c r="Z566" s="144"/>
    </row>
    <row r="567" spans="1:26" x14ac:dyDescent="0.3">
      <c r="A567" s="144"/>
      <c r="B567" s="144"/>
      <c r="C567" s="144"/>
      <c r="D567" s="144"/>
      <c r="E567" s="144"/>
      <c r="F567" s="52"/>
      <c r="G567" s="52"/>
      <c r="H567" s="52"/>
      <c r="I567" s="52"/>
      <c r="J567" s="52"/>
      <c r="K567" s="144"/>
      <c r="L567" s="144"/>
      <c r="M567" s="144"/>
      <c r="N567" s="144"/>
      <c r="O567" s="144"/>
      <c r="P567" s="144"/>
      <c r="Q567" s="144"/>
      <c r="R567" s="144"/>
      <c r="S567" s="144"/>
      <c r="T567" s="144"/>
      <c r="U567" s="144"/>
      <c r="V567" s="144"/>
      <c r="W567" s="144"/>
      <c r="X567" s="144"/>
      <c r="Y567" s="144"/>
      <c r="Z567" s="144"/>
    </row>
    <row r="568" spans="1:26" x14ac:dyDescent="0.3">
      <c r="A568" s="144"/>
      <c r="B568" s="144"/>
      <c r="C568" s="144"/>
      <c r="D568" s="144"/>
      <c r="E568" s="144"/>
      <c r="F568" s="52"/>
      <c r="G568" s="52"/>
      <c r="H568" s="52"/>
      <c r="I568" s="52"/>
      <c r="J568" s="52"/>
      <c r="K568" s="144"/>
      <c r="L568" s="144"/>
      <c r="M568" s="144"/>
      <c r="N568" s="144"/>
      <c r="O568" s="144"/>
      <c r="P568" s="144"/>
      <c r="Q568" s="144"/>
      <c r="R568" s="144"/>
      <c r="S568" s="144"/>
      <c r="T568" s="144"/>
      <c r="U568" s="144"/>
      <c r="V568" s="144"/>
      <c r="W568" s="144"/>
      <c r="X568" s="144"/>
      <c r="Y568" s="144"/>
      <c r="Z568" s="144"/>
    </row>
    <row r="569" spans="1:26" x14ac:dyDescent="0.3">
      <c r="A569" s="144"/>
      <c r="B569" s="144"/>
      <c r="C569" s="144"/>
      <c r="D569" s="144"/>
      <c r="E569" s="144"/>
      <c r="F569" s="52"/>
      <c r="G569" s="52"/>
      <c r="H569" s="52"/>
      <c r="I569" s="52"/>
      <c r="J569" s="52"/>
      <c r="K569" s="144"/>
      <c r="L569" s="144"/>
      <c r="M569" s="144"/>
      <c r="N569" s="144"/>
      <c r="O569" s="144"/>
      <c r="P569" s="144"/>
      <c r="Q569" s="144"/>
      <c r="R569" s="144"/>
      <c r="S569" s="144"/>
      <c r="T569" s="144"/>
      <c r="U569" s="144"/>
      <c r="V569" s="144"/>
      <c r="W569" s="144"/>
      <c r="X569" s="144"/>
      <c r="Y569" s="144"/>
      <c r="Z569" s="144"/>
    </row>
    <row r="570" spans="1:26" x14ac:dyDescent="0.3">
      <c r="A570" s="144"/>
      <c r="B570" s="144"/>
      <c r="C570" s="144"/>
      <c r="D570" s="144"/>
      <c r="E570" s="144"/>
      <c r="F570" s="52"/>
      <c r="G570" s="52"/>
      <c r="H570" s="52"/>
      <c r="I570" s="52"/>
      <c r="J570" s="52"/>
      <c r="K570" s="144"/>
      <c r="L570" s="144"/>
      <c r="M570" s="144"/>
      <c r="N570" s="144"/>
      <c r="O570" s="144"/>
      <c r="P570" s="144"/>
      <c r="Q570" s="144"/>
      <c r="R570" s="144"/>
      <c r="S570" s="144"/>
      <c r="T570" s="144"/>
      <c r="U570" s="144"/>
      <c r="V570" s="144"/>
      <c r="W570" s="144"/>
      <c r="X570" s="144"/>
      <c r="Y570" s="144"/>
      <c r="Z570" s="144"/>
    </row>
    <row r="571" spans="1:26" x14ac:dyDescent="0.3">
      <c r="A571" s="144"/>
      <c r="B571" s="144"/>
      <c r="C571" s="144"/>
      <c r="D571" s="144"/>
      <c r="E571" s="144"/>
      <c r="F571" s="52"/>
      <c r="G571" s="52"/>
      <c r="H571" s="52"/>
      <c r="I571" s="52"/>
      <c r="J571" s="52"/>
      <c r="K571" s="144"/>
      <c r="L571" s="144"/>
      <c r="M571" s="144"/>
      <c r="N571" s="144"/>
      <c r="O571" s="144"/>
      <c r="P571" s="144"/>
      <c r="Q571" s="144"/>
      <c r="R571" s="144"/>
      <c r="S571" s="144"/>
      <c r="T571" s="144"/>
      <c r="U571" s="144"/>
      <c r="V571" s="144"/>
      <c r="W571" s="144"/>
      <c r="X571" s="144"/>
      <c r="Y571" s="144"/>
      <c r="Z571" s="144"/>
    </row>
    <row r="572" spans="1:26" x14ac:dyDescent="0.3">
      <c r="A572" s="144"/>
      <c r="B572" s="144"/>
      <c r="C572" s="144"/>
      <c r="D572" s="144"/>
      <c r="E572" s="144"/>
      <c r="F572" s="52"/>
      <c r="G572" s="52"/>
      <c r="H572" s="52"/>
      <c r="I572" s="52"/>
      <c r="J572" s="52"/>
      <c r="K572" s="144"/>
      <c r="L572" s="144"/>
      <c r="M572" s="144"/>
      <c r="N572" s="144"/>
      <c r="O572" s="144"/>
      <c r="P572" s="144"/>
      <c r="Q572" s="144"/>
      <c r="R572" s="144"/>
      <c r="S572" s="144"/>
      <c r="T572" s="144"/>
      <c r="U572" s="144"/>
      <c r="V572" s="144"/>
      <c r="W572" s="144"/>
      <c r="X572" s="144"/>
      <c r="Y572" s="144"/>
      <c r="Z572" s="144"/>
    </row>
    <row r="573" spans="1:26" x14ac:dyDescent="0.3">
      <c r="A573" s="144"/>
      <c r="B573" s="144"/>
      <c r="C573" s="144"/>
      <c r="D573" s="144"/>
      <c r="E573" s="144"/>
      <c r="F573" s="52"/>
      <c r="G573" s="52"/>
      <c r="H573" s="52"/>
      <c r="I573" s="52"/>
      <c r="J573" s="52"/>
      <c r="K573" s="144"/>
      <c r="L573" s="144"/>
      <c r="M573" s="144"/>
      <c r="N573" s="144"/>
      <c r="O573" s="144"/>
      <c r="P573" s="144"/>
      <c r="Q573" s="144"/>
      <c r="R573" s="144"/>
      <c r="S573" s="144"/>
      <c r="T573" s="144"/>
      <c r="U573" s="144"/>
      <c r="V573" s="144"/>
      <c r="W573" s="144"/>
      <c r="X573" s="144"/>
      <c r="Y573" s="144"/>
      <c r="Z573" s="144"/>
    </row>
    <row r="574" spans="1:26" x14ac:dyDescent="0.3">
      <c r="A574" s="144"/>
      <c r="B574" s="144"/>
      <c r="C574" s="144"/>
      <c r="D574" s="144"/>
      <c r="E574" s="144"/>
      <c r="F574" s="52"/>
      <c r="G574" s="52"/>
      <c r="H574" s="52"/>
      <c r="I574" s="52"/>
      <c r="J574" s="52"/>
      <c r="K574" s="144"/>
      <c r="L574" s="144"/>
      <c r="M574" s="144"/>
      <c r="N574" s="144"/>
      <c r="O574" s="144"/>
      <c r="P574" s="144"/>
      <c r="Q574" s="144"/>
      <c r="R574" s="144"/>
      <c r="S574" s="144"/>
      <c r="T574" s="144"/>
      <c r="U574" s="144"/>
      <c r="V574" s="144"/>
      <c r="W574" s="144"/>
      <c r="X574" s="144"/>
      <c r="Y574" s="144"/>
      <c r="Z574" s="144"/>
    </row>
    <row r="575" spans="1:26" x14ac:dyDescent="0.3">
      <c r="A575" s="144"/>
      <c r="B575" s="144"/>
      <c r="C575" s="144"/>
      <c r="D575" s="144"/>
      <c r="E575" s="144"/>
      <c r="F575" s="52"/>
      <c r="G575" s="52"/>
      <c r="H575" s="52"/>
      <c r="I575" s="52"/>
      <c r="J575" s="52"/>
      <c r="K575" s="144"/>
      <c r="L575" s="144"/>
      <c r="M575" s="144"/>
      <c r="N575" s="144"/>
      <c r="O575" s="144"/>
      <c r="P575" s="144"/>
      <c r="Q575" s="144"/>
      <c r="R575" s="144"/>
      <c r="S575" s="144"/>
      <c r="T575" s="144"/>
      <c r="U575" s="144"/>
      <c r="V575" s="144"/>
      <c r="W575" s="144"/>
      <c r="X575" s="144"/>
      <c r="Y575" s="144"/>
      <c r="Z575" s="144"/>
    </row>
    <row r="576" spans="1:26" x14ac:dyDescent="0.3">
      <c r="A576" s="144"/>
      <c r="B576" s="144"/>
      <c r="C576" s="144"/>
      <c r="D576" s="144"/>
      <c r="E576" s="144"/>
      <c r="F576" s="52"/>
      <c r="G576" s="52"/>
      <c r="H576" s="52"/>
      <c r="I576" s="52"/>
      <c r="J576" s="52"/>
      <c r="K576" s="144"/>
      <c r="L576" s="144"/>
      <c r="M576" s="144"/>
      <c r="N576" s="144"/>
      <c r="O576" s="144"/>
      <c r="P576" s="144"/>
      <c r="Q576" s="144"/>
      <c r="R576" s="144"/>
      <c r="S576" s="144"/>
      <c r="T576" s="144"/>
      <c r="U576" s="144"/>
      <c r="V576" s="144"/>
      <c r="W576" s="144"/>
      <c r="X576" s="144"/>
      <c r="Y576" s="144"/>
      <c r="Z576" s="144"/>
    </row>
    <row r="577" spans="1:26" x14ac:dyDescent="0.3">
      <c r="A577" s="144"/>
      <c r="B577" s="144"/>
      <c r="C577" s="144"/>
      <c r="D577" s="144"/>
      <c r="E577" s="144"/>
      <c r="F577" s="52"/>
      <c r="G577" s="52"/>
      <c r="H577" s="52"/>
      <c r="I577" s="52"/>
      <c r="J577" s="52"/>
      <c r="K577" s="144"/>
      <c r="L577" s="144"/>
      <c r="M577" s="144"/>
      <c r="N577" s="144"/>
      <c r="O577" s="144"/>
      <c r="P577" s="144"/>
      <c r="Q577" s="144"/>
      <c r="R577" s="144"/>
      <c r="S577" s="144"/>
      <c r="T577" s="144"/>
      <c r="U577" s="144"/>
      <c r="V577" s="144"/>
      <c r="W577" s="144"/>
      <c r="X577" s="144"/>
      <c r="Y577" s="144"/>
      <c r="Z577" s="144"/>
    </row>
    <row r="578" spans="1:26" x14ac:dyDescent="0.3">
      <c r="A578" s="144"/>
      <c r="B578" s="144"/>
      <c r="C578" s="144"/>
      <c r="D578" s="144"/>
      <c r="E578" s="144"/>
      <c r="F578" s="52"/>
      <c r="G578" s="52"/>
      <c r="H578" s="52"/>
      <c r="I578" s="52"/>
      <c r="J578" s="52"/>
      <c r="K578" s="144"/>
      <c r="L578" s="144"/>
      <c r="M578" s="144"/>
      <c r="N578" s="144"/>
      <c r="O578" s="144"/>
      <c r="P578" s="144"/>
      <c r="Q578" s="144"/>
      <c r="R578" s="144"/>
      <c r="S578" s="144"/>
      <c r="T578" s="144"/>
      <c r="U578" s="144"/>
      <c r="V578" s="144"/>
      <c r="W578" s="144"/>
      <c r="X578" s="144"/>
      <c r="Y578" s="144"/>
      <c r="Z578" s="144"/>
    </row>
    <row r="579" spans="1:26" x14ac:dyDescent="0.3">
      <c r="A579" s="144"/>
      <c r="B579" s="144"/>
      <c r="C579" s="144"/>
      <c r="D579" s="144"/>
      <c r="E579" s="144"/>
      <c r="F579" s="52"/>
      <c r="G579" s="52"/>
      <c r="H579" s="52"/>
      <c r="I579" s="52"/>
      <c r="J579" s="52"/>
      <c r="K579" s="144"/>
      <c r="L579" s="144"/>
      <c r="M579" s="144"/>
      <c r="N579" s="144"/>
      <c r="O579" s="144"/>
      <c r="P579" s="144"/>
      <c r="Q579" s="144"/>
      <c r="R579" s="144"/>
      <c r="S579" s="144"/>
      <c r="T579" s="144"/>
      <c r="U579" s="144"/>
      <c r="V579" s="144"/>
      <c r="W579" s="144"/>
      <c r="X579" s="144"/>
      <c r="Y579" s="144"/>
      <c r="Z579" s="144"/>
    </row>
    <row r="580" spans="1:26" x14ac:dyDescent="0.3">
      <c r="A580" s="144"/>
      <c r="B580" s="144"/>
      <c r="C580" s="144"/>
      <c r="D580" s="144"/>
      <c r="E580" s="144"/>
      <c r="F580" s="52"/>
      <c r="G580" s="52"/>
      <c r="H580" s="52"/>
      <c r="I580" s="52"/>
      <c r="J580" s="52"/>
      <c r="K580" s="144"/>
      <c r="L580" s="144"/>
      <c r="M580" s="144"/>
      <c r="N580" s="144"/>
      <c r="O580" s="144"/>
      <c r="P580" s="144"/>
      <c r="Q580" s="144"/>
      <c r="R580" s="144"/>
      <c r="S580" s="144"/>
      <c r="T580" s="144"/>
      <c r="U580" s="144"/>
      <c r="V580" s="144"/>
      <c r="W580" s="144"/>
      <c r="X580" s="144"/>
      <c r="Y580" s="144"/>
      <c r="Z580" s="144"/>
    </row>
    <row r="581" spans="1:26" x14ac:dyDescent="0.3">
      <c r="A581" s="144"/>
      <c r="B581" s="144"/>
      <c r="C581" s="144"/>
      <c r="D581" s="144"/>
      <c r="E581" s="144"/>
      <c r="F581" s="52"/>
      <c r="G581" s="52"/>
      <c r="H581" s="52"/>
      <c r="I581" s="52"/>
      <c r="J581" s="52"/>
      <c r="K581" s="144"/>
      <c r="L581" s="144"/>
      <c r="M581" s="144"/>
      <c r="N581" s="144"/>
      <c r="O581" s="144"/>
      <c r="P581" s="144"/>
      <c r="Q581" s="144"/>
      <c r="R581" s="144"/>
      <c r="S581" s="144"/>
      <c r="T581" s="144"/>
      <c r="U581" s="144"/>
      <c r="V581" s="144"/>
      <c r="W581" s="144"/>
      <c r="X581" s="144"/>
      <c r="Y581" s="144"/>
      <c r="Z581" s="144"/>
    </row>
    <row r="582" spans="1:26" x14ac:dyDescent="0.3">
      <c r="A582" s="144"/>
      <c r="B582" s="144"/>
      <c r="C582" s="144"/>
      <c r="D582" s="144"/>
      <c r="E582" s="144"/>
      <c r="F582" s="52"/>
      <c r="G582" s="52"/>
      <c r="H582" s="52"/>
      <c r="I582" s="52"/>
      <c r="J582" s="52"/>
      <c r="K582" s="144"/>
      <c r="L582" s="144"/>
      <c r="M582" s="144"/>
      <c r="N582" s="144"/>
      <c r="O582" s="144"/>
      <c r="P582" s="144"/>
      <c r="Q582" s="144"/>
      <c r="R582" s="144"/>
      <c r="S582" s="144"/>
      <c r="T582" s="144"/>
      <c r="U582" s="144"/>
      <c r="V582" s="144"/>
      <c r="W582" s="144"/>
      <c r="X582" s="144"/>
      <c r="Y582" s="144"/>
      <c r="Z582" s="144"/>
    </row>
    <row r="583" spans="1:26" x14ac:dyDescent="0.3">
      <c r="A583" s="144"/>
      <c r="B583" s="144"/>
      <c r="C583" s="144"/>
      <c r="D583" s="144"/>
      <c r="E583" s="144"/>
      <c r="F583" s="52"/>
      <c r="G583" s="52"/>
      <c r="H583" s="52"/>
      <c r="I583" s="52"/>
      <c r="J583" s="52"/>
      <c r="K583" s="144"/>
      <c r="L583" s="144"/>
      <c r="M583" s="144"/>
      <c r="N583" s="144"/>
      <c r="O583" s="144"/>
      <c r="P583" s="144"/>
      <c r="Q583" s="144"/>
      <c r="R583" s="144"/>
      <c r="S583" s="144"/>
      <c r="T583" s="144"/>
      <c r="U583" s="144"/>
      <c r="V583" s="144"/>
      <c r="W583" s="144"/>
      <c r="X583" s="144"/>
      <c r="Y583" s="144"/>
      <c r="Z583" s="144"/>
    </row>
    <row r="584" spans="1:26" x14ac:dyDescent="0.3">
      <c r="A584" s="144"/>
      <c r="B584" s="144"/>
      <c r="C584" s="144"/>
      <c r="D584" s="144"/>
      <c r="E584" s="144"/>
      <c r="F584" s="52"/>
      <c r="G584" s="52"/>
      <c r="H584" s="52"/>
      <c r="I584" s="52"/>
      <c r="J584" s="52"/>
      <c r="K584" s="144"/>
      <c r="L584" s="144"/>
      <c r="M584" s="144"/>
      <c r="N584" s="144"/>
      <c r="O584" s="144"/>
      <c r="P584" s="144"/>
      <c r="Q584" s="144"/>
      <c r="R584" s="144"/>
      <c r="S584" s="144"/>
      <c r="T584" s="144"/>
      <c r="U584" s="144"/>
      <c r="V584" s="144"/>
      <c r="W584" s="144"/>
      <c r="X584" s="144"/>
      <c r="Y584" s="144"/>
      <c r="Z584" s="144"/>
    </row>
    <row r="585" spans="1:26" x14ac:dyDescent="0.3">
      <c r="A585" s="144"/>
      <c r="B585" s="144"/>
      <c r="C585" s="144"/>
      <c r="D585" s="144"/>
      <c r="E585" s="144"/>
      <c r="F585" s="52"/>
      <c r="G585" s="52"/>
      <c r="H585" s="52"/>
      <c r="I585" s="52"/>
      <c r="J585" s="52"/>
      <c r="K585" s="144"/>
      <c r="L585" s="144"/>
      <c r="M585" s="144"/>
      <c r="N585" s="144"/>
      <c r="O585" s="144"/>
      <c r="P585" s="144"/>
      <c r="Q585" s="144"/>
      <c r="R585" s="144"/>
      <c r="S585" s="144"/>
      <c r="T585" s="144"/>
      <c r="U585" s="144"/>
      <c r="V585" s="144"/>
      <c r="W585" s="144"/>
      <c r="X585" s="144"/>
      <c r="Y585" s="144"/>
      <c r="Z585" s="144"/>
    </row>
    <row r="586" spans="1:26" x14ac:dyDescent="0.3">
      <c r="A586" s="144"/>
      <c r="B586" s="144"/>
      <c r="C586" s="144"/>
      <c r="D586" s="144"/>
      <c r="E586" s="144"/>
      <c r="F586" s="52"/>
      <c r="G586" s="52"/>
      <c r="H586" s="52"/>
      <c r="I586" s="52"/>
      <c r="J586" s="52"/>
      <c r="K586" s="144"/>
      <c r="L586" s="144"/>
      <c r="M586" s="144"/>
      <c r="N586" s="144"/>
      <c r="O586" s="144"/>
      <c r="P586" s="144"/>
      <c r="Q586" s="144"/>
      <c r="R586" s="144"/>
      <c r="S586" s="144"/>
      <c r="T586" s="144"/>
      <c r="U586" s="144"/>
      <c r="V586" s="144"/>
      <c r="W586" s="144"/>
      <c r="X586" s="144"/>
      <c r="Y586" s="144"/>
      <c r="Z586" s="144"/>
    </row>
    <row r="587" spans="1:26" x14ac:dyDescent="0.3">
      <c r="A587" s="144"/>
      <c r="B587" s="144"/>
      <c r="C587" s="144"/>
      <c r="D587" s="144"/>
      <c r="E587" s="144"/>
      <c r="F587" s="52"/>
      <c r="G587" s="52"/>
      <c r="H587" s="52"/>
      <c r="I587" s="52"/>
      <c r="J587" s="52"/>
      <c r="K587" s="144"/>
      <c r="L587" s="144"/>
      <c r="M587" s="144"/>
      <c r="N587" s="144"/>
      <c r="O587" s="144"/>
      <c r="P587" s="144"/>
      <c r="Q587" s="144"/>
      <c r="R587" s="144"/>
      <c r="S587" s="144"/>
      <c r="T587" s="144"/>
      <c r="U587" s="144"/>
      <c r="V587" s="144"/>
      <c r="W587" s="144"/>
      <c r="X587" s="144"/>
      <c r="Y587" s="144"/>
      <c r="Z587" s="144"/>
    </row>
    <row r="588" spans="1:26" x14ac:dyDescent="0.3">
      <c r="A588" s="144"/>
      <c r="B588" s="144"/>
      <c r="C588" s="144"/>
      <c r="D588" s="144"/>
      <c r="E588" s="144"/>
      <c r="F588" s="52"/>
      <c r="G588" s="52"/>
      <c r="H588" s="52"/>
      <c r="I588" s="52"/>
      <c r="J588" s="52"/>
      <c r="K588" s="144"/>
      <c r="L588" s="144"/>
      <c r="M588" s="144"/>
      <c r="N588" s="144"/>
      <c r="O588" s="144"/>
      <c r="P588" s="144"/>
      <c r="Q588" s="144"/>
      <c r="R588" s="144"/>
      <c r="S588" s="144"/>
      <c r="T588" s="144"/>
      <c r="U588" s="144"/>
      <c r="V588" s="144"/>
      <c r="W588" s="144"/>
      <c r="X588" s="144"/>
      <c r="Y588" s="144"/>
      <c r="Z588" s="144"/>
    </row>
    <row r="589" spans="1:26" x14ac:dyDescent="0.3">
      <c r="A589" s="144"/>
      <c r="B589" s="144"/>
      <c r="C589" s="144"/>
      <c r="D589" s="144"/>
      <c r="E589" s="144"/>
      <c r="F589" s="52"/>
      <c r="G589" s="52"/>
      <c r="H589" s="52"/>
      <c r="I589" s="52"/>
      <c r="J589" s="52"/>
      <c r="K589" s="144"/>
      <c r="L589" s="144"/>
      <c r="M589" s="144"/>
      <c r="N589" s="144"/>
      <c r="O589" s="144"/>
      <c r="P589" s="144"/>
      <c r="Q589" s="144"/>
      <c r="R589" s="144"/>
      <c r="S589" s="144"/>
      <c r="T589" s="144"/>
      <c r="U589" s="144"/>
      <c r="V589" s="144"/>
      <c r="W589" s="144"/>
      <c r="X589" s="144"/>
      <c r="Y589" s="144"/>
      <c r="Z589" s="144"/>
    </row>
    <row r="590" spans="1:26" x14ac:dyDescent="0.3">
      <c r="A590" s="144"/>
      <c r="B590" s="144"/>
      <c r="C590" s="144"/>
      <c r="D590" s="144"/>
      <c r="E590" s="144"/>
      <c r="F590" s="52"/>
      <c r="G590" s="52"/>
      <c r="H590" s="52"/>
      <c r="I590" s="52"/>
      <c r="J590" s="52"/>
      <c r="K590" s="144"/>
      <c r="L590" s="144"/>
      <c r="M590" s="144"/>
      <c r="N590" s="144"/>
      <c r="O590" s="144"/>
      <c r="P590" s="144"/>
      <c r="Q590" s="144"/>
      <c r="R590" s="144"/>
      <c r="S590" s="144"/>
      <c r="T590" s="144"/>
      <c r="U590" s="144"/>
      <c r="V590" s="144"/>
      <c r="W590" s="144"/>
      <c r="X590" s="144"/>
      <c r="Y590" s="144"/>
      <c r="Z590" s="144"/>
    </row>
    <row r="591" spans="1:26" x14ac:dyDescent="0.3">
      <c r="A591" s="144"/>
      <c r="B591" s="144"/>
      <c r="C591" s="144"/>
      <c r="D591" s="144"/>
      <c r="E591" s="144"/>
      <c r="F591" s="52"/>
      <c r="G591" s="52"/>
      <c r="H591" s="52"/>
      <c r="I591" s="52"/>
      <c r="J591" s="52"/>
      <c r="K591" s="144"/>
      <c r="L591" s="144"/>
      <c r="M591" s="144"/>
      <c r="N591" s="144"/>
      <c r="O591" s="144"/>
      <c r="P591" s="144"/>
      <c r="Q591" s="144"/>
      <c r="R591" s="144"/>
      <c r="S591" s="144"/>
      <c r="T591" s="144"/>
      <c r="U591" s="144"/>
      <c r="V591" s="144"/>
      <c r="W591" s="144"/>
      <c r="X591" s="144"/>
      <c r="Y591" s="144"/>
      <c r="Z591" s="144"/>
    </row>
    <row r="592" spans="1:26" x14ac:dyDescent="0.3">
      <c r="A592" s="144"/>
      <c r="B592" s="144"/>
      <c r="C592" s="144"/>
      <c r="D592" s="144"/>
      <c r="E592" s="144"/>
      <c r="F592" s="52"/>
      <c r="G592" s="52"/>
      <c r="H592" s="52"/>
      <c r="I592" s="52"/>
      <c r="J592" s="52"/>
      <c r="K592" s="144"/>
      <c r="L592" s="144"/>
      <c r="M592" s="144"/>
      <c r="N592" s="144"/>
      <c r="O592" s="144"/>
      <c r="P592" s="144"/>
      <c r="Q592" s="144"/>
      <c r="R592" s="144"/>
      <c r="S592" s="144"/>
      <c r="T592" s="144"/>
      <c r="U592" s="144"/>
      <c r="V592" s="144"/>
      <c r="W592" s="144"/>
      <c r="X592" s="144"/>
      <c r="Y592" s="144"/>
      <c r="Z592" s="144"/>
    </row>
    <row r="593" spans="1:26" x14ac:dyDescent="0.3">
      <c r="A593" s="144"/>
      <c r="B593" s="144"/>
      <c r="C593" s="144"/>
      <c r="D593" s="144"/>
      <c r="E593" s="144"/>
      <c r="F593" s="52"/>
      <c r="G593" s="52"/>
      <c r="H593" s="52"/>
      <c r="I593" s="52"/>
      <c r="J593" s="52"/>
      <c r="K593" s="144"/>
      <c r="L593" s="144"/>
      <c r="M593" s="144"/>
      <c r="N593" s="144"/>
      <c r="O593" s="144"/>
      <c r="P593" s="144"/>
      <c r="Q593" s="144"/>
      <c r="R593" s="144"/>
      <c r="S593" s="144"/>
      <c r="T593" s="144"/>
      <c r="U593" s="144"/>
      <c r="V593" s="144"/>
      <c r="W593" s="144"/>
      <c r="X593" s="144"/>
      <c r="Y593" s="144"/>
      <c r="Z593" s="144"/>
    </row>
    <row r="594" spans="1:26" x14ac:dyDescent="0.3">
      <c r="A594" s="144"/>
      <c r="B594" s="144"/>
      <c r="C594" s="144"/>
      <c r="D594" s="144"/>
      <c r="E594" s="144"/>
      <c r="F594" s="52"/>
      <c r="G594" s="52"/>
      <c r="H594" s="52"/>
      <c r="I594" s="52"/>
      <c r="J594" s="52"/>
      <c r="K594" s="144"/>
      <c r="L594" s="144"/>
      <c r="M594" s="144"/>
      <c r="N594" s="144"/>
      <c r="O594" s="144"/>
      <c r="P594" s="144"/>
      <c r="Q594" s="144"/>
      <c r="R594" s="144"/>
      <c r="S594" s="144"/>
      <c r="T594" s="144"/>
      <c r="U594" s="144"/>
      <c r="V594" s="144"/>
      <c r="W594" s="144"/>
      <c r="X594" s="144"/>
      <c r="Y594" s="144"/>
      <c r="Z594" s="144"/>
    </row>
    <row r="595" spans="1:26" x14ac:dyDescent="0.3">
      <c r="A595" s="144"/>
      <c r="B595" s="144"/>
      <c r="C595" s="144"/>
      <c r="D595" s="144"/>
      <c r="E595" s="144"/>
      <c r="F595" s="52"/>
      <c r="G595" s="52"/>
      <c r="H595" s="52"/>
      <c r="I595" s="52"/>
      <c r="J595" s="52"/>
      <c r="K595" s="144"/>
      <c r="L595" s="144"/>
      <c r="M595" s="144"/>
      <c r="N595" s="144"/>
      <c r="O595" s="144"/>
      <c r="P595" s="144"/>
      <c r="Q595" s="144"/>
      <c r="R595" s="144"/>
      <c r="S595" s="144"/>
      <c r="T595" s="144"/>
      <c r="U595" s="144"/>
      <c r="V595" s="144"/>
      <c r="W595" s="144"/>
      <c r="X595" s="144"/>
      <c r="Y595" s="144"/>
      <c r="Z595" s="144"/>
    </row>
    <row r="596" spans="1:26" x14ac:dyDescent="0.3">
      <c r="A596" s="144"/>
      <c r="B596" s="144"/>
      <c r="C596" s="144"/>
      <c r="D596" s="144"/>
      <c r="E596" s="144"/>
      <c r="F596" s="52"/>
      <c r="G596" s="52"/>
      <c r="H596" s="52"/>
      <c r="I596" s="52"/>
      <c r="J596" s="52"/>
      <c r="K596" s="144"/>
      <c r="L596" s="144"/>
      <c r="M596" s="144"/>
      <c r="N596" s="144"/>
      <c r="O596" s="144"/>
      <c r="P596" s="144"/>
      <c r="Q596" s="144"/>
      <c r="R596" s="144"/>
      <c r="S596" s="144"/>
      <c r="T596" s="144"/>
      <c r="U596" s="144"/>
      <c r="V596" s="144"/>
      <c r="W596" s="144"/>
      <c r="X596" s="144"/>
      <c r="Y596" s="144"/>
      <c r="Z596" s="144"/>
    </row>
    <row r="597" spans="1:26" x14ac:dyDescent="0.3">
      <c r="A597" s="144"/>
      <c r="B597" s="144"/>
      <c r="C597" s="144"/>
      <c r="D597" s="144"/>
      <c r="E597" s="144"/>
      <c r="F597" s="52"/>
      <c r="G597" s="52"/>
      <c r="H597" s="52"/>
      <c r="I597" s="52"/>
      <c r="J597" s="52"/>
      <c r="K597" s="144"/>
      <c r="L597" s="144"/>
      <c r="M597" s="144"/>
      <c r="N597" s="144"/>
      <c r="O597" s="144"/>
      <c r="P597" s="144"/>
      <c r="Q597" s="144"/>
      <c r="R597" s="144"/>
      <c r="S597" s="144"/>
      <c r="T597" s="144"/>
      <c r="U597" s="144"/>
      <c r="V597" s="144"/>
      <c r="W597" s="144"/>
      <c r="X597" s="144"/>
      <c r="Y597" s="144"/>
      <c r="Z597" s="144"/>
    </row>
    <row r="598" spans="1:26" x14ac:dyDescent="0.3">
      <c r="A598" s="144"/>
      <c r="B598" s="144"/>
      <c r="C598" s="144"/>
      <c r="D598" s="144"/>
      <c r="E598" s="144"/>
      <c r="F598" s="52"/>
      <c r="G598" s="52"/>
      <c r="H598" s="52"/>
      <c r="I598" s="52"/>
      <c r="J598" s="52"/>
      <c r="K598" s="144"/>
      <c r="L598" s="144"/>
      <c r="M598" s="144"/>
      <c r="N598" s="144"/>
      <c r="O598" s="144"/>
      <c r="P598" s="144"/>
      <c r="Q598" s="144"/>
      <c r="R598" s="144"/>
      <c r="S598" s="144"/>
      <c r="T598" s="144"/>
      <c r="U598" s="144"/>
      <c r="V598" s="144"/>
      <c r="W598" s="144"/>
      <c r="X598" s="144"/>
      <c r="Y598" s="144"/>
      <c r="Z598" s="144"/>
    </row>
    <row r="599" spans="1:26" x14ac:dyDescent="0.3">
      <c r="A599" s="144"/>
      <c r="B599" s="144"/>
      <c r="C599" s="144"/>
      <c r="D599" s="144"/>
      <c r="E599" s="144"/>
      <c r="F599" s="52"/>
      <c r="G599" s="52"/>
      <c r="H599" s="52"/>
      <c r="I599" s="52"/>
      <c r="J599" s="52"/>
      <c r="K599" s="144"/>
      <c r="L599" s="144"/>
      <c r="M599" s="144"/>
      <c r="N599" s="144"/>
      <c r="O599" s="144"/>
      <c r="P599" s="144"/>
      <c r="Q599" s="144"/>
      <c r="R599" s="144"/>
      <c r="S599" s="144"/>
      <c r="T599" s="144"/>
      <c r="U599" s="144"/>
      <c r="V599" s="144"/>
      <c r="W599" s="144"/>
      <c r="X599" s="144"/>
      <c r="Y599" s="144"/>
      <c r="Z599" s="144"/>
    </row>
    <row r="600" spans="1:26" x14ac:dyDescent="0.3">
      <c r="A600" s="144"/>
      <c r="B600" s="144"/>
      <c r="C600" s="144"/>
      <c r="D600" s="144"/>
      <c r="E600" s="144"/>
      <c r="F600" s="52"/>
      <c r="G600" s="52"/>
      <c r="H600" s="52"/>
      <c r="I600" s="52"/>
      <c r="J600" s="52"/>
      <c r="K600" s="144"/>
      <c r="L600" s="144"/>
      <c r="M600" s="144"/>
      <c r="N600" s="144"/>
      <c r="O600" s="144"/>
      <c r="P600" s="144"/>
      <c r="Q600" s="144"/>
      <c r="R600" s="144"/>
      <c r="S600" s="144"/>
      <c r="T600" s="144"/>
      <c r="U600" s="144"/>
      <c r="V600" s="144"/>
      <c r="W600" s="144"/>
      <c r="X600" s="144"/>
      <c r="Y600" s="144"/>
      <c r="Z600" s="144"/>
    </row>
    <row r="601" spans="1:26" x14ac:dyDescent="0.3">
      <c r="A601" s="144"/>
      <c r="B601" s="144"/>
      <c r="C601" s="144"/>
      <c r="D601" s="144"/>
      <c r="E601" s="144"/>
      <c r="F601" s="52"/>
      <c r="G601" s="52"/>
      <c r="H601" s="52"/>
      <c r="I601" s="52"/>
      <c r="J601" s="52"/>
      <c r="K601" s="144"/>
      <c r="L601" s="144"/>
      <c r="M601" s="144"/>
      <c r="N601" s="144"/>
      <c r="O601" s="144"/>
      <c r="P601" s="144"/>
      <c r="Q601" s="144"/>
      <c r="R601" s="144"/>
      <c r="S601" s="144"/>
      <c r="T601" s="144"/>
      <c r="U601" s="144"/>
      <c r="V601" s="144"/>
      <c r="W601" s="144"/>
      <c r="X601" s="144"/>
      <c r="Y601" s="144"/>
      <c r="Z601" s="144"/>
    </row>
    <row r="602" spans="1:26" x14ac:dyDescent="0.3">
      <c r="A602" s="144"/>
      <c r="B602" s="144"/>
      <c r="C602" s="144"/>
      <c r="D602" s="144"/>
      <c r="E602" s="144"/>
      <c r="F602" s="52"/>
      <c r="G602" s="52"/>
      <c r="H602" s="52"/>
      <c r="I602" s="52"/>
      <c r="J602" s="52"/>
      <c r="K602" s="144"/>
      <c r="L602" s="144"/>
      <c r="M602" s="144"/>
      <c r="N602" s="144"/>
      <c r="O602" s="144"/>
      <c r="P602" s="144"/>
      <c r="Q602" s="144"/>
      <c r="R602" s="144"/>
      <c r="S602" s="144"/>
      <c r="T602" s="144"/>
      <c r="U602" s="144"/>
      <c r="V602" s="144"/>
      <c r="W602" s="144"/>
      <c r="X602" s="144"/>
      <c r="Y602" s="144"/>
      <c r="Z602" s="144"/>
    </row>
    <row r="603" spans="1:26" x14ac:dyDescent="0.3">
      <c r="A603" s="144"/>
      <c r="B603" s="144"/>
      <c r="C603" s="144"/>
      <c r="D603" s="144"/>
      <c r="E603" s="144"/>
      <c r="F603" s="52"/>
      <c r="G603" s="52"/>
      <c r="H603" s="52"/>
      <c r="I603" s="52"/>
      <c r="J603" s="52"/>
      <c r="K603" s="144"/>
      <c r="L603" s="144"/>
      <c r="M603" s="144"/>
      <c r="N603" s="144"/>
      <c r="O603" s="144"/>
      <c r="P603" s="144"/>
      <c r="Q603" s="144"/>
      <c r="R603" s="144"/>
      <c r="S603" s="144"/>
      <c r="T603" s="144"/>
      <c r="U603" s="144"/>
      <c r="V603" s="144"/>
      <c r="W603" s="144"/>
      <c r="X603" s="144"/>
      <c r="Y603" s="144"/>
      <c r="Z603" s="144"/>
    </row>
    <row r="604" spans="1:26" x14ac:dyDescent="0.3">
      <c r="A604" s="144"/>
      <c r="B604" s="144"/>
      <c r="C604" s="144"/>
      <c r="D604" s="144"/>
      <c r="E604" s="144"/>
      <c r="F604" s="52"/>
      <c r="G604" s="52"/>
      <c r="H604" s="52"/>
      <c r="I604" s="52"/>
      <c r="J604" s="52"/>
      <c r="K604" s="144"/>
      <c r="L604" s="144"/>
      <c r="M604" s="144"/>
      <c r="N604" s="144"/>
      <c r="O604" s="144"/>
      <c r="P604" s="144"/>
      <c r="Q604" s="144"/>
      <c r="R604" s="144"/>
      <c r="S604" s="144"/>
      <c r="T604" s="144"/>
      <c r="U604" s="144"/>
      <c r="V604" s="144"/>
      <c r="W604" s="144"/>
      <c r="X604" s="144"/>
      <c r="Y604" s="144"/>
      <c r="Z604" s="144"/>
    </row>
    <row r="605" spans="1:26" x14ac:dyDescent="0.3">
      <c r="A605" s="144"/>
      <c r="B605" s="144"/>
      <c r="C605" s="144"/>
      <c r="D605" s="144"/>
      <c r="E605" s="144"/>
      <c r="F605" s="52"/>
      <c r="G605" s="52"/>
      <c r="H605" s="52"/>
      <c r="I605" s="52"/>
      <c r="J605" s="52"/>
      <c r="K605" s="144"/>
      <c r="L605" s="144"/>
      <c r="M605" s="144"/>
      <c r="N605" s="144"/>
      <c r="O605" s="144"/>
      <c r="P605" s="144"/>
      <c r="Q605" s="144"/>
      <c r="R605" s="144"/>
      <c r="S605" s="144"/>
      <c r="T605" s="144"/>
      <c r="U605" s="144"/>
      <c r="V605" s="144"/>
      <c r="W605" s="144"/>
      <c r="X605" s="144"/>
      <c r="Y605" s="144"/>
      <c r="Z605" s="144"/>
    </row>
    <row r="606" spans="1:26" x14ac:dyDescent="0.3">
      <c r="A606" s="144"/>
      <c r="B606" s="144"/>
      <c r="C606" s="144"/>
      <c r="D606" s="144"/>
      <c r="E606" s="144"/>
      <c r="F606" s="52"/>
      <c r="G606" s="52"/>
      <c r="H606" s="52"/>
      <c r="I606" s="52"/>
      <c r="J606" s="52"/>
      <c r="K606" s="144"/>
      <c r="L606" s="144"/>
      <c r="M606" s="144"/>
      <c r="N606" s="144"/>
      <c r="O606" s="144"/>
      <c r="P606" s="144"/>
      <c r="Q606" s="144"/>
      <c r="R606" s="144"/>
      <c r="S606" s="144"/>
      <c r="T606" s="144"/>
      <c r="U606" s="144"/>
      <c r="V606" s="144"/>
      <c r="W606" s="144"/>
      <c r="X606" s="144"/>
      <c r="Y606" s="144"/>
      <c r="Z606" s="144"/>
    </row>
    <row r="607" spans="1:26" x14ac:dyDescent="0.3">
      <c r="A607" s="144"/>
      <c r="B607" s="144"/>
      <c r="C607" s="144"/>
      <c r="D607" s="144"/>
      <c r="E607" s="144"/>
      <c r="F607" s="52"/>
      <c r="G607" s="52"/>
      <c r="H607" s="52"/>
      <c r="I607" s="52"/>
      <c r="J607" s="52"/>
      <c r="K607" s="144"/>
      <c r="L607" s="144"/>
      <c r="M607" s="144"/>
      <c r="N607" s="144"/>
      <c r="O607" s="144"/>
      <c r="P607" s="144"/>
      <c r="Q607" s="144"/>
      <c r="R607" s="144"/>
      <c r="S607" s="144"/>
      <c r="T607" s="144"/>
      <c r="U607" s="144"/>
      <c r="V607" s="144"/>
      <c r="W607" s="144"/>
      <c r="X607" s="144"/>
      <c r="Y607" s="144"/>
      <c r="Z607" s="144"/>
    </row>
    <row r="608" spans="1:26" x14ac:dyDescent="0.3">
      <c r="A608" s="144"/>
      <c r="B608" s="144"/>
      <c r="C608" s="144"/>
      <c r="D608" s="144"/>
      <c r="E608" s="144"/>
      <c r="F608" s="52"/>
      <c r="G608" s="52"/>
      <c r="H608" s="52"/>
      <c r="I608" s="52"/>
      <c r="J608" s="52"/>
      <c r="K608" s="144"/>
      <c r="L608" s="144"/>
      <c r="M608" s="144"/>
      <c r="N608" s="144"/>
      <c r="O608" s="144"/>
      <c r="P608" s="144"/>
      <c r="Q608" s="144"/>
      <c r="R608" s="144"/>
      <c r="S608" s="144"/>
      <c r="T608" s="144"/>
      <c r="U608" s="144"/>
      <c r="V608" s="144"/>
      <c r="W608" s="144"/>
      <c r="X608" s="144"/>
      <c r="Y608" s="144"/>
      <c r="Z608" s="144"/>
    </row>
    <row r="609" spans="1:26" x14ac:dyDescent="0.3">
      <c r="A609" s="144"/>
      <c r="B609" s="144"/>
      <c r="C609" s="144"/>
      <c r="D609" s="144"/>
      <c r="E609" s="144"/>
      <c r="F609" s="52"/>
      <c r="G609" s="52"/>
      <c r="H609" s="52"/>
      <c r="I609" s="52"/>
      <c r="J609" s="52"/>
      <c r="K609" s="144"/>
      <c r="L609" s="144"/>
      <c r="M609" s="144"/>
      <c r="N609" s="144"/>
      <c r="O609" s="144"/>
      <c r="P609" s="144"/>
      <c r="Q609" s="144"/>
      <c r="R609" s="144"/>
      <c r="S609" s="144"/>
      <c r="T609" s="144"/>
      <c r="U609" s="144"/>
      <c r="V609" s="144"/>
      <c r="W609" s="144"/>
      <c r="X609" s="144"/>
      <c r="Y609" s="144"/>
      <c r="Z609" s="144"/>
    </row>
    <row r="610" spans="1:26" x14ac:dyDescent="0.3">
      <c r="A610" s="144"/>
      <c r="B610" s="144"/>
      <c r="C610" s="144"/>
      <c r="D610" s="144"/>
      <c r="E610" s="144"/>
      <c r="F610" s="52"/>
      <c r="G610" s="52"/>
      <c r="H610" s="52"/>
      <c r="I610" s="52"/>
      <c r="J610" s="52"/>
      <c r="K610" s="144"/>
      <c r="L610" s="144"/>
      <c r="M610" s="144"/>
      <c r="N610" s="144"/>
      <c r="O610" s="144"/>
      <c r="P610" s="144"/>
      <c r="Q610" s="144"/>
      <c r="R610" s="144"/>
      <c r="S610" s="144"/>
      <c r="T610" s="144"/>
      <c r="U610" s="144"/>
      <c r="V610" s="144"/>
      <c r="W610" s="144"/>
      <c r="X610" s="144"/>
      <c r="Y610" s="144"/>
      <c r="Z610" s="144"/>
    </row>
    <row r="611" spans="1:26" x14ac:dyDescent="0.3">
      <c r="A611" s="144"/>
      <c r="B611" s="144"/>
      <c r="C611" s="144"/>
      <c r="D611" s="144"/>
      <c r="E611" s="144"/>
      <c r="F611" s="52"/>
      <c r="G611" s="52"/>
      <c r="H611" s="52"/>
      <c r="I611" s="52"/>
      <c r="J611" s="52"/>
      <c r="K611" s="144"/>
      <c r="L611" s="144"/>
      <c r="M611" s="144"/>
      <c r="N611" s="144"/>
      <c r="O611" s="144"/>
      <c r="P611" s="144"/>
      <c r="Q611" s="144"/>
      <c r="R611" s="144"/>
      <c r="S611" s="144"/>
      <c r="T611" s="144"/>
      <c r="U611" s="144"/>
      <c r="V611" s="144"/>
      <c r="W611" s="144"/>
      <c r="X611" s="144"/>
      <c r="Y611" s="144"/>
      <c r="Z611" s="144"/>
    </row>
    <row r="612" spans="1:26" x14ac:dyDescent="0.3">
      <c r="A612" s="144"/>
      <c r="B612" s="144"/>
      <c r="C612" s="144"/>
      <c r="D612" s="144"/>
      <c r="E612" s="144"/>
      <c r="F612" s="52"/>
      <c r="G612" s="52"/>
      <c r="H612" s="52"/>
      <c r="I612" s="52"/>
      <c r="J612" s="52"/>
      <c r="K612" s="144"/>
      <c r="L612" s="144"/>
      <c r="M612" s="144"/>
      <c r="N612" s="144"/>
      <c r="O612" s="144"/>
      <c r="P612" s="144"/>
      <c r="Q612" s="144"/>
      <c r="R612" s="144"/>
      <c r="S612" s="144"/>
      <c r="T612" s="144"/>
      <c r="U612" s="144"/>
      <c r="V612" s="144"/>
      <c r="W612" s="144"/>
      <c r="X612" s="144"/>
      <c r="Y612" s="144"/>
      <c r="Z612" s="144"/>
    </row>
    <row r="613" spans="1:26" x14ac:dyDescent="0.3">
      <c r="A613" s="144"/>
      <c r="B613" s="144"/>
      <c r="C613" s="144"/>
      <c r="D613" s="144"/>
      <c r="E613" s="144"/>
      <c r="F613" s="52"/>
      <c r="G613" s="52"/>
      <c r="H613" s="52"/>
      <c r="I613" s="52"/>
      <c r="J613" s="52"/>
      <c r="K613" s="144"/>
      <c r="L613" s="144"/>
      <c r="M613" s="144"/>
      <c r="N613" s="144"/>
      <c r="O613" s="144"/>
      <c r="P613" s="144"/>
      <c r="Q613" s="144"/>
      <c r="R613" s="144"/>
      <c r="S613" s="144"/>
      <c r="T613" s="144"/>
      <c r="U613" s="144"/>
      <c r="V613" s="144"/>
      <c r="W613" s="144"/>
      <c r="X613" s="144"/>
      <c r="Y613" s="144"/>
      <c r="Z613" s="144"/>
    </row>
    <row r="614" spans="1:26" x14ac:dyDescent="0.3">
      <c r="A614" s="144"/>
      <c r="B614" s="144"/>
      <c r="C614" s="144"/>
      <c r="D614" s="144"/>
      <c r="E614" s="144"/>
      <c r="F614" s="52"/>
      <c r="G614" s="52"/>
      <c r="H614" s="52"/>
      <c r="I614" s="52"/>
      <c r="J614" s="52"/>
      <c r="K614" s="144"/>
      <c r="L614" s="144"/>
      <c r="M614" s="144"/>
      <c r="N614" s="144"/>
      <c r="O614" s="144"/>
      <c r="P614" s="144"/>
      <c r="Q614" s="144"/>
      <c r="R614" s="144"/>
      <c r="S614" s="144"/>
      <c r="T614" s="144"/>
      <c r="U614" s="144"/>
      <c r="V614" s="144"/>
      <c r="W614" s="144"/>
      <c r="X614" s="144"/>
      <c r="Y614" s="144"/>
      <c r="Z614" s="144"/>
    </row>
    <row r="615" spans="1:26" x14ac:dyDescent="0.3">
      <c r="A615" s="144"/>
      <c r="B615" s="144"/>
      <c r="C615" s="144"/>
      <c r="D615" s="144"/>
      <c r="E615" s="144"/>
      <c r="F615" s="52"/>
      <c r="G615" s="52"/>
      <c r="H615" s="52"/>
      <c r="I615" s="52"/>
      <c r="J615" s="52"/>
      <c r="K615" s="144"/>
      <c r="L615" s="144"/>
      <c r="M615" s="144"/>
      <c r="N615" s="144"/>
      <c r="O615" s="144"/>
      <c r="P615" s="144"/>
      <c r="Q615" s="144"/>
      <c r="R615" s="144"/>
      <c r="S615" s="144"/>
      <c r="T615" s="144"/>
      <c r="U615" s="144"/>
      <c r="V615" s="144"/>
      <c r="W615" s="144"/>
      <c r="X615" s="144"/>
      <c r="Y615" s="144"/>
      <c r="Z615" s="144"/>
    </row>
    <row r="616" spans="1:26" x14ac:dyDescent="0.3">
      <c r="A616" s="144"/>
      <c r="B616" s="144"/>
      <c r="C616" s="144"/>
      <c r="D616" s="144"/>
      <c r="E616" s="144"/>
      <c r="F616" s="52"/>
      <c r="G616" s="52"/>
      <c r="H616" s="52"/>
      <c r="I616" s="52"/>
      <c r="J616" s="52"/>
      <c r="K616" s="144"/>
      <c r="L616" s="144"/>
      <c r="M616" s="144"/>
      <c r="N616" s="144"/>
      <c r="O616" s="144"/>
      <c r="P616" s="144"/>
      <c r="Q616" s="144"/>
      <c r="R616" s="144"/>
      <c r="S616" s="144"/>
      <c r="T616" s="144"/>
      <c r="U616" s="144"/>
      <c r="V616" s="144"/>
      <c r="W616" s="144"/>
      <c r="X616" s="144"/>
      <c r="Y616" s="144"/>
      <c r="Z616" s="144"/>
    </row>
    <row r="617" spans="1:26" x14ac:dyDescent="0.3">
      <c r="A617" s="144"/>
      <c r="B617" s="144"/>
      <c r="C617" s="144"/>
      <c r="D617" s="144"/>
      <c r="E617" s="144"/>
      <c r="F617" s="52"/>
      <c r="G617" s="52"/>
      <c r="H617" s="52"/>
      <c r="I617" s="52"/>
      <c r="J617" s="52"/>
      <c r="K617" s="144"/>
      <c r="L617" s="144"/>
      <c r="M617" s="144"/>
      <c r="N617" s="144"/>
      <c r="O617" s="144"/>
      <c r="P617" s="144"/>
      <c r="Q617" s="144"/>
      <c r="R617" s="144"/>
      <c r="S617" s="144"/>
      <c r="T617" s="144"/>
      <c r="U617" s="144"/>
      <c r="V617" s="144"/>
      <c r="W617" s="144"/>
      <c r="X617" s="144"/>
      <c r="Y617" s="144"/>
      <c r="Z617" s="144"/>
    </row>
    <row r="618" spans="1:26" x14ac:dyDescent="0.3">
      <c r="A618" s="144"/>
      <c r="B618" s="144"/>
      <c r="C618" s="144"/>
      <c r="D618" s="144"/>
      <c r="E618" s="144"/>
      <c r="F618" s="52"/>
      <c r="G618" s="52"/>
      <c r="H618" s="52"/>
      <c r="I618" s="52"/>
      <c r="J618" s="52"/>
      <c r="K618" s="144"/>
      <c r="L618" s="144"/>
      <c r="M618" s="144"/>
      <c r="N618" s="144"/>
      <c r="O618" s="144"/>
      <c r="P618" s="144"/>
      <c r="Q618" s="144"/>
      <c r="R618" s="144"/>
      <c r="S618" s="144"/>
      <c r="T618" s="144"/>
      <c r="U618" s="144"/>
      <c r="V618" s="144"/>
      <c r="W618" s="144"/>
      <c r="X618" s="144"/>
      <c r="Y618" s="144"/>
      <c r="Z618" s="144"/>
    </row>
    <row r="619" spans="1:26" x14ac:dyDescent="0.3">
      <c r="A619" s="144"/>
      <c r="B619" s="144"/>
      <c r="C619" s="144"/>
      <c r="D619" s="144"/>
      <c r="E619" s="144"/>
      <c r="F619" s="52"/>
      <c r="G619" s="52"/>
      <c r="H619" s="52"/>
      <c r="I619" s="52"/>
      <c r="J619" s="52"/>
      <c r="K619" s="144"/>
      <c r="L619" s="144"/>
      <c r="M619" s="144"/>
      <c r="N619" s="144"/>
      <c r="O619" s="144"/>
      <c r="P619" s="144"/>
      <c r="Q619" s="144"/>
      <c r="R619" s="144"/>
      <c r="S619" s="144"/>
      <c r="T619" s="144"/>
      <c r="U619" s="144"/>
      <c r="V619" s="144"/>
      <c r="W619" s="144"/>
      <c r="X619" s="144"/>
      <c r="Y619" s="144"/>
      <c r="Z619" s="144"/>
    </row>
    <row r="620" spans="1:26" x14ac:dyDescent="0.3">
      <c r="A620" s="144"/>
      <c r="B620" s="144"/>
      <c r="C620" s="144"/>
      <c r="D620" s="144"/>
      <c r="E620" s="144"/>
      <c r="F620" s="52"/>
      <c r="G620" s="52"/>
      <c r="H620" s="52"/>
      <c r="I620" s="52"/>
      <c r="J620" s="52"/>
      <c r="K620" s="144"/>
      <c r="L620" s="144"/>
      <c r="M620" s="144"/>
      <c r="N620" s="144"/>
      <c r="O620" s="144"/>
      <c r="P620" s="144"/>
      <c r="Q620" s="144"/>
      <c r="R620" s="144"/>
      <c r="S620" s="144"/>
      <c r="T620" s="144"/>
      <c r="U620" s="144"/>
      <c r="V620" s="144"/>
      <c r="W620" s="144"/>
      <c r="X620" s="144"/>
      <c r="Y620" s="144"/>
      <c r="Z620" s="144"/>
    </row>
    <row r="621" spans="1:26" x14ac:dyDescent="0.3">
      <c r="A621" s="144"/>
      <c r="B621" s="144"/>
      <c r="C621" s="144"/>
      <c r="D621" s="144"/>
      <c r="E621" s="144"/>
      <c r="F621" s="52"/>
      <c r="G621" s="52"/>
      <c r="H621" s="52"/>
      <c r="I621" s="52"/>
      <c r="J621" s="52"/>
      <c r="K621" s="144"/>
      <c r="L621" s="144"/>
      <c r="M621" s="144"/>
      <c r="N621" s="144"/>
      <c r="O621" s="144"/>
      <c r="P621" s="144"/>
      <c r="Q621" s="144"/>
      <c r="R621" s="144"/>
      <c r="S621" s="144"/>
      <c r="T621" s="144"/>
      <c r="U621" s="144"/>
      <c r="V621" s="144"/>
      <c r="W621" s="144"/>
      <c r="X621" s="144"/>
      <c r="Y621" s="144"/>
      <c r="Z621" s="144"/>
    </row>
    <row r="622" spans="1:26" x14ac:dyDescent="0.3">
      <c r="A622" s="144"/>
      <c r="B622" s="144"/>
      <c r="C622" s="144"/>
      <c r="D622" s="144"/>
      <c r="E622" s="144"/>
      <c r="F622" s="52"/>
      <c r="G622" s="52"/>
      <c r="H622" s="52"/>
      <c r="I622" s="52"/>
      <c r="J622" s="52"/>
      <c r="K622" s="144"/>
      <c r="L622" s="144"/>
      <c r="M622" s="144"/>
      <c r="N622" s="144"/>
      <c r="O622" s="144"/>
      <c r="P622" s="144"/>
      <c r="Q622" s="144"/>
      <c r="R622" s="144"/>
      <c r="S622" s="144"/>
      <c r="T622" s="144"/>
      <c r="U622" s="144"/>
      <c r="V622" s="144"/>
      <c r="W622" s="144"/>
      <c r="X622" s="144"/>
      <c r="Y622" s="144"/>
      <c r="Z622" s="144"/>
    </row>
    <row r="623" spans="1:26" x14ac:dyDescent="0.3">
      <c r="A623" s="144"/>
      <c r="B623" s="144"/>
      <c r="C623" s="144"/>
      <c r="D623" s="144"/>
      <c r="E623" s="144"/>
      <c r="F623" s="52"/>
      <c r="G623" s="52"/>
      <c r="H623" s="52"/>
      <c r="I623" s="52"/>
      <c r="J623" s="52"/>
      <c r="K623" s="144"/>
      <c r="L623" s="144"/>
      <c r="M623" s="144"/>
      <c r="N623" s="144"/>
      <c r="O623" s="144"/>
      <c r="P623" s="144"/>
      <c r="Q623" s="144"/>
      <c r="R623" s="144"/>
      <c r="S623" s="144"/>
      <c r="T623" s="144"/>
      <c r="U623" s="144"/>
      <c r="V623" s="144"/>
      <c r="W623" s="144"/>
      <c r="X623" s="144"/>
      <c r="Y623" s="144"/>
      <c r="Z623" s="144"/>
    </row>
    <row r="624" spans="1:26" x14ac:dyDescent="0.3">
      <c r="A624" s="144"/>
      <c r="B624" s="144"/>
      <c r="C624" s="144"/>
      <c r="D624" s="144"/>
      <c r="E624" s="144"/>
      <c r="F624" s="52"/>
      <c r="G624" s="52"/>
      <c r="H624" s="52"/>
      <c r="I624" s="52"/>
      <c r="J624" s="52"/>
      <c r="K624" s="144"/>
      <c r="L624" s="144"/>
      <c r="M624" s="144"/>
      <c r="N624" s="144"/>
      <c r="O624" s="144"/>
      <c r="P624" s="144"/>
      <c r="Q624" s="144"/>
      <c r="R624" s="144"/>
      <c r="S624" s="144"/>
      <c r="T624" s="144"/>
      <c r="U624" s="144"/>
      <c r="V624" s="144"/>
      <c r="W624" s="144"/>
      <c r="X624" s="144"/>
      <c r="Y624" s="144"/>
      <c r="Z624" s="144"/>
    </row>
    <row r="625" spans="1:26" x14ac:dyDescent="0.3">
      <c r="A625" s="144"/>
      <c r="B625" s="144"/>
      <c r="C625" s="144"/>
      <c r="D625" s="144"/>
      <c r="E625" s="144"/>
      <c r="F625" s="52"/>
      <c r="G625" s="52"/>
      <c r="H625" s="52"/>
      <c r="I625" s="52"/>
      <c r="J625" s="52"/>
      <c r="K625" s="144"/>
      <c r="L625" s="144"/>
      <c r="M625" s="144"/>
      <c r="N625" s="144"/>
      <c r="O625" s="144"/>
      <c r="P625" s="144"/>
      <c r="Q625" s="144"/>
      <c r="R625" s="144"/>
      <c r="S625" s="144"/>
      <c r="T625" s="144"/>
      <c r="U625" s="144"/>
      <c r="V625" s="144"/>
      <c r="W625" s="144"/>
      <c r="X625" s="144"/>
      <c r="Y625" s="144"/>
      <c r="Z625" s="144"/>
    </row>
    <row r="626" spans="1:26" x14ac:dyDescent="0.3">
      <c r="A626" s="144"/>
      <c r="B626" s="144"/>
      <c r="C626" s="144"/>
      <c r="D626" s="144"/>
      <c r="E626" s="144"/>
      <c r="F626" s="52"/>
      <c r="G626" s="52"/>
      <c r="H626" s="52"/>
      <c r="I626" s="52"/>
      <c r="J626" s="52"/>
      <c r="K626" s="144"/>
      <c r="L626" s="144"/>
      <c r="M626" s="144"/>
      <c r="N626" s="144"/>
      <c r="O626" s="144"/>
      <c r="P626" s="144"/>
      <c r="Q626" s="144"/>
      <c r="R626" s="144"/>
      <c r="S626" s="144"/>
      <c r="T626" s="144"/>
      <c r="U626" s="144"/>
      <c r="V626" s="144"/>
      <c r="W626" s="144"/>
      <c r="X626" s="144"/>
      <c r="Y626" s="144"/>
      <c r="Z626" s="144"/>
    </row>
    <row r="627" spans="1:26" x14ac:dyDescent="0.3">
      <c r="A627" s="144"/>
      <c r="B627" s="144"/>
      <c r="C627" s="144"/>
      <c r="D627" s="144"/>
      <c r="E627" s="144"/>
      <c r="F627" s="52"/>
      <c r="G627" s="52"/>
      <c r="H627" s="52"/>
      <c r="I627" s="52"/>
      <c r="J627" s="52"/>
      <c r="K627" s="144"/>
      <c r="L627" s="144"/>
      <c r="M627" s="144"/>
      <c r="N627" s="144"/>
      <c r="O627" s="144"/>
      <c r="P627" s="144"/>
      <c r="Q627" s="144"/>
      <c r="R627" s="144"/>
      <c r="S627" s="144"/>
      <c r="T627" s="144"/>
      <c r="U627" s="144"/>
      <c r="V627" s="144"/>
      <c r="W627" s="144"/>
      <c r="X627" s="144"/>
      <c r="Y627" s="144"/>
      <c r="Z627" s="144"/>
    </row>
    <row r="628" spans="1:26" x14ac:dyDescent="0.3">
      <c r="A628" s="144"/>
      <c r="B628" s="144"/>
      <c r="C628" s="144"/>
      <c r="D628" s="144"/>
      <c r="E628" s="144"/>
      <c r="F628" s="52"/>
      <c r="G628" s="52"/>
      <c r="H628" s="52"/>
      <c r="I628" s="52"/>
      <c r="J628" s="52"/>
      <c r="K628" s="144"/>
      <c r="L628" s="144"/>
      <c r="M628" s="144"/>
      <c r="N628" s="144"/>
      <c r="O628" s="144"/>
      <c r="P628" s="144"/>
      <c r="Q628" s="144"/>
      <c r="R628" s="144"/>
      <c r="S628" s="144"/>
      <c r="T628" s="144"/>
      <c r="U628" s="144"/>
      <c r="V628" s="144"/>
      <c r="W628" s="144"/>
      <c r="X628" s="144"/>
      <c r="Y628" s="144"/>
      <c r="Z628" s="144"/>
    </row>
    <row r="629" spans="1:26" x14ac:dyDescent="0.3">
      <c r="A629" s="144"/>
      <c r="B629" s="144"/>
      <c r="C629" s="144"/>
      <c r="D629" s="144"/>
      <c r="E629" s="144"/>
      <c r="F629" s="52"/>
      <c r="G629" s="52"/>
      <c r="H629" s="52"/>
      <c r="I629" s="52"/>
      <c r="J629" s="52"/>
      <c r="K629" s="144"/>
      <c r="L629" s="144"/>
      <c r="M629" s="144"/>
      <c r="N629" s="144"/>
      <c r="O629" s="144"/>
      <c r="P629" s="144"/>
      <c r="Q629" s="144"/>
      <c r="R629" s="144"/>
      <c r="S629" s="144"/>
      <c r="T629" s="144"/>
      <c r="U629" s="144"/>
      <c r="V629" s="144"/>
      <c r="W629" s="144"/>
      <c r="X629" s="144"/>
      <c r="Y629" s="144"/>
      <c r="Z629" s="144"/>
    </row>
    <row r="630" spans="1:26" x14ac:dyDescent="0.3">
      <c r="A630" s="144"/>
      <c r="B630" s="144"/>
      <c r="C630" s="144"/>
      <c r="D630" s="144"/>
      <c r="E630" s="144"/>
      <c r="F630" s="52"/>
      <c r="G630" s="52"/>
      <c r="H630" s="52"/>
      <c r="I630" s="52"/>
      <c r="J630" s="52"/>
      <c r="K630" s="144"/>
      <c r="L630" s="144"/>
      <c r="M630" s="144"/>
      <c r="N630" s="144"/>
      <c r="O630" s="144"/>
      <c r="P630" s="144"/>
      <c r="Q630" s="144"/>
      <c r="R630" s="144"/>
      <c r="S630" s="144"/>
      <c r="T630" s="144"/>
      <c r="U630" s="144"/>
      <c r="V630" s="144"/>
      <c r="W630" s="144"/>
      <c r="X630" s="144"/>
      <c r="Y630" s="144"/>
      <c r="Z630" s="144"/>
    </row>
    <row r="631" spans="1:26" x14ac:dyDescent="0.3">
      <c r="A631" s="144"/>
      <c r="B631" s="144"/>
      <c r="C631" s="144"/>
      <c r="D631" s="144"/>
      <c r="E631" s="144"/>
      <c r="F631" s="52"/>
      <c r="G631" s="52"/>
      <c r="H631" s="52"/>
      <c r="I631" s="52"/>
      <c r="J631" s="52"/>
      <c r="K631" s="144"/>
      <c r="L631" s="144"/>
      <c r="M631" s="144"/>
      <c r="N631" s="144"/>
      <c r="O631" s="144"/>
      <c r="P631" s="144"/>
      <c r="Q631" s="144"/>
      <c r="R631" s="144"/>
      <c r="S631" s="144"/>
      <c r="T631" s="144"/>
      <c r="U631" s="144"/>
      <c r="V631" s="144"/>
      <c r="W631" s="144"/>
      <c r="X631" s="144"/>
      <c r="Y631" s="144"/>
      <c r="Z631" s="144"/>
    </row>
    <row r="632" spans="1:26" x14ac:dyDescent="0.3">
      <c r="A632" s="144"/>
      <c r="B632" s="144"/>
      <c r="C632" s="144"/>
      <c r="D632" s="144"/>
      <c r="E632" s="144"/>
      <c r="F632" s="52"/>
      <c r="G632" s="52"/>
      <c r="H632" s="52"/>
      <c r="I632" s="52"/>
      <c r="J632" s="52"/>
      <c r="K632" s="144"/>
      <c r="L632" s="144"/>
      <c r="M632" s="144"/>
      <c r="N632" s="144"/>
      <c r="O632" s="144"/>
      <c r="P632" s="144"/>
      <c r="Q632" s="144"/>
      <c r="R632" s="144"/>
      <c r="S632" s="144"/>
      <c r="T632" s="144"/>
      <c r="U632" s="144"/>
      <c r="V632" s="144"/>
      <c r="W632" s="144"/>
      <c r="X632" s="144"/>
      <c r="Y632" s="144"/>
      <c r="Z632" s="144"/>
    </row>
    <row r="633" spans="1:26" x14ac:dyDescent="0.3">
      <c r="A633" s="144"/>
      <c r="B633" s="144"/>
      <c r="C633" s="144"/>
      <c r="D633" s="144"/>
      <c r="E633" s="144"/>
      <c r="F633" s="52"/>
      <c r="G633" s="52"/>
      <c r="H633" s="52"/>
      <c r="I633" s="52"/>
      <c r="J633" s="52"/>
      <c r="K633" s="144"/>
      <c r="L633" s="144"/>
      <c r="M633" s="144"/>
      <c r="N633" s="144"/>
      <c r="O633" s="144"/>
      <c r="P633" s="144"/>
      <c r="Q633" s="144"/>
      <c r="R633" s="144"/>
      <c r="S633" s="144"/>
      <c r="T633" s="144"/>
      <c r="U633" s="144"/>
      <c r="V633" s="144"/>
      <c r="W633" s="144"/>
      <c r="X633" s="144"/>
      <c r="Y633" s="144"/>
      <c r="Z633" s="144"/>
    </row>
    <row r="634" spans="1:26" x14ac:dyDescent="0.3">
      <c r="A634" s="144"/>
      <c r="B634" s="144"/>
      <c r="C634" s="144"/>
      <c r="D634" s="144"/>
      <c r="E634" s="144"/>
      <c r="F634" s="52"/>
      <c r="G634" s="52"/>
      <c r="H634" s="52"/>
      <c r="I634" s="52"/>
      <c r="J634" s="52"/>
      <c r="K634" s="144"/>
      <c r="L634" s="144"/>
      <c r="M634" s="144"/>
      <c r="N634" s="144"/>
      <c r="O634" s="144"/>
      <c r="P634" s="144"/>
      <c r="Q634" s="144"/>
      <c r="R634" s="144"/>
      <c r="S634" s="144"/>
      <c r="T634" s="144"/>
      <c r="U634" s="144"/>
      <c r="V634" s="144"/>
      <c r="W634" s="144"/>
      <c r="X634" s="144"/>
      <c r="Y634" s="144"/>
      <c r="Z634" s="144"/>
    </row>
    <row r="635" spans="1:26" x14ac:dyDescent="0.3">
      <c r="A635" s="144"/>
      <c r="B635" s="144"/>
      <c r="C635" s="144"/>
      <c r="D635" s="144"/>
      <c r="E635" s="144"/>
      <c r="F635" s="52"/>
      <c r="G635" s="52"/>
      <c r="H635" s="52"/>
      <c r="I635" s="52"/>
      <c r="J635" s="52"/>
      <c r="K635" s="144"/>
      <c r="L635" s="144"/>
      <c r="M635" s="144"/>
      <c r="N635" s="144"/>
      <c r="O635" s="144"/>
      <c r="P635" s="144"/>
      <c r="Q635" s="144"/>
      <c r="R635" s="144"/>
      <c r="S635" s="144"/>
      <c r="T635" s="144"/>
      <c r="U635" s="144"/>
      <c r="V635" s="144"/>
      <c r="W635" s="144"/>
      <c r="X635" s="144"/>
      <c r="Y635" s="144"/>
      <c r="Z635" s="144"/>
    </row>
    <row r="636" spans="1:26" x14ac:dyDescent="0.3">
      <c r="A636" s="144"/>
      <c r="B636" s="144"/>
      <c r="C636" s="144"/>
      <c r="D636" s="144"/>
      <c r="E636" s="144"/>
      <c r="F636" s="52"/>
      <c r="G636" s="52"/>
      <c r="H636" s="52"/>
      <c r="I636" s="52"/>
      <c r="J636" s="52"/>
      <c r="K636" s="144"/>
      <c r="L636" s="144"/>
      <c r="M636" s="144"/>
      <c r="N636" s="144"/>
      <c r="O636" s="144"/>
      <c r="P636" s="144"/>
      <c r="Q636" s="144"/>
      <c r="R636" s="144"/>
      <c r="S636" s="144"/>
      <c r="T636" s="144"/>
      <c r="U636" s="144"/>
      <c r="V636" s="144"/>
      <c r="W636" s="144"/>
      <c r="X636" s="144"/>
      <c r="Y636" s="144"/>
      <c r="Z636" s="144"/>
    </row>
    <row r="637" spans="1:26" x14ac:dyDescent="0.3">
      <c r="A637" s="144"/>
      <c r="B637" s="144"/>
      <c r="C637" s="144"/>
      <c r="D637" s="144"/>
      <c r="E637" s="144"/>
      <c r="F637" s="52"/>
      <c r="G637" s="52"/>
      <c r="H637" s="52"/>
      <c r="I637" s="52"/>
      <c r="J637" s="52"/>
      <c r="K637" s="144"/>
      <c r="L637" s="144"/>
      <c r="M637" s="144"/>
      <c r="N637" s="144"/>
      <c r="O637" s="144"/>
      <c r="P637" s="144"/>
      <c r="Q637" s="144"/>
      <c r="R637" s="144"/>
      <c r="S637" s="144"/>
      <c r="T637" s="144"/>
      <c r="U637" s="144"/>
      <c r="V637" s="144"/>
      <c r="W637" s="144"/>
      <c r="X637" s="144"/>
      <c r="Y637" s="144"/>
      <c r="Z637" s="144"/>
    </row>
    <row r="638" spans="1:26" x14ac:dyDescent="0.3">
      <c r="A638" s="144"/>
      <c r="B638" s="144"/>
      <c r="C638" s="144"/>
      <c r="D638" s="144"/>
      <c r="E638" s="144"/>
      <c r="F638" s="52"/>
      <c r="G638" s="52"/>
      <c r="H638" s="52"/>
      <c r="I638" s="52"/>
      <c r="J638" s="52"/>
      <c r="K638" s="144"/>
      <c r="L638" s="144"/>
      <c r="M638" s="144"/>
      <c r="N638" s="144"/>
      <c r="O638" s="144"/>
      <c r="P638" s="144"/>
      <c r="Q638" s="144"/>
      <c r="R638" s="144"/>
      <c r="S638" s="144"/>
      <c r="T638" s="144"/>
      <c r="U638" s="144"/>
      <c r="V638" s="144"/>
      <c r="W638" s="144"/>
      <c r="X638" s="144"/>
      <c r="Y638" s="144"/>
      <c r="Z638" s="144"/>
    </row>
    <row r="639" spans="1:26" x14ac:dyDescent="0.3">
      <c r="A639" s="144"/>
      <c r="B639" s="144"/>
      <c r="C639" s="144"/>
      <c r="D639" s="144"/>
      <c r="E639" s="144"/>
      <c r="F639" s="52"/>
      <c r="G639" s="52"/>
      <c r="H639" s="52"/>
      <c r="I639" s="52"/>
      <c r="J639" s="52"/>
      <c r="K639" s="144"/>
      <c r="L639" s="144"/>
      <c r="M639" s="144"/>
      <c r="N639" s="144"/>
      <c r="O639" s="144"/>
      <c r="P639" s="144"/>
      <c r="Q639" s="144"/>
      <c r="R639" s="144"/>
      <c r="S639" s="144"/>
      <c r="T639" s="144"/>
      <c r="U639" s="144"/>
      <c r="V639" s="144"/>
      <c r="W639" s="144"/>
      <c r="X639" s="144"/>
      <c r="Y639" s="144"/>
      <c r="Z639" s="144"/>
    </row>
    <row r="640" spans="1:26" x14ac:dyDescent="0.3">
      <c r="A640" s="144"/>
      <c r="B640" s="144"/>
      <c r="C640" s="144"/>
      <c r="D640" s="144"/>
      <c r="E640" s="144"/>
      <c r="F640" s="52"/>
      <c r="G640" s="52"/>
      <c r="H640" s="52"/>
      <c r="I640" s="52"/>
      <c r="J640" s="52"/>
      <c r="K640" s="144"/>
      <c r="L640" s="144"/>
      <c r="M640" s="144"/>
      <c r="N640" s="144"/>
      <c r="O640" s="144"/>
      <c r="P640" s="144"/>
      <c r="Q640" s="144"/>
      <c r="R640" s="144"/>
      <c r="S640" s="144"/>
      <c r="T640" s="144"/>
      <c r="U640" s="144"/>
      <c r="V640" s="144"/>
      <c r="W640" s="144"/>
      <c r="X640" s="144"/>
      <c r="Y640" s="144"/>
      <c r="Z640" s="144"/>
    </row>
    <row r="641" spans="1:26" x14ac:dyDescent="0.3">
      <c r="A641" s="144"/>
      <c r="B641" s="144"/>
      <c r="C641" s="144"/>
      <c r="D641" s="144"/>
      <c r="E641" s="144"/>
      <c r="F641" s="52"/>
      <c r="G641" s="52"/>
      <c r="H641" s="52"/>
      <c r="I641" s="52"/>
      <c r="J641" s="52"/>
      <c r="K641" s="144"/>
      <c r="L641" s="144"/>
      <c r="M641" s="144"/>
      <c r="N641" s="144"/>
      <c r="O641" s="144"/>
      <c r="P641" s="144"/>
      <c r="Q641" s="144"/>
      <c r="R641" s="144"/>
      <c r="S641" s="144"/>
      <c r="T641" s="144"/>
      <c r="U641" s="144"/>
      <c r="V641" s="144"/>
      <c r="W641" s="144"/>
      <c r="X641" s="144"/>
      <c r="Y641" s="144"/>
      <c r="Z641" s="144"/>
    </row>
    <row r="642" spans="1:26" x14ac:dyDescent="0.3">
      <c r="A642" s="144"/>
      <c r="B642" s="144"/>
      <c r="C642" s="144"/>
      <c r="D642" s="144"/>
      <c r="E642" s="144"/>
      <c r="F642" s="52"/>
      <c r="G642" s="52"/>
      <c r="H642" s="52"/>
      <c r="I642" s="52"/>
      <c r="J642" s="52"/>
      <c r="K642" s="144"/>
      <c r="L642" s="144"/>
      <c r="M642" s="144"/>
      <c r="N642" s="144"/>
      <c r="O642" s="144"/>
      <c r="P642" s="144"/>
      <c r="Q642" s="144"/>
      <c r="R642" s="144"/>
      <c r="S642" s="144"/>
      <c r="T642" s="144"/>
      <c r="U642" s="144"/>
      <c r="V642" s="144"/>
      <c r="W642" s="144"/>
      <c r="X642" s="144"/>
      <c r="Y642" s="144"/>
      <c r="Z642" s="144"/>
    </row>
    <row r="643" spans="1:26" x14ac:dyDescent="0.3">
      <c r="A643" s="144"/>
      <c r="B643" s="144"/>
      <c r="C643" s="144"/>
      <c r="D643" s="144"/>
      <c r="E643" s="144"/>
      <c r="F643" s="52"/>
      <c r="G643" s="52"/>
      <c r="H643" s="52"/>
      <c r="I643" s="52"/>
      <c r="J643" s="52"/>
      <c r="K643" s="144"/>
      <c r="L643" s="144"/>
      <c r="M643" s="144"/>
      <c r="N643" s="144"/>
      <c r="O643" s="144"/>
      <c r="P643" s="144"/>
      <c r="Q643" s="144"/>
      <c r="R643" s="144"/>
      <c r="S643" s="144"/>
      <c r="T643" s="144"/>
      <c r="U643" s="144"/>
      <c r="V643" s="144"/>
      <c r="W643" s="144"/>
      <c r="X643" s="144"/>
      <c r="Y643" s="144"/>
      <c r="Z643" s="144"/>
    </row>
    <row r="644" spans="1:26" x14ac:dyDescent="0.3">
      <c r="A644" s="144"/>
      <c r="B644" s="144"/>
      <c r="C644" s="144"/>
      <c r="D644" s="144"/>
      <c r="E644" s="144"/>
      <c r="F644" s="52"/>
      <c r="G644" s="52"/>
      <c r="H644" s="52"/>
      <c r="I644" s="52"/>
      <c r="J644" s="52"/>
      <c r="K644" s="144"/>
      <c r="L644" s="144"/>
      <c r="M644" s="144"/>
      <c r="N644" s="144"/>
      <c r="O644" s="144"/>
      <c r="P644" s="144"/>
      <c r="Q644" s="144"/>
      <c r="R644" s="144"/>
      <c r="S644" s="144"/>
      <c r="T644" s="144"/>
      <c r="U644" s="144"/>
      <c r="V644" s="144"/>
      <c r="W644" s="144"/>
      <c r="X644" s="144"/>
      <c r="Y644" s="144"/>
      <c r="Z644" s="144"/>
    </row>
    <row r="645" spans="1:26" x14ac:dyDescent="0.3">
      <c r="A645" s="144"/>
      <c r="B645" s="144"/>
      <c r="C645" s="144"/>
      <c r="D645" s="144"/>
      <c r="E645" s="144"/>
      <c r="F645" s="52"/>
      <c r="G645" s="52"/>
      <c r="H645" s="52"/>
      <c r="I645" s="52"/>
      <c r="J645" s="52"/>
      <c r="K645" s="144"/>
      <c r="L645" s="144"/>
      <c r="M645" s="144"/>
      <c r="N645" s="144"/>
      <c r="O645" s="144"/>
      <c r="P645" s="144"/>
      <c r="Q645" s="144"/>
      <c r="R645" s="144"/>
      <c r="S645" s="144"/>
      <c r="T645" s="144"/>
      <c r="U645" s="144"/>
      <c r="V645" s="144"/>
      <c r="W645" s="144"/>
      <c r="X645" s="144"/>
      <c r="Y645" s="144"/>
      <c r="Z645" s="144"/>
    </row>
    <row r="646" spans="1:26" x14ac:dyDescent="0.3">
      <c r="A646" s="144"/>
      <c r="B646" s="144"/>
      <c r="C646" s="144"/>
      <c r="D646" s="144"/>
      <c r="E646" s="144"/>
      <c r="F646" s="52"/>
      <c r="G646" s="52"/>
      <c r="H646" s="52"/>
      <c r="I646" s="52"/>
      <c r="J646" s="52"/>
      <c r="K646" s="144"/>
      <c r="L646" s="144"/>
      <c r="M646" s="144"/>
      <c r="N646" s="144"/>
      <c r="O646" s="144"/>
      <c r="P646" s="144"/>
      <c r="Q646" s="144"/>
      <c r="R646" s="144"/>
      <c r="S646" s="144"/>
      <c r="T646" s="144"/>
      <c r="U646" s="144"/>
      <c r="V646" s="144"/>
      <c r="W646" s="144"/>
      <c r="X646" s="144"/>
      <c r="Y646" s="144"/>
      <c r="Z646" s="144"/>
    </row>
    <row r="647" spans="1:26" x14ac:dyDescent="0.3">
      <c r="A647" s="144"/>
      <c r="B647" s="144"/>
      <c r="C647" s="144"/>
      <c r="D647" s="144"/>
      <c r="E647" s="144"/>
      <c r="F647" s="52"/>
      <c r="G647" s="52"/>
      <c r="H647" s="52"/>
      <c r="I647" s="52"/>
      <c r="J647" s="52"/>
      <c r="K647" s="144"/>
      <c r="L647" s="144"/>
      <c r="M647" s="144"/>
      <c r="N647" s="144"/>
      <c r="O647" s="144"/>
      <c r="P647" s="144"/>
      <c r="Q647" s="144"/>
      <c r="R647" s="144"/>
      <c r="S647" s="144"/>
      <c r="T647" s="144"/>
      <c r="U647" s="144"/>
      <c r="V647" s="144"/>
      <c r="W647" s="144"/>
      <c r="X647" s="144"/>
      <c r="Y647" s="144"/>
      <c r="Z647" s="144"/>
    </row>
    <row r="648" spans="1:26" x14ac:dyDescent="0.3">
      <c r="A648" s="144"/>
      <c r="B648" s="144"/>
      <c r="C648" s="144"/>
      <c r="D648" s="144"/>
      <c r="E648" s="144"/>
      <c r="F648" s="52"/>
      <c r="G648" s="52"/>
      <c r="H648" s="52"/>
      <c r="I648" s="52"/>
      <c r="J648" s="52"/>
      <c r="K648" s="144"/>
      <c r="L648" s="144"/>
      <c r="M648" s="144"/>
      <c r="N648" s="144"/>
      <c r="O648" s="144"/>
      <c r="P648" s="144"/>
      <c r="Q648" s="144"/>
      <c r="R648" s="144"/>
      <c r="S648" s="144"/>
      <c r="T648" s="144"/>
      <c r="U648" s="144"/>
      <c r="V648" s="144"/>
      <c r="W648" s="144"/>
      <c r="X648" s="144"/>
      <c r="Y648" s="144"/>
      <c r="Z648" s="144"/>
    </row>
    <row r="649" spans="1:26" x14ac:dyDescent="0.3">
      <c r="A649" s="144"/>
      <c r="B649" s="144"/>
      <c r="C649" s="144"/>
      <c r="D649" s="144"/>
      <c r="E649" s="144"/>
      <c r="F649" s="52"/>
      <c r="G649" s="52"/>
      <c r="H649" s="52"/>
      <c r="I649" s="52"/>
      <c r="J649" s="52"/>
      <c r="K649" s="144"/>
      <c r="L649" s="144"/>
      <c r="M649" s="144"/>
      <c r="N649" s="144"/>
      <c r="O649" s="144"/>
      <c r="P649" s="144"/>
      <c r="Q649" s="144"/>
      <c r="R649" s="144"/>
      <c r="S649" s="144"/>
      <c r="T649" s="144"/>
      <c r="U649" s="144"/>
      <c r="V649" s="144"/>
      <c r="W649" s="144"/>
      <c r="X649" s="144"/>
      <c r="Y649" s="144"/>
      <c r="Z649" s="144"/>
    </row>
    <row r="650" spans="1:26" x14ac:dyDescent="0.3">
      <c r="A650" s="144"/>
      <c r="B650" s="144"/>
      <c r="C650" s="144"/>
      <c r="D650" s="144"/>
      <c r="E650" s="144"/>
      <c r="F650" s="52"/>
      <c r="G650" s="52"/>
      <c r="H650" s="52"/>
      <c r="I650" s="52"/>
      <c r="J650" s="52"/>
      <c r="K650" s="144"/>
      <c r="L650" s="144"/>
      <c r="M650" s="144"/>
      <c r="N650" s="144"/>
      <c r="O650" s="144"/>
      <c r="P650" s="144"/>
      <c r="Q650" s="144"/>
      <c r="R650" s="144"/>
      <c r="S650" s="144"/>
      <c r="T650" s="144"/>
      <c r="U650" s="144"/>
      <c r="V650" s="144"/>
      <c r="W650" s="144"/>
      <c r="X650" s="144"/>
      <c r="Y650" s="144"/>
      <c r="Z650" s="144"/>
    </row>
    <row r="651" spans="1:26" x14ac:dyDescent="0.3">
      <c r="A651" s="144"/>
      <c r="B651" s="144"/>
      <c r="C651" s="144"/>
      <c r="D651" s="144"/>
      <c r="E651" s="144"/>
      <c r="F651" s="52"/>
      <c r="G651" s="52"/>
      <c r="H651" s="52"/>
      <c r="I651" s="52"/>
      <c r="J651" s="52"/>
      <c r="K651" s="144"/>
      <c r="L651" s="144"/>
      <c r="M651" s="144"/>
      <c r="N651" s="144"/>
      <c r="O651" s="144"/>
      <c r="P651" s="144"/>
      <c r="Q651" s="144"/>
      <c r="R651" s="144"/>
      <c r="S651" s="144"/>
      <c r="T651" s="144"/>
      <c r="U651" s="144"/>
      <c r="V651" s="144"/>
      <c r="W651" s="144"/>
      <c r="X651" s="144"/>
      <c r="Y651" s="144"/>
      <c r="Z651" s="144"/>
    </row>
    <row r="652" spans="1:26" x14ac:dyDescent="0.3">
      <c r="A652" s="144"/>
      <c r="B652" s="144"/>
      <c r="C652" s="144"/>
      <c r="D652" s="144"/>
      <c r="E652" s="144"/>
      <c r="F652" s="52"/>
      <c r="G652" s="52"/>
      <c r="H652" s="52"/>
      <c r="I652" s="52"/>
      <c r="J652" s="52"/>
      <c r="K652" s="144"/>
      <c r="L652" s="144"/>
      <c r="M652" s="144"/>
      <c r="N652" s="144"/>
      <c r="O652" s="144"/>
      <c r="P652" s="144"/>
      <c r="Q652" s="144"/>
      <c r="R652" s="144"/>
      <c r="S652" s="144"/>
      <c r="T652" s="144"/>
      <c r="U652" s="144"/>
      <c r="V652" s="144"/>
      <c r="W652" s="144"/>
      <c r="X652" s="144"/>
      <c r="Y652" s="144"/>
      <c r="Z652" s="144"/>
    </row>
    <row r="653" spans="1:26" x14ac:dyDescent="0.3">
      <c r="A653" s="144"/>
      <c r="B653" s="144"/>
      <c r="C653" s="144"/>
      <c r="D653" s="144"/>
      <c r="E653" s="144"/>
      <c r="F653" s="52"/>
      <c r="G653" s="52"/>
      <c r="H653" s="52"/>
      <c r="I653" s="52"/>
      <c r="J653" s="52"/>
      <c r="K653" s="144"/>
      <c r="L653" s="144"/>
      <c r="M653" s="144"/>
      <c r="N653" s="144"/>
      <c r="O653" s="144"/>
      <c r="P653" s="144"/>
      <c r="Q653" s="144"/>
      <c r="R653" s="144"/>
      <c r="S653" s="144"/>
      <c r="T653" s="144"/>
      <c r="U653" s="144"/>
      <c r="V653" s="144"/>
      <c r="W653" s="144"/>
      <c r="X653" s="144"/>
      <c r="Y653" s="144"/>
      <c r="Z653" s="144"/>
    </row>
    <row r="654" spans="1:26" x14ac:dyDescent="0.3">
      <c r="A654" s="144"/>
      <c r="B654" s="144"/>
      <c r="C654" s="144"/>
      <c r="D654" s="144"/>
      <c r="E654" s="144"/>
      <c r="F654" s="52"/>
      <c r="G654" s="52"/>
      <c r="H654" s="52"/>
      <c r="I654" s="52"/>
      <c r="J654" s="52"/>
      <c r="K654" s="144"/>
      <c r="L654" s="144"/>
      <c r="M654" s="144"/>
      <c r="N654" s="144"/>
      <c r="O654" s="144"/>
      <c r="P654" s="144"/>
      <c r="Q654" s="144"/>
      <c r="R654" s="144"/>
      <c r="S654" s="144"/>
      <c r="T654" s="144"/>
      <c r="U654" s="144"/>
      <c r="V654" s="144"/>
      <c r="W654" s="144"/>
      <c r="X654" s="144"/>
      <c r="Y654" s="144"/>
      <c r="Z654" s="144"/>
    </row>
    <row r="655" spans="1:26" x14ac:dyDescent="0.3">
      <c r="A655" s="144"/>
      <c r="B655" s="144"/>
      <c r="C655" s="144"/>
      <c r="D655" s="144"/>
      <c r="E655" s="144"/>
      <c r="F655" s="52"/>
      <c r="G655" s="52"/>
      <c r="H655" s="52"/>
      <c r="I655" s="52"/>
      <c r="J655" s="52"/>
      <c r="K655" s="144"/>
      <c r="L655" s="144"/>
      <c r="M655" s="144"/>
      <c r="N655" s="144"/>
      <c r="O655" s="144"/>
      <c r="P655" s="144"/>
      <c r="Q655" s="144"/>
      <c r="R655" s="144"/>
      <c r="S655" s="144"/>
      <c r="T655" s="144"/>
      <c r="U655" s="144"/>
      <c r="V655" s="144"/>
      <c r="W655" s="144"/>
      <c r="X655" s="144"/>
      <c r="Y655" s="144"/>
      <c r="Z655" s="144"/>
    </row>
    <row r="656" spans="1:26" x14ac:dyDescent="0.3">
      <c r="A656" s="144"/>
      <c r="B656" s="144"/>
      <c r="C656" s="144"/>
      <c r="D656" s="144"/>
      <c r="E656" s="144"/>
      <c r="F656" s="52"/>
      <c r="G656" s="52"/>
      <c r="H656" s="52"/>
      <c r="I656" s="52"/>
      <c r="J656" s="52"/>
      <c r="K656" s="144"/>
      <c r="L656" s="144"/>
      <c r="M656" s="144"/>
      <c r="N656" s="144"/>
      <c r="O656" s="144"/>
      <c r="P656" s="144"/>
      <c r="Q656" s="144"/>
      <c r="R656" s="144"/>
      <c r="S656" s="144"/>
      <c r="T656" s="144"/>
      <c r="U656" s="144"/>
      <c r="V656" s="144"/>
      <c r="W656" s="144"/>
      <c r="X656" s="144"/>
      <c r="Y656" s="144"/>
      <c r="Z656" s="144"/>
    </row>
    <row r="657" spans="1:26" x14ac:dyDescent="0.3">
      <c r="A657" s="144"/>
      <c r="B657" s="144"/>
      <c r="C657" s="144"/>
      <c r="D657" s="144"/>
      <c r="E657" s="144"/>
      <c r="F657" s="52"/>
      <c r="G657" s="52"/>
      <c r="H657" s="52"/>
      <c r="I657" s="52"/>
      <c r="J657" s="52"/>
      <c r="K657" s="144"/>
      <c r="L657" s="144"/>
      <c r="M657" s="144"/>
      <c r="N657" s="144"/>
      <c r="O657" s="144"/>
      <c r="P657" s="144"/>
      <c r="Q657" s="144"/>
      <c r="R657" s="144"/>
      <c r="S657" s="144"/>
      <c r="T657" s="144"/>
      <c r="U657" s="144"/>
      <c r="V657" s="144"/>
      <c r="W657" s="144"/>
      <c r="X657" s="144"/>
      <c r="Y657" s="144"/>
      <c r="Z657" s="144"/>
    </row>
    <row r="658" spans="1:26" x14ac:dyDescent="0.3">
      <c r="A658" s="144"/>
      <c r="B658" s="144"/>
      <c r="C658" s="144"/>
      <c r="D658" s="144"/>
      <c r="E658" s="144"/>
      <c r="F658" s="52"/>
      <c r="G658" s="52"/>
      <c r="H658" s="52"/>
      <c r="I658" s="52"/>
      <c r="J658" s="52"/>
      <c r="K658" s="144"/>
      <c r="L658" s="144"/>
      <c r="M658" s="144"/>
      <c r="N658" s="144"/>
      <c r="O658" s="144"/>
      <c r="P658" s="144"/>
      <c r="Q658" s="144"/>
      <c r="R658" s="144"/>
      <c r="S658" s="144"/>
      <c r="T658" s="144"/>
      <c r="U658" s="144"/>
      <c r="V658" s="144"/>
      <c r="W658" s="144"/>
      <c r="X658" s="144"/>
      <c r="Y658" s="144"/>
      <c r="Z658" s="144"/>
    </row>
    <row r="659" spans="1:26" x14ac:dyDescent="0.3">
      <c r="A659" s="144"/>
      <c r="B659" s="144"/>
      <c r="C659" s="144"/>
      <c r="D659" s="144"/>
      <c r="E659" s="144"/>
      <c r="F659" s="52"/>
      <c r="G659" s="52"/>
      <c r="H659" s="52"/>
      <c r="I659" s="52"/>
      <c r="J659" s="52"/>
      <c r="K659" s="144"/>
      <c r="L659" s="144"/>
      <c r="M659" s="144"/>
      <c r="N659" s="144"/>
      <c r="O659" s="144"/>
      <c r="P659" s="144"/>
      <c r="Q659" s="144"/>
      <c r="R659" s="144"/>
      <c r="S659" s="144"/>
      <c r="T659" s="144"/>
      <c r="U659" s="144"/>
      <c r="V659" s="144"/>
      <c r="W659" s="144"/>
      <c r="X659" s="144"/>
      <c r="Y659" s="144"/>
      <c r="Z659" s="144"/>
    </row>
    <row r="660" spans="1:26" x14ac:dyDescent="0.3">
      <c r="A660" s="144"/>
      <c r="B660" s="144"/>
      <c r="C660" s="144"/>
      <c r="D660" s="144"/>
      <c r="E660" s="144"/>
      <c r="F660" s="52"/>
      <c r="G660" s="52"/>
      <c r="H660" s="52"/>
      <c r="I660" s="52"/>
      <c r="J660" s="52"/>
      <c r="K660" s="144"/>
      <c r="L660" s="144"/>
      <c r="M660" s="144"/>
      <c r="N660" s="144"/>
      <c r="O660" s="144"/>
      <c r="P660" s="144"/>
      <c r="Q660" s="144"/>
      <c r="R660" s="144"/>
      <c r="S660" s="144"/>
      <c r="T660" s="144"/>
      <c r="U660" s="144"/>
      <c r="V660" s="144"/>
      <c r="W660" s="144"/>
      <c r="X660" s="144"/>
      <c r="Y660" s="144"/>
      <c r="Z660" s="144"/>
    </row>
    <row r="661" spans="1:26" x14ac:dyDescent="0.3">
      <c r="A661" s="144"/>
      <c r="B661" s="144"/>
      <c r="C661" s="144"/>
      <c r="D661" s="144"/>
      <c r="E661" s="144"/>
      <c r="F661" s="52"/>
      <c r="G661" s="52"/>
      <c r="H661" s="52"/>
      <c r="I661" s="52"/>
      <c r="J661" s="52"/>
      <c r="K661" s="144"/>
      <c r="L661" s="144"/>
      <c r="M661" s="144"/>
      <c r="N661" s="144"/>
      <c r="O661" s="144"/>
      <c r="P661" s="144"/>
      <c r="Q661" s="144"/>
      <c r="R661" s="144"/>
      <c r="S661" s="144"/>
      <c r="T661" s="144"/>
      <c r="U661" s="144"/>
      <c r="V661" s="144"/>
      <c r="W661" s="144"/>
      <c r="X661" s="144"/>
      <c r="Y661" s="144"/>
      <c r="Z661" s="144"/>
    </row>
    <row r="662" spans="1:26" x14ac:dyDescent="0.3">
      <c r="A662" s="144"/>
      <c r="B662" s="144"/>
      <c r="C662" s="144"/>
      <c r="D662" s="144"/>
      <c r="E662" s="144"/>
      <c r="F662" s="52"/>
      <c r="G662" s="52"/>
      <c r="H662" s="52"/>
      <c r="I662" s="52"/>
      <c r="J662" s="52"/>
      <c r="K662" s="144"/>
      <c r="L662" s="144"/>
      <c r="M662" s="144"/>
      <c r="N662" s="144"/>
      <c r="O662" s="144"/>
      <c r="P662" s="144"/>
      <c r="Q662" s="144"/>
      <c r="R662" s="144"/>
      <c r="S662" s="144"/>
      <c r="T662" s="144"/>
      <c r="U662" s="144"/>
      <c r="V662" s="144"/>
      <c r="W662" s="144"/>
      <c r="X662" s="144"/>
      <c r="Y662" s="144"/>
      <c r="Z662" s="144"/>
    </row>
    <row r="663" spans="1:26" x14ac:dyDescent="0.3">
      <c r="A663" s="144"/>
      <c r="B663" s="144"/>
      <c r="C663" s="144"/>
      <c r="D663" s="144"/>
      <c r="E663" s="144"/>
      <c r="F663" s="52"/>
      <c r="G663" s="52"/>
      <c r="H663" s="52"/>
      <c r="I663" s="52"/>
      <c r="J663" s="52"/>
      <c r="K663" s="144"/>
      <c r="L663" s="144"/>
      <c r="M663" s="144"/>
      <c r="N663" s="144"/>
      <c r="O663" s="144"/>
      <c r="P663" s="144"/>
      <c r="Q663" s="144"/>
      <c r="R663" s="144"/>
      <c r="S663" s="144"/>
      <c r="T663" s="144"/>
      <c r="U663" s="144"/>
      <c r="V663" s="144"/>
      <c r="W663" s="144"/>
      <c r="X663" s="144"/>
      <c r="Y663" s="144"/>
      <c r="Z663" s="144"/>
    </row>
    <row r="664" spans="1:26" x14ac:dyDescent="0.3">
      <c r="A664" s="144"/>
      <c r="B664" s="144"/>
      <c r="C664" s="144"/>
      <c r="D664" s="144"/>
      <c r="E664" s="144"/>
      <c r="F664" s="52"/>
      <c r="G664" s="52"/>
      <c r="H664" s="52"/>
      <c r="I664" s="52"/>
      <c r="J664" s="52"/>
      <c r="K664" s="144"/>
      <c r="L664" s="144"/>
      <c r="M664" s="144"/>
      <c r="N664" s="144"/>
      <c r="O664" s="144"/>
      <c r="P664" s="144"/>
      <c r="Q664" s="144"/>
      <c r="R664" s="144"/>
      <c r="S664" s="144"/>
      <c r="T664" s="144"/>
      <c r="U664" s="144"/>
      <c r="V664" s="144"/>
      <c r="W664" s="144"/>
      <c r="X664" s="144"/>
      <c r="Y664" s="144"/>
      <c r="Z664" s="144"/>
    </row>
    <row r="665" spans="1:26" x14ac:dyDescent="0.3">
      <c r="A665" s="144"/>
      <c r="B665" s="144"/>
      <c r="C665" s="144"/>
      <c r="D665" s="144"/>
      <c r="E665" s="144"/>
      <c r="F665" s="52"/>
      <c r="G665" s="52"/>
      <c r="H665" s="52"/>
      <c r="I665" s="52"/>
      <c r="J665" s="52"/>
      <c r="K665" s="144"/>
      <c r="L665" s="144"/>
      <c r="M665" s="144"/>
      <c r="N665" s="144"/>
      <c r="O665" s="144"/>
      <c r="P665" s="144"/>
      <c r="Q665" s="144"/>
      <c r="R665" s="144"/>
      <c r="S665" s="144"/>
      <c r="T665" s="144"/>
      <c r="U665" s="144"/>
      <c r="V665" s="144"/>
      <c r="W665" s="144"/>
      <c r="X665" s="144"/>
      <c r="Y665" s="144"/>
      <c r="Z665" s="144"/>
    </row>
    <row r="666" spans="1:26" x14ac:dyDescent="0.3">
      <c r="A666" s="144"/>
      <c r="B666" s="144"/>
      <c r="C666" s="144"/>
      <c r="D666" s="144"/>
      <c r="E666" s="144"/>
      <c r="F666" s="52"/>
      <c r="G666" s="52"/>
      <c r="H666" s="52"/>
      <c r="I666" s="52"/>
      <c r="J666" s="52"/>
      <c r="K666" s="144"/>
      <c r="L666" s="144"/>
      <c r="M666" s="144"/>
      <c r="N666" s="144"/>
      <c r="O666" s="144"/>
      <c r="P666" s="144"/>
      <c r="Q666" s="144"/>
      <c r="R666" s="144"/>
      <c r="S666" s="144"/>
      <c r="T666" s="144"/>
      <c r="U666" s="144"/>
      <c r="V666" s="144"/>
      <c r="W666" s="144"/>
      <c r="X666" s="144"/>
      <c r="Y666" s="144"/>
      <c r="Z666" s="144"/>
    </row>
    <row r="667" spans="1:26" x14ac:dyDescent="0.3">
      <c r="A667" s="144"/>
      <c r="B667" s="144"/>
      <c r="C667" s="144"/>
      <c r="D667" s="144"/>
      <c r="E667" s="144"/>
      <c r="F667" s="52"/>
      <c r="G667" s="52"/>
      <c r="H667" s="52"/>
      <c r="I667" s="52"/>
      <c r="J667" s="52"/>
      <c r="K667" s="144"/>
      <c r="L667" s="144"/>
      <c r="M667" s="144"/>
      <c r="N667" s="144"/>
      <c r="O667" s="144"/>
      <c r="P667" s="144"/>
      <c r="Q667" s="144"/>
      <c r="R667" s="144"/>
      <c r="S667" s="144"/>
      <c r="T667" s="144"/>
      <c r="U667" s="144"/>
      <c r="V667" s="144"/>
      <c r="W667" s="144"/>
      <c r="X667" s="144"/>
      <c r="Y667" s="144"/>
      <c r="Z667" s="144"/>
    </row>
    <row r="668" spans="1:26" x14ac:dyDescent="0.3">
      <c r="A668" s="144"/>
      <c r="B668" s="144"/>
      <c r="C668" s="144"/>
      <c r="D668" s="144"/>
      <c r="E668" s="144"/>
      <c r="F668" s="52"/>
      <c r="G668" s="52"/>
      <c r="H668" s="52"/>
      <c r="I668" s="52"/>
      <c r="J668" s="52"/>
      <c r="K668" s="144"/>
      <c r="L668" s="144"/>
      <c r="M668" s="144"/>
      <c r="N668" s="144"/>
      <c r="O668" s="144"/>
      <c r="P668" s="144"/>
      <c r="Q668" s="144"/>
      <c r="R668" s="144"/>
      <c r="S668" s="144"/>
      <c r="T668" s="144"/>
      <c r="U668" s="144"/>
      <c r="V668" s="144"/>
      <c r="W668" s="144"/>
      <c r="X668" s="144"/>
      <c r="Y668" s="144"/>
      <c r="Z668" s="144"/>
    </row>
    <row r="669" spans="1:26" x14ac:dyDescent="0.3">
      <c r="A669" s="144"/>
      <c r="B669" s="144"/>
      <c r="C669" s="144"/>
      <c r="D669" s="144"/>
      <c r="E669" s="144"/>
      <c r="F669" s="52"/>
      <c r="G669" s="52"/>
      <c r="H669" s="52"/>
      <c r="I669" s="52"/>
      <c r="J669" s="52"/>
      <c r="K669" s="144"/>
      <c r="L669" s="144"/>
      <c r="M669" s="144"/>
      <c r="N669" s="144"/>
      <c r="O669" s="144"/>
      <c r="P669" s="144"/>
      <c r="Q669" s="144"/>
      <c r="R669" s="144"/>
      <c r="S669" s="144"/>
      <c r="T669" s="144"/>
      <c r="U669" s="144"/>
      <c r="V669" s="144"/>
      <c r="W669" s="144"/>
      <c r="X669" s="144"/>
      <c r="Y669" s="144"/>
      <c r="Z669" s="144"/>
    </row>
    <row r="670" spans="1:26" x14ac:dyDescent="0.3">
      <c r="A670" s="144"/>
      <c r="B670" s="144"/>
      <c r="C670" s="144"/>
      <c r="D670" s="144"/>
      <c r="E670" s="144"/>
      <c r="F670" s="52"/>
      <c r="G670" s="52"/>
      <c r="H670" s="52"/>
      <c r="I670" s="52"/>
      <c r="J670" s="52"/>
      <c r="K670" s="144"/>
      <c r="L670" s="144"/>
      <c r="M670" s="144"/>
      <c r="N670" s="144"/>
      <c r="O670" s="144"/>
      <c r="P670" s="144"/>
      <c r="Q670" s="144"/>
      <c r="R670" s="144"/>
      <c r="S670" s="144"/>
      <c r="T670" s="144"/>
      <c r="U670" s="144"/>
      <c r="V670" s="144"/>
      <c r="W670" s="144"/>
      <c r="X670" s="144"/>
      <c r="Y670" s="144"/>
      <c r="Z670" s="144"/>
    </row>
    <row r="671" spans="1:26" x14ac:dyDescent="0.3">
      <c r="A671" s="144"/>
      <c r="B671" s="144"/>
      <c r="C671" s="144"/>
      <c r="D671" s="144"/>
      <c r="E671" s="144"/>
      <c r="F671" s="52"/>
      <c r="G671" s="52"/>
      <c r="H671" s="52"/>
      <c r="I671" s="52"/>
      <c r="J671" s="52"/>
      <c r="K671" s="144"/>
      <c r="L671" s="144"/>
      <c r="M671" s="144"/>
      <c r="N671" s="144"/>
      <c r="O671" s="144"/>
      <c r="P671" s="144"/>
      <c r="Q671" s="144"/>
      <c r="R671" s="144"/>
      <c r="S671" s="144"/>
      <c r="T671" s="144"/>
      <c r="U671" s="144"/>
      <c r="V671" s="144"/>
      <c r="W671" s="144"/>
      <c r="X671" s="144"/>
      <c r="Y671" s="144"/>
      <c r="Z671" s="144"/>
    </row>
    <row r="672" spans="1:26" x14ac:dyDescent="0.3">
      <c r="A672" s="144"/>
      <c r="B672" s="144"/>
      <c r="C672" s="144"/>
      <c r="D672" s="144"/>
      <c r="E672" s="144"/>
      <c r="F672" s="52"/>
      <c r="G672" s="52"/>
      <c r="H672" s="52"/>
      <c r="I672" s="52"/>
      <c r="J672" s="52"/>
      <c r="K672" s="144"/>
      <c r="L672" s="144"/>
      <c r="M672" s="144"/>
      <c r="N672" s="144"/>
      <c r="O672" s="144"/>
      <c r="P672" s="144"/>
      <c r="Q672" s="144"/>
      <c r="R672" s="144"/>
      <c r="S672" s="144"/>
      <c r="T672" s="144"/>
      <c r="U672" s="144"/>
      <c r="V672" s="144"/>
      <c r="W672" s="144"/>
      <c r="X672" s="144"/>
      <c r="Y672" s="144"/>
      <c r="Z672" s="144"/>
    </row>
    <row r="673" spans="1:26" x14ac:dyDescent="0.3">
      <c r="A673" s="144"/>
      <c r="B673" s="144"/>
      <c r="C673" s="144"/>
      <c r="D673" s="144"/>
      <c r="E673" s="144"/>
      <c r="F673" s="52"/>
      <c r="G673" s="52"/>
      <c r="H673" s="52"/>
      <c r="I673" s="52"/>
      <c r="J673" s="52"/>
      <c r="K673" s="144"/>
      <c r="L673" s="144"/>
      <c r="M673" s="144"/>
      <c r="N673" s="144"/>
      <c r="O673" s="144"/>
      <c r="P673" s="144"/>
      <c r="Q673" s="144"/>
      <c r="R673" s="144"/>
      <c r="S673" s="144"/>
      <c r="T673" s="144"/>
      <c r="U673" s="144"/>
      <c r="V673" s="144"/>
      <c r="W673" s="144"/>
      <c r="X673" s="144"/>
      <c r="Y673" s="144"/>
      <c r="Z673" s="144"/>
    </row>
    <row r="674" spans="1:26" x14ac:dyDescent="0.3">
      <c r="A674" s="144"/>
      <c r="B674" s="144"/>
      <c r="C674" s="144"/>
      <c r="D674" s="144"/>
      <c r="E674" s="144"/>
      <c r="F674" s="52"/>
      <c r="G674" s="52"/>
      <c r="H674" s="52"/>
      <c r="I674" s="52"/>
      <c r="J674" s="52"/>
      <c r="K674" s="144"/>
      <c r="L674" s="144"/>
      <c r="M674" s="144"/>
      <c r="N674" s="144"/>
      <c r="O674" s="144"/>
      <c r="P674" s="144"/>
      <c r="Q674" s="144"/>
      <c r="R674" s="144"/>
      <c r="S674" s="144"/>
      <c r="T674" s="144"/>
      <c r="U674" s="144"/>
      <c r="V674" s="144"/>
      <c r="W674" s="144"/>
      <c r="X674" s="144"/>
      <c r="Y674" s="144"/>
      <c r="Z674" s="144"/>
    </row>
    <row r="675" spans="1:26" x14ac:dyDescent="0.3">
      <c r="A675" s="144"/>
      <c r="B675" s="144"/>
      <c r="C675" s="144"/>
      <c r="D675" s="144"/>
      <c r="E675" s="144"/>
      <c r="F675" s="52"/>
      <c r="G675" s="52"/>
      <c r="H675" s="52"/>
      <c r="I675" s="52"/>
      <c r="J675" s="52"/>
      <c r="K675" s="144"/>
      <c r="L675" s="144"/>
      <c r="M675" s="144"/>
      <c r="N675" s="144"/>
      <c r="O675" s="144"/>
      <c r="P675" s="144"/>
      <c r="Q675" s="144"/>
      <c r="R675" s="144"/>
      <c r="S675" s="144"/>
      <c r="T675" s="144"/>
      <c r="U675" s="144"/>
      <c r="V675" s="144"/>
      <c r="W675" s="144"/>
      <c r="X675" s="144"/>
      <c r="Y675" s="144"/>
      <c r="Z675" s="144"/>
    </row>
    <row r="676" spans="1:26" x14ac:dyDescent="0.3">
      <c r="A676" s="144"/>
      <c r="B676" s="144"/>
      <c r="C676" s="144"/>
      <c r="D676" s="144"/>
      <c r="E676" s="144"/>
      <c r="F676" s="52"/>
      <c r="G676" s="52"/>
      <c r="H676" s="52"/>
      <c r="I676" s="52"/>
      <c r="J676" s="52"/>
      <c r="K676" s="144"/>
      <c r="L676" s="144"/>
      <c r="M676" s="144"/>
      <c r="N676" s="144"/>
      <c r="O676" s="144"/>
      <c r="P676" s="144"/>
      <c r="Q676" s="144"/>
      <c r="R676" s="144"/>
      <c r="S676" s="144"/>
      <c r="T676" s="144"/>
      <c r="U676" s="144"/>
      <c r="V676" s="144"/>
      <c r="W676" s="144"/>
      <c r="X676" s="144"/>
      <c r="Y676" s="144"/>
      <c r="Z676" s="144"/>
    </row>
    <row r="677" spans="1:26" x14ac:dyDescent="0.3">
      <c r="A677" s="144"/>
      <c r="B677" s="144"/>
      <c r="C677" s="144"/>
      <c r="D677" s="144"/>
      <c r="E677" s="144"/>
      <c r="F677" s="52"/>
      <c r="G677" s="52"/>
      <c r="H677" s="52"/>
      <c r="I677" s="52"/>
      <c r="J677" s="52"/>
      <c r="K677" s="144"/>
      <c r="L677" s="144"/>
      <c r="M677" s="144"/>
      <c r="N677" s="144"/>
      <c r="O677" s="144"/>
      <c r="P677" s="144"/>
      <c r="Q677" s="144"/>
      <c r="R677" s="144"/>
      <c r="S677" s="144"/>
      <c r="T677" s="144"/>
      <c r="U677" s="144"/>
      <c r="V677" s="144"/>
      <c r="W677" s="144"/>
      <c r="X677" s="144"/>
      <c r="Y677" s="144"/>
      <c r="Z677" s="144"/>
    </row>
    <row r="678" spans="1:26" x14ac:dyDescent="0.3">
      <c r="A678" s="144"/>
      <c r="B678" s="144"/>
      <c r="C678" s="144"/>
      <c r="D678" s="144"/>
      <c r="E678" s="144"/>
      <c r="F678" s="52"/>
      <c r="G678" s="52"/>
      <c r="H678" s="52"/>
      <c r="I678" s="52"/>
      <c r="J678" s="52"/>
      <c r="K678" s="144"/>
      <c r="L678" s="144"/>
      <c r="M678" s="144"/>
      <c r="N678" s="144"/>
      <c r="O678" s="144"/>
      <c r="P678" s="144"/>
      <c r="Q678" s="144"/>
      <c r="R678" s="144"/>
      <c r="S678" s="144"/>
      <c r="T678" s="144"/>
      <c r="U678" s="144"/>
      <c r="V678" s="144"/>
      <c r="W678" s="144"/>
      <c r="X678" s="144"/>
      <c r="Y678" s="144"/>
      <c r="Z678" s="144"/>
    </row>
    <row r="679" spans="1:26" x14ac:dyDescent="0.3">
      <c r="A679" s="144"/>
      <c r="B679" s="144"/>
      <c r="C679" s="144"/>
      <c r="D679" s="144"/>
      <c r="E679" s="144"/>
      <c r="F679" s="52"/>
      <c r="G679" s="52"/>
      <c r="H679" s="52"/>
      <c r="I679" s="52"/>
      <c r="J679" s="52"/>
      <c r="K679" s="144"/>
      <c r="L679" s="144"/>
      <c r="M679" s="144"/>
      <c r="N679" s="144"/>
      <c r="O679" s="144"/>
      <c r="P679" s="144"/>
      <c r="Q679" s="144"/>
      <c r="R679" s="144"/>
      <c r="S679" s="144"/>
      <c r="T679" s="144"/>
      <c r="U679" s="144"/>
      <c r="V679" s="144"/>
      <c r="W679" s="144"/>
      <c r="X679" s="144"/>
      <c r="Y679" s="144"/>
      <c r="Z679" s="144"/>
    </row>
    <row r="680" spans="1:26" x14ac:dyDescent="0.3">
      <c r="A680" s="144"/>
      <c r="B680" s="144"/>
      <c r="C680" s="144"/>
      <c r="D680" s="144"/>
      <c r="E680" s="144"/>
      <c r="F680" s="52"/>
      <c r="G680" s="52"/>
      <c r="H680" s="52"/>
      <c r="I680" s="52"/>
      <c r="J680" s="52"/>
      <c r="K680" s="144"/>
      <c r="L680" s="144"/>
      <c r="M680" s="144"/>
      <c r="N680" s="144"/>
      <c r="O680" s="144"/>
      <c r="P680" s="144"/>
      <c r="Q680" s="144"/>
      <c r="R680" s="144"/>
      <c r="S680" s="144"/>
      <c r="T680" s="144"/>
      <c r="U680" s="144"/>
      <c r="V680" s="144"/>
      <c r="W680" s="144"/>
      <c r="X680" s="144"/>
      <c r="Y680" s="144"/>
      <c r="Z680" s="144"/>
    </row>
    <row r="681" spans="1:26" x14ac:dyDescent="0.3">
      <c r="A681" s="144"/>
      <c r="B681" s="144"/>
      <c r="C681" s="144"/>
      <c r="D681" s="144"/>
      <c r="E681" s="144"/>
      <c r="F681" s="52"/>
      <c r="G681" s="52"/>
      <c r="H681" s="52"/>
      <c r="I681" s="52"/>
      <c r="J681" s="52"/>
      <c r="K681" s="144"/>
      <c r="L681" s="144"/>
      <c r="M681" s="144"/>
      <c r="N681" s="144"/>
      <c r="O681" s="144"/>
      <c r="P681" s="144"/>
      <c r="Q681" s="144"/>
      <c r="R681" s="144"/>
      <c r="S681" s="144"/>
      <c r="T681" s="144"/>
      <c r="U681" s="144"/>
      <c r="V681" s="144"/>
      <c r="W681" s="144"/>
      <c r="X681" s="144"/>
      <c r="Y681" s="144"/>
      <c r="Z681" s="144"/>
    </row>
    <row r="682" spans="1:26" x14ac:dyDescent="0.3">
      <c r="A682" s="144"/>
      <c r="B682" s="144"/>
      <c r="C682" s="144"/>
      <c r="D682" s="144"/>
      <c r="E682" s="144"/>
      <c r="F682" s="52"/>
      <c r="G682" s="52"/>
      <c r="H682" s="52"/>
      <c r="I682" s="52"/>
      <c r="J682" s="52"/>
      <c r="K682" s="144"/>
      <c r="L682" s="144"/>
      <c r="M682" s="144"/>
      <c r="N682" s="144"/>
      <c r="O682" s="144"/>
      <c r="P682" s="144"/>
      <c r="Q682" s="144"/>
      <c r="R682" s="144"/>
      <c r="S682" s="144"/>
      <c r="T682" s="144"/>
      <c r="U682" s="144"/>
      <c r="V682" s="144"/>
      <c r="W682" s="144"/>
      <c r="X682" s="144"/>
      <c r="Y682" s="144"/>
      <c r="Z682" s="144"/>
    </row>
    <row r="683" spans="1:26" x14ac:dyDescent="0.3">
      <c r="A683" s="144"/>
      <c r="B683" s="144"/>
      <c r="C683" s="144"/>
      <c r="D683" s="144"/>
      <c r="E683" s="144"/>
      <c r="F683" s="52"/>
      <c r="G683" s="52"/>
      <c r="H683" s="52"/>
      <c r="I683" s="52"/>
      <c r="J683" s="52"/>
      <c r="K683" s="144"/>
      <c r="L683" s="144"/>
      <c r="M683" s="144"/>
      <c r="N683" s="144"/>
      <c r="O683" s="144"/>
      <c r="P683" s="144"/>
      <c r="Q683" s="144"/>
      <c r="R683" s="144"/>
      <c r="S683" s="144"/>
      <c r="T683" s="144"/>
      <c r="U683" s="144"/>
      <c r="V683" s="144"/>
      <c r="W683" s="144"/>
      <c r="X683" s="144"/>
      <c r="Y683" s="144"/>
      <c r="Z683" s="144"/>
    </row>
    <row r="684" spans="1:26" x14ac:dyDescent="0.3">
      <c r="A684" s="144"/>
      <c r="B684" s="144"/>
      <c r="C684" s="144"/>
      <c r="D684" s="144"/>
      <c r="E684" s="144"/>
      <c r="F684" s="52"/>
      <c r="G684" s="52"/>
      <c r="H684" s="52"/>
      <c r="I684" s="52"/>
      <c r="J684" s="52"/>
      <c r="K684" s="144"/>
      <c r="L684" s="144"/>
      <c r="M684" s="144"/>
      <c r="N684" s="144"/>
      <c r="O684" s="144"/>
      <c r="P684" s="144"/>
      <c r="Q684" s="144"/>
      <c r="R684" s="144"/>
      <c r="S684" s="144"/>
      <c r="T684" s="144"/>
      <c r="U684" s="144"/>
      <c r="V684" s="144"/>
      <c r="W684" s="144"/>
      <c r="X684" s="144"/>
      <c r="Y684" s="144"/>
      <c r="Z684" s="144"/>
    </row>
    <row r="685" spans="1:26" x14ac:dyDescent="0.3">
      <c r="A685" s="144"/>
      <c r="B685" s="144"/>
      <c r="C685" s="144"/>
      <c r="D685" s="144"/>
      <c r="E685" s="144"/>
      <c r="F685" s="52"/>
      <c r="G685" s="52"/>
      <c r="H685" s="52"/>
      <c r="I685" s="52"/>
      <c r="J685" s="52"/>
      <c r="K685" s="144"/>
      <c r="L685" s="144"/>
      <c r="M685" s="144"/>
      <c r="N685" s="144"/>
      <c r="O685" s="144"/>
      <c r="P685" s="144"/>
      <c r="Q685" s="144"/>
      <c r="R685" s="144"/>
      <c r="S685" s="144"/>
      <c r="T685" s="144"/>
      <c r="U685" s="144"/>
      <c r="V685" s="144"/>
      <c r="W685" s="144"/>
      <c r="X685" s="144"/>
      <c r="Y685" s="144"/>
      <c r="Z685" s="144"/>
    </row>
    <row r="686" spans="1:26" x14ac:dyDescent="0.3">
      <c r="A686" s="144"/>
      <c r="B686" s="144"/>
      <c r="C686" s="144"/>
      <c r="D686" s="144"/>
      <c r="E686" s="144"/>
      <c r="F686" s="52"/>
      <c r="G686" s="52"/>
      <c r="H686" s="52"/>
      <c r="I686" s="52"/>
      <c r="J686" s="52"/>
      <c r="K686" s="144"/>
      <c r="L686" s="144"/>
      <c r="M686" s="144"/>
      <c r="N686" s="144"/>
      <c r="O686" s="144"/>
      <c r="P686" s="144"/>
      <c r="Q686" s="144"/>
      <c r="R686" s="144"/>
      <c r="S686" s="144"/>
      <c r="T686" s="144"/>
      <c r="U686" s="144"/>
      <c r="V686" s="144"/>
      <c r="W686" s="144"/>
      <c r="X686" s="144"/>
      <c r="Y686" s="144"/>
      <c r="Z686" s="144"/>
    </row>
    <row r="687" spans="1:26" x14ac:dyDescent="0.3">
      <c r="A687" s="144"/>
      <c r="B687" s="144"/>
      <c r="C687" s="144"/>
      <c r="D687" s="144"/>
      <c r="E687" s="144"/>
      <c r="F687" s="52"/>
      <c r="G687" s="52"/>
      <c r="H687" s="52"/>
      <c r="I687" s="52"/>
      <c r="J687" s="52"/>
      <c r="K687" s="144"/>
      <c r="L687" s="144"/>
      <c r="M687" s="144"/>
      <c r="N687" s="144"/>
      <c r="O687" s="144"/>
      <c r="P687" s="144"/>
      <c r="Q687" s="144"/>
      <c r="R687" s="144"/>
      <c r="S687" s="144"/>
      <c r="T687" s="144"/>
      <c r="U687" s="144"/>
      <c r="V687" s="144"/>
      <c r="W687" s="144"/>
      <c r="X687" s="144"/>
      <c r="Y687" s="144"/>
      <c r="Z687" s="144"/>
    </row>
    <row r="688" spans="1:26" x14ac:dyDescent="0.3">
      <c r="A688" s="144"/>
      <c r="B688" s="144"/>
      <c r="C688" s="144"/>
      <c r="D688" s="144"/>
      <c r="E688" s="144"/>
      <c r="F688" s="52"/>
      <c r="G688" s="52"/>
      <c r="H688" s="52"/>
      <c r="I688" s="52"/>
      <c r="J688" s="52"/>
      <c r="K688" s="144"/>
      <c r="L688" s="144"/>
      <c r="M688" s="144"/>
      <c r="N688" s="144"/>
      <c r="O688" s="144"/>
      <c r="P688" s="144"/>
      <c r="Q688" s="144"/>
      <c r="R688" s="144"/>
      <c r="S688" s="144"/>
      <c r="T688" s="144"/>
      <c r="U688" s="144"/>
      <c r="V688" s="144"/>
      <c r="W688" s="144"/>
      <c r="X688" s="144"/>
      <c r="Y688" s="144"/>
      <c r="Z688" s="144"/>
    </row>
    <row r="689" spans="1:26" x14ac:dyDescent="0.3">
      <c r="A689" s="144"/>
      <c r="B689" s="144"/>
      <c r="C689" s="144"/>
      <c r="D689" s="144"/>
      <c r="E689" s="144"/>
      <c r="F689" s="52"/>
      <c r="G689" s="52"/>
      <c r="H689" s="52"/>
      <c r="I689" s="52"/>
      <c r="J689" s="52"/>
      <c r="K689" s="144"/>
      <c r="L689" s="144"/>
      <c r="M689" s="144"/>
      <c r="N689" s="144"/>
      <c r="O689" s="144"/>
      <c r="P689" s="144"/>
      <c r="Q689" s="144"/>
      <c r="R689" s="144"/>
      <c r="S689" s="144"/>
      <c r="T689" s="144"/>
      <c r="U689" s="144"/>
      <c r="V689" s="144"/>
      <c r="W689" s="144"/>
      <c r="X689" s="144"/>
      <c r="Y689" s="144"/>
      <c r="Z689" s="144"/>
    </row>
    <row r="690" spans="1:26" x14ac:dyDescent="0.3">
      <c r="A690" s="144"/>
      <c r="B690" s="144"/>
      <c r="C690" s="144"/>
      <c r="D690" s="144"/>
      <c r="E690" s="144"/>
      <c r="F690" s="52"/>
      <c r="G690" s="52"/>
      <c r="H690" s="52"/>
      <c r="I690" s="52"/>
      <c r="J690" s="52"/>
      <c r="K690" s="144"/>
      <c r="L690" s="144"/>
      <c r="M690" s="144"/>
      <c r="N690" s="144"/>
      <c r="O690" s="144"/>
      <c r="P690" s="144"/>
      <c r="Q690" s="144"/>
      <c r="R690" s="144"/>
      <c r="S690" s="144"/>
      <c r="T690" s="144"/>
      <c r="U690" s="144"/>
      <c r="V690" s="144"/>
      <c r="W690" s="144"/>
      <c r="X690" s="144"/>
      <c r="Y690" s="144"/>
      <c r="Z690" s="144"/>
    </row>
    <row r="691" spans="1:26" x14ac:dyDescent="0.3">
      <c r="A691" s="144"/>
      <c r="B691" s="144"/>
      <c r="C691" s="144"/>
      <c r="D691" s="144"/>
      <c r="E691" s="144"/>
      <c r="F691" s="52"/>
      <c r="G691" s="52"/>
      <c r="H691" s="52"/>
      <c r="I691" s="52"/>
      <c r="J691" s="52"/>
      <c r="K691" s="144"/>
      <c r="L691" s="144"/>
      <c r="M691" s="144"/>
      <c r="N691" s="144"/>
      <c r="O691" s="144"/>
      <c r="P691" s="144"/>
      <c r="Q691" s="144"/>
      <c r="R691" s="144"/>
      <c r="S691" s="144"/>
      <c r="T691" s="144"/>
      <c r="U691" s="144"/>
      <c r="V691" s="144"/>
      <c r="W691" s="144"/>
      <c r="X691" s="144"/>
      <c r="Y691" s="144"/>
      <c r="Z691" s="144"/>
    </row>
    <row r="692" spans="1:26" x14ac:dyDescent="0.3">
      <c r="A692" s="144"/>
      <c r="B692" s="144"/>
      <c r="C692" s="144"/>
      <c r="D692" s="144"/>
      <c r="E692" s="144"/>
      <c r="F692" s="52"/>
      <c r="G692" s="52"/>
      <c r="H692" s="52"/>
      <c r="I692" s="52"/>
      <c r="J692" s="52"/>
      <c r="K692" s="144"/>
      <c r="L692" s="144"/>
      <c r="M692" s="144"/>
      <c r="N692" s="144"/>
      <c r="O692" s="144"/>
      <c r="P692" s="144"/>
      <c r="Q692" s="144"/>
      <c r="R692" s="144"/>
      <c r="S692" s="144"/>
      <c r="T692" s="144"/>
      <c r="U692" s="144"/>
      <c r="V692" s="144"/>
      <c r="W692" s="144"/>
      <c r="X692" s="144"/>
      <c r="Y692" s="144"/>
      <c r="Z692" s="144"/>
    </row>
    <row r="693" spans="1:26" x14ac:dyDescent="0.3">
      <c r="A693" s="144"/>
      <c r="B693" s="144"/>
      <c r="C693" s="144"/>
      <c r="D693" s="144"/>
      <c r="E693" s="144"/>
      <c r="F693" s="52"/>
      <c r="G693" s="52"/>
      <c r="H693" s="52"/>
      <c r="I693" s="52"/>
      <c r="J693" s="52"/>
      <c r="K693" s="144"/>
      <c r="L693" s="144"/>
      <c r="M693" s="144"/>
      <c r="N693" s="144"/>
      <c r="O693" s="144"/>
      <c r="P693" s="144"/>
      <c r="Q693" s="144"/>
      <c r="R693" s="144"/>
      <c r="S693" s="144"/>
      <c r="T693" s="144"/>
      <c r="U693" s="144"/>
      <c r="V693" s="144"/>
      <c r="W693" s="144"/>
      <c r="X693" s="144"/>
      <c r="Y693" s="144"/>
      <c r="Z693" s="144"/>
    </row>
    <row r="694" spans="1:26" x14ac:dyDescent="0.3">
      <c r="A694" s="144"/>
      <c r="B694" s="144"/>
      <c r="C694" s="144"/>
      <c r="D694" s="144"/>
      <c r="E694" s="144"/>
      <c r="F694" s="52"/>
      <c r="G694" s="52"/>
      <c r="H694" s="52"/>
      <c r="I694" s="52"/>
      <c r="J694" s="52"/>
      <c r="K694" s="144"/>
      <c r="L694" s="144"/>
      <c r="M694" s="144"/>
      <c r="N694" s="144"/>
      <c r="O694" s="144"/>
      <c r="P694" s="144"/>
      <c r="Q694" s="144"/>
      <c r="R694" s="144"/>
      <c r="S694" s="144"/>
      <c r="T694" s="144"/>
      <c r="U694" s="144"/>
      <c r="V694" s="144"/>
      <c r="W694" s="144"/>
      <c r="X694" s="144"/>
      <c r="Y694" s="144"/>
      <c r="Z694" s="144"/>
    </row>
    <row r="695" spans="1:26" x14ac:dyDescent="0.3">
      <c r="A695" s="144"/>
      <c r="B695" s="144"/>
      <c r="C695" s="144"/>
      <c r="D695" s="144"/>
      <c r="E695" s="144"/>
      <c r="F695" s="52"/>
      <c r="G695" s="52"/>
      <c r="H695" s="52"/>
      <c r="I695" s="52"/>
      <c r="J695" s="52"/>
      <c r="K695" s="144"/>
      <c r="L695" s="144"/>
      <c r="M695" s="144"/>
      <c r="N695" s="144"/>
      <c r="O695" s="144"/>
      <c r="P695" s="144"/>
      <c r="Q695" s="144"/>
      <c r="R695" s="144"/>
      <c r="S695" s="144"/>
      <c r="T695" s="144"/>
      <c r="U695" s="144"/>
      <c r="V695" s="144"/>
      <c r="W695" s="144"/>
      <c r="X695" s="144"/>
      <c r="Y695" s="144"/>
      <c r="Z695" s="144"/>
    </row>
    <row r="696" spans="1:26" x14ac:dyDescent="0.3">
      <c r="A696" s="144"/>
      <c r="B696" s="144"/>
      <c r="C696" s="144"/>
      <c r="D696" s="144"/>
      <c r="E696" s="144"/>
      <c r="F696" s="52"/>
      <c r="G696" s="52"/>
      <c r="H696" s="52"/>
      <c r="I696" s="52"/>
      <c r="J696" s="52"/>
      <c r="K696" s="144"/>
      <c r="L696" s="144"/>
      <c r="M696" s="144"/>
      <c r="N696" s="144"/>
      <c r="O696" s="144"/>
      <c r="P696" s="144"/>
      <c r="Q696" s="144"/>
      <c r="R696" s="144"/>
      <c r="S696" s="144"/>
      <c r="T696" s="144"/>
      <c r="U696" s="144"/>
      <c r="V696" s="144"/>
      <c r="W696" s="144"/>
      <c r="X696" s="144"/>
      <c r="Y696" s="144"/>
      <c r="Z696" s="144"/>
    </row>
    <row r="697" spans="1:26" x14ac:dyDescent="0.3">
      <c r="A697" s="144"/>
      <c r="B697" s="144"/>
      <c r="C697" s="144"/>
      <c r="D697" s="144"/>
      <c r="E697" s="144"/>
      <c r="F697" s="52"/>
      <c r="G697" s="52"/>
      <c r="H697" s="52"/>
      <c r="I697" s="52"/>
      <c r="J697" s="52"/>
      <c r="K697" s="144"/>
      <c r="L697" s="144"/>
      <c r="M697" s="144"/>
      <c r="N697" s="144"/>
      <c r="O697" s="144"/>
      <c r="P697" s="144"/>
      <c r="Q697" s="144"/>
      <c r="R697" s="144"/>
      <c r="S697" s="144"/>
      <c r="T697" s="144"/>
      <c r="U697" s="144"/>
      <c r="V697" s="144"/>
      <c r="W697" s="144"/>
      <c r="X697" s="144"/>
      <c r="Y697" s="144"/>
      <c r="Z697" s="144"/>
    </row>
    <row r="698" spans="1:26" x14ac:dyDescent="0.3">
      <c r="A698" s="144"/>
      <c r="B698" s="144"/>
      <c r="C698" s="144"/>
      <c r="D698" s="144"/>
      <c r="E698" s="144"/>
      <c r="F698" s="52"/>
      <c r="G698" s="52"/>
      <c r="H698" s="52"/>
      <c r="I698" s="52"/>
      <c r="J698" s="52"/>
      <c r="K698" s="144"/>
      <c r="L698" s="144"/>
      <c r="M698" s="144"/>
      <c r="N698" s="144"/>
      <c r="O698" s="144"/>
      <c r="P698" s="144"/>
      <c r="Q698" s="144"/>
      <c r="R698" s="144"/>
      <c r="S698" s="144"/>
      <c r="T698" s="144"/>
      <c r="U698" s="144"/>
      <c r="V698" s="144"/>
      <c r="W698" s="144"/>
      <c r="X698" s="144"/>
      <c r="Y698" s="144"/>
      <c r="Z698" s="144"/>
    </row>
    <row r="699" spans="1:26" x14ac:dyDescent="0.3">
      <c r="A699" s="144"/>
      <c r="B699" s="144"/>
      <c r="C699" s="144"/>
      <c r="D699" s="144"/>
      <c r="E699" s="144"/>
      <c r="F699" s="52"/>
      <c r="G699" s="52"/>
      <c r="H699" s="52"/>
      <c r="I699" s="52"/>
      <c r="J699" s="52"/>
      <c r="K699" s="144"/>
      <c r="L699" s="144"/>
      <c r="M699" s="144"/>
      <c r="N699" s="144"/>
      <c r="O699" s="144"/>
      <c r="P699" s="144"/>
      <c r="Q699" s="144"/>
      <c r="R699" s="144"/>
      <c r="S699" s="144"/>
      <c r="T699" s="144"/>
      <c r="U699" s="144"/>
      <c r="V699" s="144"/>
      <c r="W699" s="144"/>
      <c r="X699" s="144"/>
      <c r="Y699" s="144"/>
      <c r="Z699" s="144"/>
    </row>
    <row r="700" spans="1:26" x14ac:dyDescent="0.3">
      <c r="A700" s="144"/>
      <c r="B700" s="144"/>
      <c r="C700" s="144"/>
      <c r="D700" s="144"/>
      <c r="E700" s="144"/>
      <c r="F700" s="52"/>
      <c r="G700" s="52"/>
      <c r="H700" s="52"/>
      <c r="I700" s="52"/>
      <c r="J700" s="52"/>
      <c r="K700" s="144"/>
      <c r="L700" s="144"/>
      <c r="M700" s="144"/>
      <c r="N700" s="144"/>
      <c r="O700" s="144"/>
      <c r="P700" s="144"/>
      <c r="Q700" s="144"/>
      <c r="R700" s="144"/>
      <c r="S700" s="144"/>
      <c r="T700" s="144"/>
      <c r="U700" s="144"/>
      <c r="V700" s="144"/>
      <c r="W700" s="144"/>
      <c r="X700" s="144"/>
      <c r="Y700" s="144"/>
      <c r="Z700" s="144"/>
    </row>
    <row r="701" spans="1:26" x14ac:dyDescent="0.3">
      <c r="A701" s="144"/>
      <c r="B701" s="144"/>
      <c r="C701" s="144"/>
      <c r="D701" s="144"/>
      <c r="E701" s="144"/>
      <c r="F701" s="52"/>
      <c r="G701" s="52"/>
      <c r="H701" s="52"/>
      <c r="I701" s="52"/>
      <c r="J701" s="52"/>
      <c r="K701" s="144"/>
      <c r="L701" s="144"/>
      <c r="M701" s="144"/>
      <c r="N701" s="144"/>
      <c r="O701" s="144"/>
      <c r="P701" s="144"/>
      <c r="Q701" s="144"/>
      <c r="R701" s="144"/>
      <c r="S701" s="144"/>
      <c r="T701" s="144"/>
      <c r="U701" s="144"/>
      <c r="V701" s="144"/>
      <c r="W701" s="144"/>
      <c r="X701" s="144"/>
      <c r="Y701" s="144"/>
      <c r="Z701" s="144"/>
    </row>
    <row r="702" spans="1:26" x14ac:dyDescent="0.3">
      <c r="A702" s="144"/>
      <c r="B702" s="144"/>
      <c r="C702" s="144"/>
      <c r="D702" s="144"/>
      <c r="E702" s="144"/>
      <c r="F702" s="52"/>
      <c r="G702" s="52"/>
      <c r="H702" s="52"/>
      <c r="I702" s="52"/>
      <c r="J702" s="52"/>
      <c r="K702" s="144"/>
      <c r="L702" s="144"/>
      <c r="M702" s="144"/>
      <c r="N702" s="144"/>
      <c r="O702" s="144"/>
      <c r="P702" s="144"/>
      <c r="Q702" s="144"/>
      <c r="R702" s="144"/>
      <c r="S702" s="144"/>
      <c r="T702" s="144"/>
      <c r="U702" s="144"/>
      <c r="V702" s="144"/>
      <c r="W702" s="144"/>
      <c r="X702" s="144"/>
      <c r="Y702" s="144"/>
      <c r="Z702" s="144"/>
    </row>
    <row r="703" spans="1:26" x14ac:dyDescent="0.3">
      <c r="A703" s="144"/>
      <c r="B703" s="144"/>
      <c r="C703" s="144"/>
      <c r="D703" s="144"/>
      <c r="E703" s="144"/>
      <c r="F703" s="52"/>
      <c r="G703" s="52"/>
      <c r="H703" s="52"/>
      <c r="I703" s="52"/>
      <c r="J703" s="52"/>
      <c r="K703" s="144"/>
      <c r="L703" s="144"/>
      <c r="M703" s="144"/>
      <c r="N703" s="144"/>
      <c r="O703" s="144"/>
      <c r="P703" s="144"/>
      <c r="Q703" s="144"/>
      <c r="R703" s="144"/>
      <c r="S703" s="144"/>
      <c r="T703" s="144"/>
      <c r="U703" s="144"/>
      <c r="V703" s="144"/>
      <c r="W703" s="144"/>
      <c r="X703" s="144"/>
      <c r="Y703" s="144"/>
      <c r="Z703" s="144"/>
    </row>
    <row r="704" spans="1:26" x14ac:dyDescent="0.3">
      <c r="A704" s="144"/>
      <c r="B704" s="144"/>
      <c r="C704" s="144"/>
      <c r="D704" s="144"/>
      <c r="E704" s="144"/>
      <c r="F704" s="52"/>
      <c r="G704" s="52"/>
      <c r="H704" s="52"/>
      <c r="I704" s="52"/>
      <c r="J704" s="52"/>
      <c r="K704" s="144"/>
      <c r="L704" s="144"/>
      <c r="M704" s="144"/>
      <c r="N704" s="144"/>
      <c r="O704" s="144"/>
      <c r="P704" s="144"/>
      <c r="Q704" s="144"/>
      <c r="R704" s="144"/>
      <c r="S704" s="144"/>
      <c r="T704" s="144"/>
      <c r="U704" s="144"/>
      <c r="V704" s="144"/>
      <c r="W704" s="144"/>
      <c r="X704" s="144"/>
      <c r="Y704" s="144"/>
      <c r="Z704" s="144"/>
    </row>
    <row r="705" spans="1:26" x14ac:dyDescent="0.3">
      <c r="A705" s="144"/>
      <c r="B705" s="144"/>
      <c r="C705" s="144"/>
      <c r="D705" s="144"/>
      <c r="E705" s="144"/>
      <c r="F705" s="52"/>
      <c r="G705" s="52"/>
      <c r="H705" s="52"/>
      <c r="I705" s="52"/>
      <c r="J705" s="52"/>
      <c r="K705" s="144"/>
      <c r="L705" s="144"/>
      <c r="M705" s="144"/>
      <c r="N705" s="144"/>
      <c r="O705" s="144"/>
      <c r="P705" s="144"/>
      <c r="Q705" s="144"/>
      <c r="R705" s="144"/>
      <c r="S705" s="144"/>
      <c r="T705" s="144"/>
      <c r="U705" s="144"/>
      <c r="V705" s="144"/>
      <c r="W705" s="144"/>
      <c r="X705" s="144"/>
      <c r="Y705" s="144"/>
      <c r="Z705" s="144"/>
    </row>
    <row r="706" spans="1:26" x14ac:dyDescent="0.3">
      <c r="A706" s="144"/>
      <c r="B706" s="144"/>
      <c r="C706" s="144"/>
      <c r="D706" s="144"/>
      <c r="E706" s="144"/>
      <c r="F706" s="52"/>
      <c r="G706" s="52"/>
      <c r="H706" s="52"/>
      <c r="I706" s="52"/>
      <c r="J706" s="52"/>
      <c r="K706" s="144"/>
      <c r="L706" s="144"/>
      <c r="M706" s="144"/>
      <c r="N706" s="144"/>
      <c r="O706" s="144"/>
      <c r="P706" s="144"/>
      <c r="Q706" s="144"/>
      <c r="R706" s="144"/>
      <c r="S706" s="144"/>
      <c r="T706" s="144"/>
      <c r="U706" s="144"/>
      <c r="V706" s="144"/>
      <c r="W706" s="144"/>
      <c r="X706" s="144"/>
      <c r="Y706" s="144"/>
      <c r="Z706" s="144"/>
    </row>
    <row r="707" spans="1:26" x14ac:dyDescent="0.3">
      <c r="A707" s="144"/>
      <c r="B707" s="144"/>
      <c r="C707" s="144"/>
      <c r="D707" s="144"/>
      <c r="E707" s="144"/>
      <c r="F707" s="52"/>
      <c r="G707" s="52"/>
      <c r="H707" s="52"/>
      <c r="I707" s="52"/>
      <c r="J707" s="52"/>
      <c r="K707" s="144"/>
      <c r="L707" s="144"/>
      <c r="M707" s="144"/>
      <c r="N707" s="144"/>
      <c r="O707" s="144"/>
      <c r="P707" s="144"/>
      <c r="Q707" s="144"/>
      <c r="R707" s="144"/>
      <c r="S707" s="144"/>
      <c r="T707" s="144"/>
      <c r="U707" s="144"/>
      <c r="V707" s="144"/>
      <c r="W707" s="144"/>
      <c r="X707" s="144"/>
      <c r="Y707" s="144"/>
      <c r="Z707" s="144"/>
    </row>
    <row r="708" spans="1:26" x14ac:dyDescent="0.3">
      <c r="A708" s="144"/>
      <c r="B708" s="144"/>
      <c r="C708" s="144"/>
      <c r="D708" s="144"/>
      <c r="E708" s="144"/>
      <c r="F708" s="52"/>
      <c r="G708" s="52"/>
      <c r="H708" s="52"/>
      <c r="I708" s="52"/>
      <c r="J708" s="52"/>
      <c r="K708" s="144"/>
      <c r="L708" s="144"/>
      <c r="M708" s="144"/>
      <c r="N708" s="144"/>
      <c r="O708" s="144"/>
      <c r="P708" s="144"/>
      <c r="Q708" s="144"/>
      <c r="R708" s="144"/>
      <c r="S708" s="144"/>
      <c r="T708" s="144"/>
      <c r="U708" s="144"/>
      <c r="V708" s="144"/>
      <c r="W708" s="144"/>
      <c r="X708" s="144"/>
      <c r="Y708" s="144"/>
      <c r="Z708" s="144"/>
    </row>
    <row r="709" spans="1:26" x14ac:dyDescent="0.3">
      <c r="A709" s="144"/>
      <c r="B709" s="144"/>
      <c r="C709" s="144"/>
      <c r="D709" s="144"/>
      <c r="E709" s="144"/>
      <c r="F709" s="52"/>
      <c r="G709" s="52"/>
      <c r="H709" s="52"/>
      <c r="I709" s="52"/>
      <c r="J709" s="52"/>
      <c r="K709" s="144"/>
      <c r="L709" s="144"/>
      <c r="M709" s="144"/>
      <c r="N709" s="144"/>
      <c r="O709" s="144"/>
      <c r="P709" s="144"/>
      <c r="Q709" s="144"/>
      <c r="R709" s="144"/>
      <c r="S709" s="144"/>
      <c r="T709" s="144"/>
      <c r="U709" s="144"/>
      <c r="V709" s="144"/>
      <c r="W709" s="144"/>
      <c r="X709" s="144"/>
      <c r="Y709" s="144"/>
      <c r="Z709" s="144"/>
    </row>
    <row r="710" spans="1:26" x14ac:dyDescent="0.3">
      <c r="A710" s="144"/>
      <c r="B710" s="144"/>
      <c r="C710" s="144"/>
      <c r="D710" s="144"/>
      <c r="E710" s="144"/>
      <c r="F710" s="52"/>
      <c r="G710" s="52"/>
      <c r="H710" s="52"/>
      <c r="I710" s="52"/>
      <c r="J710" s="52"/>
      <c r="K710" s="144"/>
      <c r="L710" s="144"/>
      <c r="M710" s="144"/>
      <c r="N710" s="144"/>
      <c r="O710" s="144"/>
      <c r="P710" s="144"/>
      <c r="Q710" s="144"/>
      <c r="R710" s="144"/>
      <c r="S710" s="144"/>
      <c r="T710" s="144"/>
      <c r="U710" s="144"/>
      <c r="V710" s="144"/>
      <c r="W710" s="144"/>
      <c r="X710" s="144"/>
      <c r="Y710" s="144"/>
      <c r="Z710" s="144"/>
    </row>
    <row r="711" spans="1:26" x14ac:dyDescent="0.3">
      <c r="A711" s="144"/>
      <c r="B711" s="144"/>
      <c r="C711" s="144"/>
      <c r="D711" s="144"/>
      <c r="E711" s="144"/>
      <c r="F711" s="52"/>
      <c r="G711" s="52"/>
      <c r="H711" s="52"/>
      <c r="I711" s="52"/>
      <c r="J711" s="52"/>
      <c r="K711" s="144"/>
      <c r="L711" s="144"/>
      <c r="M711" s="144"/>
      <c r="N711" s="144"/>
      <c r="O711" s="144"/>
      <c r="P711" s="144"/>
      <c r="Q711" s="144"/>
      <c r="R711" s="144"/>
      <c r="S711" s="144"/>
      <c r="T711" s="144"/>
      <c r="U711" s="144"/>
      <c r="V711" s="144"/>
      <c r="W711" s="144"/>
      <c r="X711" s="144"/>
      <c r="Y711" s="144"/>
      <c r="Z711" s="144"/>
    </row>
    <row r="712" spans="1:26" x14ac:dyDescent="0.3">
      <c r="A712" s="144"/>
      <c r="B712" s="144"/>
      <c r="C712" s="144"/>
      <c r="D712" s="144"/>
      <c r="E712" s="144"/>
      <c r="F712" s="52"/>
      <c r="G712" s="52"/>
      <c r="H712" s="52"/>
      <c r="I712" s="52"/>
      <c r="J712" s="52"/>
      <c r="K712" s="144"/>
      <c r="L712" s="144"/>
      <c r="M712" s="144"/>
      <c r="N712" s="144"/>
      <c r="O712" s="144"/>
      <c r="P712" s="144"/>
      <c r="Q712" s="144"/>
      <c r="R712" s="144"/>
      <c r="S712" s="144"/>
      <c r="T712" s="144"/>
      <c r="U712" s="144"/>
      <c r="V712" s="144"/>
      <c r="W712" s="144"/>
      <c r="X712" s="144"/>
      <c r="Y712" s="144"/>
      <c r="Z712" s="144"/>
    </row>
    <row r="713" spans="1:26" x14ac:dyDescent="0.3">
      <c r="A713" s="144"/>
      <c r="B713" s="144"/>
      <c r="C713" s="144"/>
      <c r="D713" s="144"/>
      <c r="E713" s="144"/>
      <c r="F713" s="52"/>
      <c r="G713" s="52"/>
      <c r="H713" s="52"/>
      <c r="I713" s="52"/>
      <c r="J713" s="52"/>
      <c r="K713" s="144"/>
      <c r="L713" s="144"/>
      <c r="M713" s="144"/>
      <c r="N713" s="144"/>
      <c r="O713" s="144"/>
      <c r="P713" s="144"/>
      <c r="Q713" s="144"/>
      <c r="R713" s="144"/>
      <c r="S713" s="144"/>
      <c r="T713" s="144"/>
      <c r="U713" s="144"/>
      <c r="V713" s="144"/>
      <c r="W713" s="144"/>
      <c r="X713" s="144"/>
      <c r="Y713" s="144"/>
      <c r="Z713" s="144"/>
    </row>
    <row r="714" spans="1:26" x14ac:dyDescent="0.3">
      <c r="A714" s="144"/>
      <c r="B714" s="144"/>
      <c r="C714" s="144"/>
      <c r="D714" s="144"/>
      <c r="E714" s="144"/>
      <c r="F714" s="52"/>
      <c r="G714" s="52"/>
      <c r="H714" s="52"/>
      <c r="I714" s="52"/>
      <c r="J714" s="52"/>
      <c r="K714" s="144"/>
      <c r="L714" s="144"/>
      <c r="M714" s="144"/>
      <c r="N714" s="144"/>
      <c r="O714" s="144"/>
      <c r="P714" s="144"/>
      <c r="Q714" s="144"/>
      <c r="R714" s="144"/>
      <c r="S714" s="144"/>
      <c r="T714" s="144"/>
      <c r="U714" s="144"/>
      <c r="V714" s="144"/>
      <c r="W714" s="144"/>
      <c r="X714" s="144"/>
      <c r="Y714" s="144"/>
      <c r="Z714" s="144"/>
    </row>
    <row r="715" spans="1:26" x14ac:dyDescent="0.3">
      <c r="A715" s="144"/>
      <c r="B715" s="144"/>
      <c r="C715" s="144"/>
      <c r="D715" s="144"/>
      <c r="E715" s="144"/>
      <c r="F715" s="52"/>
      <c r="G715" s="52"/>
      <c r="H715" s="52"/>
      <c r="I715" s="52"/>
      <c r="J715" s="52"/>
      <c r="K715" s="144"/>
      <c r="L715" s="144"/>
      <c r="M715" s="144"/>
      <c r="N715" s="144"/>
      <c r="O715" s="144"/>
      <c r="P715" s="144"/>
      <c r="Q715" s="144"/>
      <c r="R715" s="144"/>
      <c r="S715" s="144"/>
      <c r="T715" s="144"/>
      <c r="U715" s="144"/>
      <c r="V715" s="144"/>
      <c r="W715" s="144"/>
      <c r="X715" s="144"/>
      <c r="Y715" s="144"/>
      <c r="Z715" s="144"/>
    </row>
    <row r="716" spans="1:26" x14ac:dyDescent="0.3">
      <c r="A716" s="144"/>
      <c r="B716" s="144"/>
      <c r="C716" s="144"/>
      <c r="D716" s="144"/>
      <c r="E716" s="144"/>
      <c r="F716" s="52"/>
      <c r="G716" s="52"/>
      <c r="H716" s="52"/>
      <c r="I716" s="52"/>
      <c r="J716" s="52"/>
      <c r="K716" s="144"/>
      <c r="L716" s="144"/>
      <c r="M716" s="144"/>
      <c r="N716" s="144"/>
      <c r="O716" s="144"/>
      <c r="P716" s="144"/>
      <c r="Q716" s="144"/>
      <c r="R716" s="144"/>
      <c r="S716" s="144"/>
      <c r="T716" s="144"/>
      <c r="U716" s="144"/>
      <c r="V716" s="144"/>
      <c r="W716" s="144"/>
      <c r="X716" s="144"/>
      <c r="Y716" s="144"/>
      <c r="Z716" s="144"/>
    </row>
    <row r="717" spans="1:26" x14ac:dyDescent="0.3">
      <c r="A717" s="144"/>
      <c r="B717" s="144"/>
      <c r="C717" s="144"/>
      <c r="D717" s="144"/>
      <c r="E717" s="144"/>
      <c r="F717" s="52"/>
      <c r="G717" s="52"/>
      <c r="H717" s="52"/>
      <c r="I717" s="52"/>
      <c r="J717" s="52"/>
      <c r="K717" s="144"/>
      <c r="L717" s="144"/>
      <c r="M717" s="144"/>
      <c r="N717" s="144"/>
      <c r="O717" s="144"/>
      <c r="P717" s="144"/>
      <c r="Q717" s="144"/>
      <c r="R717" s="144"/>
      <c r="S717" s="144"/>
      <c r="T717" s="144"/>
      <c r="U717" s="144"/>
      <c r="V717" s="144"/>
      <c r="W717" s="144"/>
      <c r="X717" s="144"/>
      <c r="Y717" s="144"/>
      <c r="Z717" s="144"/>
    </row>
    <row r="718" spans="1:26" x14ac:dyDescent="0.3">
      <c r="A718" s="144"/>
      <c r="B718" s="144"/>
      <c r="C718" s="144"/>
      <c r="D718" s="144"/>
      <c r="E718" s="144"/>
      <c r="F718" s="52"/>
      <c r="G718" s="52"/>
      <c r="H718" s="52"/>
      <c r="I718" s="52"/>
      <c r="J718" s="52"/>
      <c r="K718" s="144"/>
      <c r="L718" s="144"/>
      <c r="M718" s="144"/>
      <c r="N718" s="144"/>
      <c r="O718" s="144"/>
      <c r="P718" s="144"/>
      <c r="Q718" s="144"/>
      <c r="R718" s="144"/>
      <c r="S718" s="144"/>
      <c r="T718" s="144"/>
      <c r="U718" s="144"/>
      <c r="V718" s="144"/>
      <c r="W718" s="144"/>
      <c r="X718" s="144"/>
      <c r="Y718" s="144"/>
      <c r="Z718" s="144"/>
    </row>
    <row r="719" spans="1:26" x14ac:dyDescent="0.3">
      <c r="A719" s="144"/>
      <c r="B719" s="144"/>
      <c r="C719" s="144"/>
      <c r="D719" s="144"/>
      <c r="E719" s="144"/>
      <c r="F719" s="52"/>
      <c r="G719" s="52"/>
      <c r="H719" s="52"/>
      <c r="I719" s="52"/>
      <c r="J719" s="52"/>
      <c r="K719" s="144"/>
      <c r="L719" s="144"/>
      <c r="M719" s="144"/>
      <c r="N719" s="144"/>
      <c r="O719" s="144"/>
      <c r="P719" s="144"/>
      <c r="Q719" s="144"/>
      <c r="R719" s="144"/>
      <c r="S719" s="144"/>
      <c r="T719" s="144"/>
      <c r="U719" s="144"/>
      <c r="V719" s="144"/>
      <c r="W719" s="144"/>
      <c r="X719" s="144"/>
      <c r="Y719" s="144"/>
      <c r="Z719" s="144"/>
    </row>
    <row r="720" spans="1:26" x14ac:dyDescent="0.3">
      <c r="A720" s="144"/>
      <c r="B720" s="144"/>
      <c r="C720" s="144"/>
      <c r="D720" s="144"/>
      <c r="E720" s="144"/>
      <c r="F720" s="52"/>
      <c r="G720" s="52"/>
      <c r="H720" s="52"/>
      <c r="I720" s="52"/>
      <c r="J720" s="52"/>
      <c r="K720" s="144"/>
      <c r="L720" s="144"/>
      <c r="M720" s="144"/>
      <c r="N720" s="144"/>
      <c r="O720" s="144"/>
      <c r="P720" s="144"/>
      <c r="Q720" s="144"/>
      <c r="R720" s="144"/>
      <c r="S720" s="144"/>
      <c r="T720" s="144"/>
      <c r="U720" s="144"/>
      <c r="V720" s="144"/>
      <c r="W720" s="144"/>
      <c r="X720" s="144"/>
      <c r="Y720" s="144"/>
      <c r="Z720" s="144"/>
    </row>
    <row r="721" spans="1:26" x14ac:dyDescent="0.3">
      <c r="A721" s="144"/>
      <c r="B721" s="144"/>
      <c r="C721" s="144"/>
      <c r="D721" s="144"/>
      <c r="E721" s="144"/>
      <c r="F721" s="52"/>
      <c r="G721" s="52"/>
      <c r="H721" s="52"/>
      <c r="I721" s="52"/>
      <c r="J721" s="52"/>
      <c r="K721" s="144"/>
      <c r="L721" s="144"/>
      <c r="M721" s="144"/>
      <c r="N721" s="144"/>
      <c r="O721" s="144"/>
      <c r="P721" s="144"/>
      <c r="Q721" s="144"/>
      <c r="R721" s="144"/>
      <c r="S721" s="144"/>
      <c r="T721" s="144"/>
      <c r="U721" s="144"/>
      <c r="V721" s="144"/>
      <c r="W721" s="144"/>
      <c r="X721" s="144"/>
      <c r="Y721" s="144"/>
      <c r="Z721" s="144"/>
    </row>
    <row r="722" spans="1:26" x14ac:dyDescent="0.3">
      <c r="A722" s="144"/>
      <c r="B722" s="144"/>
      <c r="C722" s="144"/>
      <c r="D722" s="144"/>
      <c r="E722" s="144"/>
      <c r="F722" s="52"/>
      <c r="G722" s="52"/>
      <c r="H722" s="52"/>
      <c r="I722" s="52"/>
      <c r="J722" s="52"/>
      <c r="K722" s="144"/>
      <c r="L722" s="144"/>
      <c r="M722" s="144"/>
      <c r="N722" s="144"/>
      <c r="O722" s="144"/>
      <c r="P722" s="144"/>
      <c r="Q722" s="144"/>
      <c r="R722" s="144"/>
      <c r="S722" s="144"/>
      <c r="T722" s="144"/>
      <c r="U722" s="144"/>
      <c r="V722" s="144"/>
      <c r="W722" s="144"/>
      <c r="X722" s="144"/>
      <c r="Y722" s="144"/>
      <c r="Z722" s="144"/>
    </row>
    <row r="723" spans="1:26" x14ac:dyDescent="0.3">
      <c r="A723" s="144"/>
      <c r="B723" s="144"/>
      <c r="C723" s="144"/>
      <c r="D723" s="144"/>
      <c r="E723" s="144"/>
      <c r="F723" s="52"/>
      <c r="G723" s="52"/>
      <c r="H723" s="52"/>
      <c r="I723" s="52"/>
      <c r="J723" s="52"/>
      <c r="K723" s="144"/>
      <c r="L723" s="144"/>
      <c r="M723" s="144"/>
      <c r="N723" s="144"/>
      <c r="O723" s="144"/>
      <c r="P723" s="144"/>
      <c r="Q723" s="144"/>
      <c r="R723" s="144"/>
      <c r="S723" s="144"/>
      <c r="T723" s="144"/>
      <c r="U723" s="144"/>
      <c r="V723" s="144"/>
      <c r="W723" s="144"/>
      <c r="X723" s="144"/>
      <c r="Y723" s="144"/>
      <c r="Z723" s="144"/>
    </row>
    <row r="724" spans="1:26" x14ac:dyDescent="0.3">
      <c r="A724" s="144"/>
      <c r="B724" s="144"/>
      <c r="C724" s="144"/>
      <c r="D724" s="144"/>
      <c r="E724" s="144"/>
      <c r="F724" s="52"/>
      <c r="G724" s="52"/>
      <c r="H724" s="52"/>
      <c r="I724" s="52"/>
      <c r="J724" s="52"/>
      <c r="K724" s="144"/>
      <c r="L724" s="144"/>
      <c r="M724" s="144"/>
      <c r="N724" s="144"/>
      <c r="O724" s="144"/>
      <c r="P724" s="144"/>
      <c r="Q724" s="144"/>
      <c r="R724" s="144"/>
      <c r="S724" s="144"/>
      <c r="T724" s="144"/>
      <c r="U724" s="144"/>
      <c r="V724" s="144"/>
      <c r="W724" s="144"/>
      <c r="X724" s="144"/>
      <c r="Y724" s="144"/>
      <c r="Z724" s="144"/>
    </row>
    <row r="725" spans="1:26" x14ac:dyDescent="0.3">
      <c r="A725" s="144"/>
      <c r="B725" s="144"/>
      <c r="C725" s="144"/>
      <c r="D725" s="144"/>
      <c r="E725" s="144"/>
      <c r="F725" s="52"/>
      <c r="G725" s="52"/>
      <c r="H725" s="52"/>
      <c r="I725" s="52"/>
      <c r="J725" s="52"/>
      <c r="K725" s="144"/>
      <c r="L725" s="144"/>
      <c r="M725" s="144"/>
      <c r="N725" s="144"/>
      <c r="O725" s="144"/>
      <c r="P725" s="144"/>
      <c r="Q725" s="144"/>
      <c r="R725" s="144"/>
      <c r="S725" s="144"/>
      <c r="T725" s="144"/>
      <c r="U725" s="144"/>
      <c r="V725" s="144"/>
      <c r="W725" s="144"/>
      <c r="X725" s="144"/>
      <c r="Y725" s="144"/>
      <c r="Z725" s="144"/>
    </row>
    <row r="726" spans="1:26" x14ac:dyDescent="0.3">
      <c r="A726" s="144"/>
      <c r="B726" s="144"/>
      <c r="C726" s="144"/>
      <c r="D726" s="144"/>
      <c r="E726" s="144"/>
      <c r="F726" s="52"/>
      <c r="G726" s="52"/>
      <c r="H726" s="52"/>
      <c r="I726" s="52"/>
      <c r="J726" s="52"/>
      <c r="K726" s="144"/>
      <c r="L726" s="144"/>
      <c r="M726" s="144"/>
      <c r="N726" s="144"/>
      <c r="O726" s="144"/>
      <c r="P726" s="144"/>
      <c r="Q726" s="144"/>
      <c r="R726" s="144"/>
      <c r="S726" s="144"/>
      <c r="T726" s="144"/>
      <c r="U726" s="144"/>
      <c r="V726" s="144"/>
      <c r="W726" s="144"/>
      <c r="X726" s="144"/>
      <c r="Y726" s="144"/>
      <c r="Z726" s="144"/>
    </row>
    <row r="727" spans="1:26" x14ac:dyDescent="0.3">
      <c r="A727" s="144"/>
      <c r="B727" s="144"/>
      <c r="C727" s="144"/>
      <c r="D727" s="144"/>
      <c r="E727" s="144"/>
      <c r="F727" s="52"/>
      <c r="G727" s="52"/>
      <c r="H727" s="52"/>
      <c r="I727" s="52"/>
      <c r="J727" s="52"/>
      <c r="K727" s="144"/>
      <c r="L727" s="144"/>
      <c r="M727" s="144"/>
      <c r="N727" s="144"/>
      <c r="O727" s="144"/>
      <c r="P727" s="144"/>
      <c r="Q727" s="144"/>
      <c r="R727" s="144"/>
      <c r="S727" s="144"/>
      <c r="T727" s="144"/>
      <c r="U727" s="144"/>
      <c r="V727" s="144"/>
      <c r="W727" s="144"/>
      <c r="X727" s="144"/>
      <c r="Y727" s="144"/>
      <c r="Z727" s="144"/>
    </row>
    <row r="728" spans="1:26" x14ac:dyDescent="0.3">
      <c r="A728" s="144"/>
      <c r="B728" s="144"/>
      <c r="C728" s="144"/>
      <c r="D728" s="144"/>
      <c r="E728" s="144"/>
      <c r="F728" s="52"/>
      <c r="G728" s="52"/>
      <c r="H728" s="52"/>
      <c r="I728" s="52"/>
      <c r="J728" s="52"/>
      <c r="K728" s="144"/>
      <c r="L728" s="144"/>
      <c r="M728" s="144"/>
      <c r="N728" s="144"/>
      <c r="O728" s="144"/>
      <c r="P728" s="144"/>
      <c r="Q728" s="144"/>
      <c r="R728" s="144"/>
      <c r="S728" s="144"/>
      <c r="T728" s="144"/>
      <c r="U728" s="144"/>
      <c r="V728" s="144"/>
      <c r="W728" s="144"/>
      <c r="X728" s="144"/>
      <c r="Y728" s="144"/>
      <c r="Z728" s="144"/>
    </row>
    <row r="729" spans="1:26" x14ac:dyDescent="0.3">
      <c r="A729" s="144"/>
      <c r="B729" s="144"/>
      <c r="C729" s="144"/>
      <c r="D729" s="144"/>
      <c r="E729" s="144"/>
      <c r="F729" s="52"/>
      <c r="G729" s="52"/>
      <c r="H729" s="52"/>
      <c r="I729" s="52"/>
      <c r="J729" s="52"/>
      <c r="K729" s="144"/>
      <c r="L729" s="144"/>
      <c r="M729" s="144"/>
      <c r="N729" s="144"/>
      <c r="O729" s="144"/>
      <c r="P729" s="144"/>
      <c r="Q729" s="144"/>
      <c r="R729" s="144"/>
      <c r="S729" s="144"/>
      <c r="T729" s="144"/>
      <c r="U729" s="144"/>
      <c r="V729" s="144"/>
      <c r="W729" s="144"/>
      <c r="X729" s="144"/>
      <c r="Y729" s="144"/>
      <c r="Z729" s="144"/>
    </row>
    <row r="730" spans="1:26" x14ac:dyDescent="0.3">
      <c r="A730" s="144"/>
      <c r="B730" s="144"/>
      <c r="C730" s="144"/>
      <c r="D730" s="144"/>
      <c r="E730" s="144"/>
      <c r="F730" s="52"/>
      <c r="G730" s="52"/>
      <c r="H730" s="52"/>
      <c r="I730" s="52"/>
      <c r="J730" s="52"/>
      <c r="K730" s="144"/>
      <c r="L730" s="144"/>
      <c r="M730" s="144"/>
      <c r="N730" s="144"/>
      <c r="O730" s="144"/>
      <c r="P730" s="144"/>
      <c r="Q730" s="144"/>
      <c r="R730" s="144"/>
      <c r="S730" s="144"/>
      <c r="T730" s="144"/>
      <c r="U730" s="144"/>
      <c r="V730" s="144"/>
      <c r="W730" s="144"/>
      <c r="X730" s="144"/>
      <c r="Y730" s="144"/>
      <c r="Z730" s="144"/>
    </row>
    <row r="731" spans="1:26" x14ac:dyDescent="0.3">
      <c r="A731" s="144"/>
      <c r="B731" s="144"/>
      <c r="C731" s="144"/>
      <c r="D731" s="144"/>
      <c r="E731" s="144"/>
      <c r="F731" s="52"/>
      <c r="G731" s="52"/>
      <c r="H731" s="52"/>
      <c r="I731" s="52"/>
      <c r="J731" s="52"/>
      <c r="K731" s="144"/>
      <c r="L731" s="144"/>
      <c r="M731" s="144"/>
      <c r="N731" s="144"/>
      <c r="O731" s="144"/>
      <c r="P731" s="144"/>
      <c r="Q731" s="144"/>
      <c r="R731" s="144"/>
      <c r="S731" s="144"/>
      <c r="T731" s="144"/>
      <c r="U731" s="144"/>
      <c r="V731" s="144"/>
      <c r="W731" s="144"/>
      <c r="X731" s="144"/>
      <c r="Y731" s="144"/>
      <c r="Z731" s="144"/>
    </row>
    <row r="732" spans="1:26" x14ac:dyDescent="0.3">
      <c r="A732" s="144"/>
      <c r="B732" s="144"/>
      <c r="C732" s="144"/>
      <c r="D732" s="144"/>
      <c r="E732" s="144"/>
      <c r="F732" s="52"/>
      <c r="G732" s="52"/>
      <c r="H732" s="52"/>
      <c r="I732" s="52"/>
      <c r="J732" s="52"/>
      <c r="K732" s="144"/>
      <c r="L732" s="144"/>
      <c r="M732" s="144"/>
      <c r="N732" s="144"/>
      <c r="O732" s="144"/>
      <c r="P732" s="144"/>
      <c r="Q732" s="144"/>
      <c r="R732" s="144"/>
      <c r="S732" s="144"/>
      <c r="T732" s="144"/>
      <c r="U732" s="144"/>
      <c r="V732" s="144"/>
      <c r="W732" s="144"/>
      <c r="X732" s="144"/>
      <c r="Y732" s="144"/>
      <c r="Z732" s="144"/>
    </row>
    <row r="733" spans="1:26" x14ac:dyDescent="0.3">
      <c r="A733" s="144"/>
      <c r="B733" s="144"/>
      <c r="C733" s="144"/>
      <c r="D733" s="144"/>
      <c r="E733" s="144"/>
      <c r="F733" s="52"/>
      <c r="G733" s="52"/>
      <c r="H733" s="52"/>
      <c r="I733" s="52"/>
      <c r="J733" s="52"/>
      <c r="K733" s="144"/>
      <c r="L733" s="144"/>
      <c r="M733" s="144"/>
      <c r="N733" s="144"/>
      <c r="O733" s="144"/>
      <c r="P733" s="144"/>
      <c r="Q733" s="144"/>
      <c r="R733" s="144"/>
      <c r="S733" s="144"/>
      <c r="T733" s="144"/>
      <c r="U733" s="144"/>
      <c r="V733" s="144"/>
      <c r="W733" s="144"/>
      <c r="X733" s="144"/>
      <c r="Y733" s="144"/>
      <c r="Z733" s="144"/>
    </row>
    <row r="734" spans="1:26" x14ac:dyDescent="0.3">
      <c r="A734" s="144"/>
      <c r="B734" s="144"/>
      <c r="C734" s="144"/>
      <c r="D734" s="144"/>
      <c r="E734" s="144"/>
      <c r="F734" s="52"/>
      <c r="G734" s="52"/>
      <c r="H734" s="52"/>
      <c r="I734" s="52"/>
      <c r="J734" s="52"/>
      <c r="K734" s="144"/>
      <c r="L734" s="144"/>
      <c r="M734" s="144"/>
      <c r="N734" s="144"/>
      <c r="O734" s="144"/>
      <c r="P734" s="144"/>
      <c r="Q734" s="144"/>
      <c r="R734" s="144"/>
      <c r="S734" s="144"/>
      <c r="T734" s="144"/>
      <c r="U734" s="144"/>
      <c r="V734" s="144"/>
      <c r="W734" s="144"/>
      <c r="X734" s="144"/>
      <c r="Y734" s="144"/>
      <c r="Z734" s="144"/>
    </row>
    <row r="735" spans="1:26" x14ac:dyDescent="0.3">
      <c r="A735" s="144"/>
      <c r="B735" s="144"/>
      <c r="C735" s="144"/>
      <c r="D735" s="144"/>
      <c r="E735" s="144"/>
      <c r="F735" s="52"/>
      <c r="G735" s="52"/>
      <c r="H735" s="52"/>
      <c r="I735" s="52"/>
      <c r="J735" s="52"/>
      <c r="K735" s="144"/>
      <c r="L735" s="144"/>
      <c r="M735" s="144"/>
      <c r="N735" s="144"/>
      <c r="O735" s="144"/>
      <c r="P735" s="144"/>
      <c r="Q735" s="144"/>
      <c r="R735" s="144"/>
      <c r="S735" s="144"/>
      <c r="T735" s="144"/>
      <c r="U735" s="144"/>
      <c r="V735" s="144"/>
      <c r="W735" s="144"/>
      <c r="X735" s="144"/>
      <c r="Y735" s="144"/>
      <c r="Z735" s="144"/>
    </row>
    <row r="736" spans="1:26" x14ac:dyDescent="0.3">
      <c r="A736" s="144"/>
      <c r="B736" s="144"/>
      <c r="C736" s="144"/>
      <c r="D736" s="144"/>
      <c r="E736" s="144"/>
      <c r="F736" s="52"/>
      <c r="G736" s="52"/>
      <c r="H736" s="52"/>
      <c r="I736" s="52"/>
      <c r="J736" s="52"/>
      <c r="K736" s="144"/>
      <c r="L736" s="144"/>
      <c r="M736" s="144"/>
      <c r="N736" s="144"/>
      <c r="O736" s="144"/>
      <c r="P736" s="144"/>
      <c r="Q736" s="144"/>
      <c r="R736" s="144"/>
      <c r="S736" s="144"/>
      <c r="T736" s="144"/>
      <c r="U736" s="144"/>
      <c r="V736" s="144"/>
      <c r="W736" s="144"/>
      <c r="X736" s="144"/>
      <c r="Y736" s="144"/>
      <c r="Z736" s="144"/>
    </row>
    <row r="737" spans="1:26" x14ac:dyDescent="0.3">
      <c r="A737" s="144"/>
      <c r="B737" s="144"/>
      <c r="C737" s="144"/>
      <c r="D737" s="144"/>
      <c r="E737" s="144"/>
      <c r="F737" s="52"/>
      <c r="G737" s="52"/>
      <c r="H737" s="52"/>
      <c r="I737" s="52"/>
      <c r="J737" s="52"/>
      <c r="K737" s="144"/>
      <c r="L737" s="144"/>
      <c r="M737" s="144"/>
      <c r="N737" s="144"/>
      <c r="O737" s="144"/>
      <c r="P737" s="144"/>
      <c r="Q737" s="144"/>
      <c r="R737" s="144"/>
      <c r="S737" s="144"/>
      <c r="T737" s="144"/>
      <c r="U737" s="144"/>
      <c r="V737" s="144"/>
      <c r="W737" s="144"/>
      <c r="X737" s="144"/>
      <c r="Y737" s="144"/>
      <c r="Z737" s="144"/>
    </row>
    <row r="738" spans="1:26" x14ac:dyDescent="0.3">
      <c r="A738" s="144"/>
      <c r="B738" s="144"/>
      <c r="C738" s="144"/>
      <c r="D738" s="144"/>
      <c r="E738" s="144"/>
      <c r="F738" s="52"/>
      <c r="G738" s="52"/>
      <c r="H738" s="52"/>
      <c r="I738" s="52"/>
      <c r="J738" s="52"/>
      <c r="K738" s="144"/>
      <c r="L738" s="144"/>
      <c r="M738" s="144"/>
      <c r="N738" s="144"/>
      <c r="O738" s="144"/>
      <c r="P738" s="144"/>
      <c r="Q738" s="144"/>
      <c r="R738" s="144"/>
      <c r="S738" s="144"/>
      <c r="T738" s="144"/>
      <c r="U738" s="144"/>
      <c r="V738" s="144"/>
      <c r="W738" s="144"/>
      <c r="X738" s="144"/>
      <c r="Y738" s="144"/>
      <c r="Z738" s="144"/>
    </row>
    <row r="739" spans="1:26" x14ac:dyDescent="0.3">
      <c r="A739" s="144"/>
      <c r="B739" s="144"/>
      <c r="C739" s="144"/>
      <c r="D739" s="144"/>
      <c r="E739" s="144"/>
      <c r="F739" s="52"/>
      <c r="G739" s="52"/>
      <c r="H739" s="52"/>
      <c r="I739" s="52"/>
      <c r="J739" s="52"/>
      <c r="K739" s="144"/>
      <c r="L739" s="144"/>
      <c r="M739" s="144"/>
      <c r="N739" s="144"/>
      <c r="O739" s="144"/>
      <c r="P739" s="144"/>
      <c r="Q739" s="144"/>
      <c r="R739" s="144"/>
      <c r="S739" s="144"/>
      <c r="T739" s="144"/>
      <c r="U739" s="144"/>
      <c r="V739" s="144"/>
      <c r="W739" s="144"/>
      <c r="X739" s="144"/>
      <c r="Y739" s="144"/>
      <c r="Z739" s="144"/>
    </row>
    <row r="740" spans="1:26" x14ac:dyDescent="0.3">
      <c r="A740" s="144"/>
      <c r="B740" s="144"/>
      <c r="C740" s="144"/>
      <c r="D740" s="144"/>
      <c r="E740" s="144"/>
      <c r="F740" s="52"/>
      <c r="G740" s="52"/>
      <c r="H740" s="52"/>
      <c r="I740" s="52"/>
      <c r="J740" s="52"/>
      <c r="K740" s="144"/>
      <c r="L740" s="144"/>
      <c r="M740" s="144"/>
      <c r="N740" s="144"/>
      <c r="O740" s="144"/>
      <c r="P740" s="144"/>
      <c r="Q740" s="144"/>
      <c r="R740" s="144"/>
      <c r="S740" s="144"/>
      <c r="T740" s="144"/>
      <c r="U740" s="144"/>
      <c r="V740" s="144"/>
      <c r="W740" s="144"/>
      <c r="X740" s="144"/>
      <c r="Y740" s="144"/>
      <c r="Z740" s="144"/>
    </row>
    <row r="741" spans="1:26" x14ac:dyDescent="0.3">
      <c r="A741" s="144"/>
      <c r="B741" s="144"/>
      <c r="C741" s="144"/>
      <c r="D741" s="144"/>
      <c r="E741" s="144"/>
      <c r="F741" s="52"/>
      <c r="G741" s="52"/>
      <c r="H741" s="52"/>
      <c r="I741" s="52"/>
      <c r="J741" s="52"/>
      <c r="K741" s="144"/>
      <c r="L741" s="144"/>
      <c r="M741" s="144"/>
      <c r="N741" s="144"/>
      <c r="O741" s="144"/>
      <c r="P741" s="144"/>
      <c r="Q741" s="144"/>
      <c r="R741" s="144"/>
      <c r="S741" s="144"/>
      <c r="T741" s="144"/>
      <c r="U741" s="144"/>
      <c r="V741" s="144"/>
      <c r="W741" s="144"/>
      <c r="X741" s="144"/>
      <c r="Y741" s="144"/>
      <c r="Z741" s="144"/>
    </row>
    <row r="742" spans="1:26" x14ac:dyDescent="0.3">
      <c r="A742" s="144"/>
      <c r="B742" s="144"/>
      <c r="C742" s="144"/>
      <c r="D742" s="144"/>
      <c r="E742" s="144"/>
      <c r="F742" s="52"/>
      <c r="G742" s="52"/>
      <c r="H742" s="52"/>
      <c r="I742" s="52"/>
      <c r="J742" s="52"/>
      <c r="K742" s="144"/>
      <c r="L742" s="144"/>
      <c r="M742" s="144"/>
      <c r="N742" s="144"/>
      <c r="O742" s="144"/>
      <c r="P742" s="144"/>
      <c r="Q742" s="144"/>
      <c r="R742" s="144"/>
      <c r="S742" s="144"/>
      <c r="T742" s="144"/>
      <c r="U742" s="144"/>
      <c r="V742" s="144"/>
      <c r="W742" s="144"/>
      <c r="X742" s="144"/>
      <c r="Y742" s="144"/>
      <c r="Z742" s="144"/>
    </row>
    <row r="743" spans="1:26" x14ac:dyDescent="0.3">
      <c r="A743" s="144"/>
      <c r="B743" s="144"/>
      <c r="C743" s="144"/>
      <c r="D743" s="144"/>
      <c r="E743" s="144"/>
      <c r="F743" s="52"/>
      <c r="G743" s="52"/>
      <c r="H743" s="52"/>
      <c r="I743" s="52"/>
      <c r="J743" s="52"/>
      <c r="K743" s="144"/>
      <c r="L743" s="144"/>
      <c r="M743" s="144"/>
      <c r="N743" s="144"/>
      <c r="O743" s="144"/>
      <c r="P743" s="144"/>
      <c r="Q743" s="144"/>
      <c r="R743" s="144"/>
      <c r="S743" s="144"/>
      <c r="T743" s="144"/>
      <c r="U743" s="144"/>
      <c r="V743" s="144"/>
      <c r="W743" s="144"/>
      <c r="X743" s="144"/>
      <c r="Y743" s="144"/>
      <c r="Z743" s="144"/>
    </row>
    <row r="744" spans="1:26" x14ac:dyDescent="0.3">
      <c r="A744" s="144"/>
      <c r="B744" s="144"/>
      <c r="C744" s="144"/>
      <c r="D744" s="144"/>
      <c r="E744" s="144"/>
      <c r="F744" s="52"/>
      <c r="G744" s="52"/>
      <c r="H744" s="52"/>
      <c r="I744" s="52"/>
      <c r="J744" s="52"/>
      <c r="K744" s="144"/>
      <c r="L744" s="144"/>
      <c r="M744" s="144"/>
      <c r="N744" s="144"/>
      <c r="O744" s="144"/>
      <c r="P744" s="144"/>
      <c r="Q744" s="144"/>
      <c r="R744" s="144"/>
      <c r="S744" s="144"/>
      <c r="T744" s="144"/>
      <c r="U744" s="144"/>
      <c r="V744" s="144"/>
      <c r="W744" s="144"/>
      <c r="X744" s="144"/>
      <c r="Y744" s="144"/>
      <c r="Z744" s="144"/>
    </row>
    <row r="745" spans="1:26" x14ac:dyDescent="0.3">
      <c r="A745" s="144"/>
      <c r="B745" s="144"/>
      <c r="C745" s="144"/>
      <c r="D745" s="144"/>
      <c r="E745" s="144"/>
      <c r="F745" s="52"/>
      <c r="G745" s="52"/>
      <c r="H745" s="52"/>
      <c r="I745" s="52"/>
      <c r="J745" s="52"/>
      <c r="K745" s="144"/>
      <c r="L745" s="144"/>
      <c r="M745" s="144"/>
      <c r="N745" s="144"/>
      <c r="O745" s="144"/>
      <c r="P745" s="144"/>
      <c r="Q745" s="144"/>
      <c r="R745" s="144"/>
      <c r="S745" s="144"/>
      <c r="T745" s="144"/>
      <c r="U745" s="144"/>
      <c r="V745" s="144"/>
      <c r="W745" s="144"/>
      <c r="X745" s="144"/>
      <c r="Y745" s="144"/>
      <c r="Z745" s="144"/>
    </row>
    <row r="746" spans="1:26" x14ac:dyDescent="0.3">
      <c r="A746" s="144"/>
      <c r="B746" s="144"/>
      <c r="C746" s="144"/>
      <c r="D746" s="144"/>
      <c r="E746" s="144"/>
      <c r="F746" s="52"/>
      <c r="G746" s="52"/>
      <c r="H746" s="52"/>
      <c r="I746" s="52"/>
      <c r="J746" s="52"/>
      <c r="K746" s="144"/>
      <c r="L746" s="144"/>
      <c r="M746" s="144"/>
      <c r="N746" s="144"/>
      <c r="O746" s="144"/>
      <c r="P746" s="144"/>
      <c r="Q746" s="144"/>
      <c r="R746" s="144"/>
      <c r="S746" s="144"/>
      <c r="T746" s="144"/>
      <c r="U746" s="144"/>
      <c r="V746" s="144"/>
      <c r="W746" s="144"/>
      <c r="X746" s="144"/>
      <c r="Y746" s="144"/>
      <c r="Z746" s="144"/>
    </row>
    <row r="747" spans="1:26" x14ac:dyDescent="0.3">
      <c r="A747" s="144"/>
      <c r="B747" s="144"/>
      <c r="C747" s="144"/>
      <c r="D747" s="144"/>
      <c r="E747" s="144"/>
      <c r="F747" s="52"/>
      <c r="G747" s="52"/>
      <c r="H747" s="52"/>
      <c r="I747" s="52"/>
      <c r="J747" s="52"/>
      <c r="K747" s="144"/>
      <c r="L747" s="144"/>
      <c r="M747" s="144"/>
      <c r="N747" s="144"/>
      <c r="O747" s="144"/>
      <c r="P747" s="144"/>
      <c r="Q747" s="144"/>
      <c r="R747" s="144"/>
      <c r="S747" s="144"/>
      <c r="T747" s="144"/>
      <c r="U747" s="144"/>
      <c r="V747" s="144"/>
      <c r="W747" s="144"/>
      <c r="X747" s="144"/>
      <c r="Y747" s="144"/>
      <c r="Z747" s="144"/>
    </row>
    <row r="748" spans="1:26" x14ac:dyDescent="0.3">
      <c r="A748" s="144"/>
      <c r="B748" s="144"/>
      <c r="C748" s="144"/>
      <c r="D748" s="144"/>
      <c r="E748" s="144"/>
      <c r="F748" s="52"/>
      <c r="G748" s="52"/>
      <c r="H748" s="52"/>
      <c r="I748" s="52"/>
      <c r="J748" s="52"/>
      <c r="K748" s="144"/>
      <c r="L748" s="144"/>
      <c r="M748" s="144"/>
      <c r="N748" s="144"/>
      <c r="O748" s="144"/>
      <c r="P748" s="144"/>
      <c r="Q748" s="144"/>
      <c r="R748" s="144"/>
      <c r="S748" s="144"/>
      <c r="T748" s="144"/>
      <c r="U748" s="144"/>
      <c r="V748" s="144"/>
      <c r="W748" s="144"/>
      <c r="X748" s="144"/>
      <c r="Y748" s="144"/>
      <c r="Z748" s="144"/>
    </row>
    <row r="749" spans="1:26" x14ac:dyDescent="0.3">
      <c r="A749" s="144"/>
      <c r="B749" s="144"/>
      <c r="C749" s="144"/>
      <c r="D749" s="144"/>
      <c r="E749" s="144"/>
      <c r="F749" s="52"/>
      <c r="G749" s="52"/>
      <c r="H749" s="52"/>
      <c r="I749" s="52"/>
      <c r="J749" s="52"/>
      <c r="K749" s="144"/>
      <c r="L749" s="144"/>
      <c r="M749" s="144"/>
      <c r="N749" s="144"/>
      <c r="O749" s="144"/>
      <c r="P749" s="144"/>
      <c r="Q749" s="144"/>
      <c r="R749" s="144"/>
      <c r="S749" s="144"/>
      <c r="T749" s="144"/>
      <c r="U749" s="144"/>
      <c r="V749" s="144"/>
      <c r="W749" s="144"/>
      <c r="X749" s="144"/>
      <c r="Y749" s="144"/>
      <c r="Z749" s="144"/>
    </row>
    <row r="750" spans="1:26" x14ac:dyDescent="0.3">
      <c r="A750" s="144"/>
      <c r="B750" s="144"/>
      <c r="C750" s="144"/>
      <c r="D750" s="144"/>
      <c r="E750" s="144"/>
      <c r="F750" s="52"/>
      <c r="G750" s="52"/>
      <c r="H750" s="52"/>
      <c r="I750" s="52"/>
      <c r="J750" s="52"/>
      <c r="K750" s="144"/>
      <c r="L750" s="144"/>
      <c r="M750" s="144"/>
      <c r="N750" s="144"/>
      <c r="O750" s="144"/>
      <c r="P750" s="144"/>
      <c r="Q750" s="144"/>
      <c r="R750" s="144"/>
      <c r="S750" s="144"/>
      <c r="T750" s="144"/>
      <c r="U750" s="144"/>
      <c r="V750" s="144"/>
      <c r="W750" s="144"/>
      <c r="X750" s="144"/>
      <c r="Y750" s="144"/>
      <c r="Z750" s="144"/>
    </row>
    <row r="751" spans="1:26" x14ac:dyDescent="0.3">
      <c r="A751" s="144"/>
      <c r="B751" s="144"/>
      <c r="C751" s="144"/>
      <c r="D751" s="144"/>
      <c r="E751" s="144"/>
      <c r="F751" s="52"/>
      <c r="G751" s="52"/>
      <c r="H751" s="52"/>
      <c r="I751" s="52"/>
      <c r="J751" s="52"/>
      <c r="K751" s="144"/>
      <c r="L751" s="144"/>
      <c r="M751" s="144"/>
      <c r="N751" s="144"/>
      <c r="O751" s="144"/>
      <c r="P751" s="144"/>
      <c r="Q751" s="144"/>
      <c r="R751" s="144"/>
      <c r="S751" s="144"/>
      <c r="T751" s="144"/>
      <c r="U751" s="144"/>
      <c r="V751" s="144"/>
      <c r="W751" s="144"/>
      <c r="X751" s="144"/>
      <c r="Y751" s="144"/>
      <c r="Z751" s="144"/>
    </row>
    <row r="752" spans="1:26" x14ac:dyDescent="0.3">
      <c r="A752" s="144"/>
      <c r="B752" s="144"/>
      <c r="C752" s="144"/>
      <c r="D752" s="144"/>
      <c r="E752" s="144"/>
      <c r="F752" s="52"/>
      <c r="G752" s="52"/>
      <c r="H752" s="52"/>
      <c r="I752" s="52"/>
      <c r="J752" s="52"/>
      <c r="K752" s="144"/>
      <c r="L752" s="144"/>
      <c r="M752" s="144"/>
      <c r="N752" s="144"/>
      <c r="O752" s="144"/>
      <c r="P752" s="144"/>
      <c r="Q752" s="144"/>
      <c r="R752" s="144"/>
      <c r="S752" s="144"/>
      <c r="T752" s="144"/>
      <c r="U752" s="144"/>
      <c r="V752" s="144"/>
      <c r="W752" s="144"/>
      <c r="X752" s="144"/>
      <c r="Y752" s="144"/>
      <c r="Z752" s="144"/>
    </row>
    <row r="753" spans="1:26" x14ac:dyDescent="0.3">
      <c r="A753" s="144"/>
      <c r="B753" s="144"/>
      <c r="C753" s="144"/>
      <c r="D753" s="144"/>
      <c r="E753" s="144"/>
      <c r="F753" s="52"/>
      <c r="G753" s="52"/>
      <c r="H753" s="52"/>
      <c r="I753" s="52"/>
      <c r="J753" s="52"/>
      <c r="K753" s="144"/>
      <c r="L753" s="144"/>
      <c r="M753" s="144"/>
      <c r="N753" s="144"/>
      <c r="O753" s="144"/>
      <c r="P753" s="144"/>
      <c r="Q753" s="144"/>
      <c r="R753" s="144"/>
      <c r="S753" s="144"/>
      <c r="T753" s="144"/>
      <c r="U753" s="144"/>
      <c r="V753" s="144"/>
      <c r="W753" s="144"/>
      <c r="X753" s="144"/>
      <c r="Y753" s="144"/>
      <c r="Z753" s="144"/>
    </row>
    <row r="754" spans="1:26" x14ac:dyDescent="0.3">
      <c r="A754" s="144"/>
      <c r="B754" s="144"/>
      <c r="C754" s="144"/>
      <c r="D754" s="144"/>
      <c r="E754" s="144"/>
      <c r="F754" s="52"/>
      <c r="G754" s="52"/>
      <c r="H754" s="52"/>
      <c r="I754" s="52"/>
      <c r="J754" s="52"/>
      <c r="K754" s="144"/>
      <c r="L754" s="144"/>
      <c r="M754" s="144"/>
      <c r="N754" s="144"/>
      <c r="O754" s="144"/>
      <c r="P754" s="144"/>
      <c r="Q754" s="144"/>
      <c r="R754" s="144"/>
      <c r="S754" s="144"/>
      <c r="T754" s="144"/>
      <c r="U754" s="144"/>
      <c r="V754" s="144"/>
      <c r="W754" s="144"/>
      <c r="X754" s="144"/>
      <c r="Y754" s="144"/>
      <c r="Z754" s="144"/>
    </row>
    <row r="755" spans="1:26" x14ac:dyDescent="0.3">
      <c r="A755" s="144"/>
      <c r="B755" s="144"/>
      <c r="C755" s="144"/>
      <c r="D755" s="144"/>
      <c r="E755" s="144"/>
      <c r="F755" s="52"/>
      <c r="G755" s="52"/>
      <c r="H755" s="52"/>
      <c r="I755" s="52"/>
      <c r="J755" s="52"/>
      <c r="K755" s="144"/>
      <c r="L755" s="144"/>
      <c r="M755" s="144"/>
      <c r="N755" s="144"/>
      <c r="O755" s="144"/>
      <c r="P755" s="144"/>
      <c r="Q755" s="144"/>
      <c r="R755" s="144"/>
      <c r="S755" s="144"/>
      <c r="T755" s="144"/>
      <c r="U755" s="144"/>
      <c r="V755" s="144"/>
      <c r="W755" s="144"/>
      <c r="X755" s="144"/>
      <c r="Y755" s="144"/>
      <c r="Z755" s="144"/>
    </row>
    <row r="756" spans="1:26" x14ac:dyDescent="0.3">
      <c r="A756" s="144"/>
      <c r="B756" s="144"/>
      <c r="C756" s="144"/>
      <c r="D756" s="144"/>
      <c r="E756" s="144"/>
      <c r="F756" s="52"/>
      <c r="G756" s="52"/>
      <c r="H756" s="52"/>
      <c r="I756" s="52"/>
      <c r="J756" s="52"/>
      <c r="K756" s="144"/>
      <c r="L756" s="144"/>
      <c r="M756" s="144"/>
      <c r="N756" s="144"/>
      <c r="O756" s="144"/>
      <c r="P756" s="144"/>
      <c r="Q756" s="144"/>
      <c r="R756" s="144"/>
      <c r="S756" s="144"/>
      <c r="T756" s="144"/>
      <c r="U756" s="144"/>
      <c r="V756" s="144"/>
      <c r="W756" s="144"/>
      <c r="X756" s="144"/>
      <c r="Y756" s="144"/>
      <c r="Z756" s="144"/>
    </row>
    <row r="757" spans="1:26" x14ac:dyDescent="0.3">
      <c r="A757" s="144"/>
      <c r="B757" s="144"/>
      <c r="C757" s="144"/>
      <c r="D757" s="144"/>
      <c r="E757" s="144"/>
      <c r="F757" s="52"/>
      <c r="G757" s="52"/>
      <c r="H757" s="52"/>
      <c r="I757" s="52"/>
      <c r="J757" s="52"/>
      <c r="K757" s="144"/>
      <c r="L757" s="144"/>
      <c r="M757" s="144"/>
      <c r="N757" s="144"/>
      <c r="O757" s="144"/>
      <c r="P757" s="144"/>
      <c r="Q757" s="144"/>
      <c r="R757" s="144"/>
      <c r="S757" s="144"/>
      <c r="T757" s="144"/>
      <c r="U757" s="144"/>
      <c r="V757" s="144"/>
      <c r="W757" s="144"/>
      <c r="X757" s="144"/>
      <c r="Y757" s="144"/>
      <c r="Z757" s="144"/>
    </row>
    <row r="758" spans="1:26" x14ac:dyDescent="0.3">
      <c r="A758" s="144"/>
      <c r="B758" s="144"/>
      <c r="C758" s="144"/>
      <c r="D758" s="144"/>
      <c r="E758" s="144"/>
      <c r="F758" s="52"/>
      <c r="G758" s="52"/>
      <c r="H758" s="52"/>
      <c r="I758" s="52"/>
      <c r="J758" s="52"/>
      <c r="K758" s="144"/>
      <c r="L758" s="144"/>
      <c r="M758" s="144"/>
      <c r="N758" s="144"/>
      <c r="O758" s="144"/>
      <c r="P758" s="144"/>
      <c r="Q758" s="144"/>
      <c r="R758" s="144"/>
      <c r="S758" s="144"/>
      <c r="T758" s="144"/>
      <c r="U758" s="144"/>
      <c r="V758" s="144"/>
      <c r="W758" s="144"/>
      <c r="X758" s="144"/>
      <c r="Y758" s="144"/>
      <c r="Z758" s="144"/>
    </row>
    <row r="759" spans="1:26" x14ac:dyDescent="0.3">
      <c r="A759" s="144"/>
      <c r="B759" s="144"/>
      <c r="C759" s="144"/>
      <c r="D759" s="144"/>
      <c r="E759" s="144"/>
      <c r="F759" s="52"/>
      <c r="G759" s="52"/>
      <c r="H759" s="52"/>
      <c r="I759" s="52"/>
      <c r="J759" s="52"/>
      <c r="K759" s="144"/>
      <c r="L759" s="144"/>
      <c r="M759" s="144"/>
      <c r="N759" s="144"/>
      <c r="O759" s="144"/>
      <c r="P759" s="144"/>
      <c r="Q759" s="144"/>
      <c r="R759" s="144"/>
      <c r="S759" s="144"/>
      <c r="T759" s="144"/>
      <c r="U759" s="144"/>
      <c r="V759" s="144"/>
      <c r="W759" s="144"/>
      <c r="X759" s="144"/>
      <c r="Y759" s="144"/>
      <c r="Z759" s="144"/>
    </row>
    <row r="760" spans="1:26" x14ac:dyDescent="0.3">
      <c r="A760" s="144"/>
      <c r="B760" s="144"/>
      <c r="C760" s="144"/>
      <c r="D760" s="144"/>
      <c r="E760" s="144"/>
      <c r="F760" s="52"/>
      <c r="G760" s="52"/>
      <c r="H760" s="52"/>
      <c r="I760" s="52"/>
      <c r="J760" s="52"/>
      <c r="K760" s="144"/>
      <c r="L760" s="144"/>
      <c r="M760" s="144"/>
      <c r="N760" s="144"/>
      <c r="O760" s="144"/>
      <c r="P760" s="144"/>
      <c r="Q760" s="144"/>
      <c r="R760" s="144"/>
      <c r="S760" s="144"/>
      <c r="T760" s="144"/>
      <c r="U760" s="144"/>
      <c r="V760" s="144"/>
      <c r="W760" s="144"/>
      <c r="X760" s="144"/>
      <c r="Y760" s="144"/>
      <c r="Z760" s="144"/>
    </row>
    <row r="761" spans="1:26" x14ac:dyDescent="0.3">
      <c r="A761" s="144"/>
      <c r="B761" s="144"/>
      <c r="C761" s="144"/>
      <c r="D761" s="144"/>
      <c r="E761" s="144"/>
      <c r="F761" s="52"/>
      <c r="G761" s="52"/>
      <c r="H761" s="52"/>
      <c r="I761" s="52"/>
      <c r="J761" s="52"/>
      <c r="K761" s="144"/>
      <c r="L761" s="144"/>
      <c r="M761" s="144"/>
      <c r="N761" s="144"/>
      <c r="O761" s="144"/>
      <c r="P761" s="144"/>
      <c r="Q761" s="144"/>
      <c r="R761" s="144"/>
      <c r="S761" s="144"/>
      <c r="T761" s="144"/>
      <c r="U761" s="144"/>
      <c r="V761" s="144"/>
      <c r="W761" s="144"/>
      <c r="X761" s="144"/>
      <c r="Y761" s="144"/>
      <c r="Z761" s="144"/>
    </row>
    <row r="762" spans="1:26" x14ac:dyDescent="0.3">
      <c r="A762" s="144"/>
      <c r="B762" s="144"/>
      <c r="C762" s="144"/>
      <c r="D762" s="144"/>
      <c r="E762" s="144"/>
      <c r="F762" s="52"/>
      <c r="G762" s="52"/>
      <c r="H762" s="52"/>
      <c r="I762" s="52"/>
      <c r="J762" s="52"/>
      <c r="K762" s="144"/>
      <c r="L762" s="144"/>
      <c r="M762" s="144"/>
      <c r="N762" s="144"/>
      <c r="O762" s="144"/>
      <c r="P762" s="144"/>
      <c r="Q762" s="144"/>
      <c r="R762" s="144"/>
      <c r="S762" s="144"/>
      <c r="T762" s="144"/>
      <c r="U762" s="144"/>
      <c r="V762" s="144"/>
      <c r="W762" s="144"/>
      <c r="X762" s="144"/>
      <c r="Y762" s="144"/>
      <c r="Z762" s="144"/>
    </row>
    <row r="763" spans="1:26" x14ac:dyDescent="0.3">
      <c r="A763" s="144"/>
      <c r="B763" s="144"/>
      <c r="C763" s="144"/>
      <c r="D763" s="144"/>
      <c r="E763" s="144"/>
      <c r="F763" s="52"/>
      <c r="G763" s="52"/>
      <c r="H763" s="52"/>
      <c r="I763" s="52"/>
      <c r="J763" s="52"/>
      <c r="K763" s="144"/>
      <c r="L763" s="144"/>
      <c r="M763" s="144"/>
      <c r="N763" s="144"/>
      <c r="O763" s="144"/>
      <c r="P763" s="144"/>
      <c r="Q763" s="144"/>
      <c r="R763" s="144"/>
      <c r="S763" s="144"/>
      <c r="T763" s="144"/>
      <c r="U763" s="144"/>
      <c r="V763" s="144"/>
      <c r="W763" s="144"/>
      <c r="X763" s="144"/>
      <c r="Y763" s="144"/>
      <c r="Z763" s="144"/>
    </row>
    <row r="764" spans="1:26" x14ac:dyDescent="0.3">
      <c r="A764" s="144"/>
      <c r="B764" s="144"/>
      <c r="C764" s="144"/>
      <c r="D764" s="144"/>
      <c r="E764" s="144"/>
      <c r="F764" s="52"/>
      <c r="G764" s="52"/>
      <c r="H764" s="52"/>
      <c r="I764" s="52"/>
      <c r="J764" s="52"/>
      <c r="K764" s="144"/>
      <c r="L764" s="144"/>
      <c r="M764" s="144"/>
      <c r="N764" s="144"/>
      <c r="O764" s="144"/>
      <c r="P764" s="144"/>
      <c r="Q764" s="144"/>
      <c r="R764" s="144"/>
      <c r="S764" s="144"/>
      <c r="T764" s="144"/>
      <c r="U764" s="144"/>
      <c r="V764" s="144"/>
      <c r="W764" s="144"/>
      <c r="X764" s="144"/>
      <c r="Y764" s="144"/>
      <c r="Z764" s="144"/>
    </row>
    <row r="765" spans="1:26" x14ac:dyDescent="0.3">
      <c r="A765" s="144"/>
      <c r="B765" s="144"/>
      <c r="C765" s="144"/>
      <c r="D765" s="144"/>
      <c r="E765" s="144"/>
      <c r="F765" s="52"/>
      <c r="G765" s="52"/>
      <c r="H765" s="52"/>
      <c r="I765" s="52"/>
      <c r="J765" s="52"/>
      <c r="K765" s="144"/>
      <c r="L765" s="144"/>
      <c r="M765" s="144"/>
      <c r="N765" s="144"/>
      <c r="O765" s="144"/>
      <c r="P765" s="144"/>
      <c r="Q765" s="144"/>
      <c r="R765" s="144"/>
      <c r="S765" s="144"/>
      <c r="T765" s="144"/>
      <c r="U765" s="144"/>
      <c r="V765" s="144"/>
      <c r="W765" s="144"/>
      <c r="X765" s="144"/>
      <c r="Y765" s="144"/>
      <c r="Z765" s="144"/>
    </row>
    <row r="766" spans="1:26" x14ac:dyDescent="0.3">
      <c r="A766" s="144"/>
      <c r="B766" s="144"/>
      <c r="C766" s="144"/>
      <c r="D766" s="144"/>
      <c r="E766" s="144"/>
      <c r="F766" s="52"/>
      <c r="G766" s="52"/>
      <c r="H766" s="52"/>
      <c r="I766" s="52"/>
      <c r="J766" s="52"/>
      <c r="K766" s="144"/>
      <c r="L766" s="144"/>
      <c r="M766" s="144"/>
      <c r="N766" s="144"/>
      <c r="O766" s="144"/>
      <c r="P766" s="144"/>
      <c r="Q766" s="144"/>
      <c r="R766" s="144"/>
      <c r="S766" s="144"/>
      <c r="T766" s="144"/>
      <c r="U766" s="144"/>
      <c r="V766" s="144"/>
      <c r="W766" s="144"/>
      <c r="X766" s="144"/>
      <c r="Y766" s="144"/>
      <c r="Z766" s="144"/>
    </row>
    <row r="767" spans="1:26" x14ac:dyDescent="0.3">
      <c r="A767" s="144"/>
      <c r="B767" s="144"/>
      <c r="C767" s="144"/>
      <c r="D767" s="144"/>
      <c r="E767" s="144"/>
      <c r="F767" s="52"/>
      <c r="G767" s="52"/>
      <c r="H767" s="52"/>
      <c r="I767" s="52"/>
      <c r="J767" s="52"/>
      <c r="K767" s="144"/>
      <c r="L767" s="144"/>
      <c r="M767" s="144"/>
      <c r="N767" s="144"/>
      <c r="O767" s="144"/>
      <c r="P767" s="144"/>
      <c r="Q767" s="144"/>
      <c r="R767" s="144"/>
      <c r="S767" s="144"/>
      <c r="T767" s="144"/>
      <c r="U767" s="144"/>
      <c r="V767" s="144"/>
      <c r="W767" s="144"/>
      <c r="X767" s="144"/>
      <c r="Y767" s="144"/>
      <c r="Z767" s="144"/>
    </row>
    <row r="768" spans="1:26" x14ac:dyDescent="0.3">
      <c r="A768" s="144"/>
      <c r="B768" s="144"/>
      <c r="C768" s="144"/>
      <c r="D768" s="144"/>
      <c r="E768" s="144"/>
      <c r="F768" s="52"/>
      <c r="G768" s="52"/>
      <c r="H768" s="52"/>
      <c r="I768" s="52"/>
      <c r="J768" s="52"/>
      <c r="K768" s="144"/>
      <c r="L768" s="144"/>
      <c r="M768" s="144"/>
      <c r="N768" s="144"/>
      <c r="O768" s="144"/>
      <c r="P768" s="144"/>
      <c r="Q768" s="144"/>
      <c r="R768" s="144"/>
      <c r="S768" s="144"/>
      <c r="T768" s="144"/>
      <c r="U768" s="144"/>
      <c r="V768" s="144"/>
      <c r="W768" s="144"/>
      <c r="X768" s="144"/>
      <c r="Y768" s="144"/>
      <c r="Z768" s="144"/>
    </row>
    <row r="769" spans="1:26" x14ac:dyDescent="0.3">
      <c r="A769" s="144"/>
      <c r="B769" s="144"/>
      <c r="C769" s="144"/>
      <c r="D769" s="144"/>
      <c r="E769" s="144"/>
      <c r="F769" s="52"/>
      <c r="G769" s="52"/>
      <c r="H769" s="52"/>
      <c r="I769" s="52"/>
      <c r="J769" s="52"/>
      <c r="K769" s="144"/>
      <c r="L769" s="144"/>
      <c r="M769" s="144"/>
      <c r="N769" s="144"/>
      <c r="O769" s="144"/>
      <c r="P769" s="144"/>
      <c r="Q769" s="144"/>
      <c r="R769" s="144"/>
      <c r="S769" s="144"/>
      <c r="T769" s="144"/>
      <c r="U769" s="144"/>
      <c r="V769" s="144"/>
      <c r="W769" s="144"/>
      <c r="X769" s="144"/>
      <c r="Y769" s="144"/>
      <c r="Z769" s="144"/>
    </row>
    <row r="770" spans="1:26" x14ac:dyDescent="0.3">
      <c r="A770" s="144"/>
      <c r="B770" s="144"/>
      <c r="C770" s="144"/>
      <c r="D770" s="144"/>
      <c r="E770" s="144"/>
      <c r="F770" s="52"/>
      <c r="G770" s="52"/>
      <c r="H770" s="52"/>
      <c r="I770" s="52"/>
      <c r="J770" s="52"/>
      <c r="K770" s="144"/>
      <c r="L770" s="144"/>
      <c r="M770" s="144"/>
      <c r="N770" s="144"/>
      <c r="O770" s="144"/>
      <c r="P770" s="144"/>
      <c r="Q770" s="144"/>
      <c r="R770" s="144"/>
      <c r="S770" s="144"/>
      <c r="T770" s="144"/>
      <c r="U770" s="144"/>
      <c r="V770" s="144"/>
      <c r="W770" s="144"/>
      <c r="X770" s="144"/>
      <c r="Y770" s="144"/>
      <c r="Z770" s="144"/>
    </row>
    <row r="771" spans="1:26" x14ac:dyDescent="0.3">
      <c r="A771" s="144"/>
      <c r="B771" s="144"/>
      <c r="C771" s="144"/>
      <c r="D771" s="144"/>
      <c r="E771" s="144"/>
      <c r="F771" s="52"/>
      <c r="G771" s="52"/>
      <c r="H771" s="52"/>
      <c r="I771" s="52"/>
      <c r="J771" s="52"/>
      <c r="K771" s="144"/>
      <c r="L771" s="144"/>
      <c r="M771" s="144"/>
      <c r="N771" s="144"/>
      <c r="O771" s="144"/>
      <c r="P771" s="144"/>
      <c r="Q771" s="144"/>
      <c r="R771" s="144"/>
      <c r="S771" s="144"/>
      <c r="T771" s="144"/>
      <c r="U771" s="144"/>
      <c r="V771" s="144"/>
      <c r="W771" s="144"/>
      <c r="X771" s="144"/>
      <c r="Y771" s="144"/>
      <c r="Z771" s="144"/>
    </row>
    <row r="772" spans="1:26" x14ac:dyDescent="0.3">
      <c r="A772" s="144"/>
      <c r="B772" s="144"/>
      <c r="C772" s="144"/>
      <c r="D772" s="144"/>
      <c r="E772" s="144"/>
      <c r="F772" s="52"/>
      <c r="G772" s="52"/>
      <c r="H772" s="52"/>
      <c r="I772" s="52"/>
      <c r="J772" s="52"/>
      <c r="K772" s="144"/>
      <c r="L772" s="144"/>
      <c r="M772" s="144"/>
      <c r="N772" s="144"/>
      <c r="O772" s="144"/>
      <c r="P772" s="144"/>
      <c r="Q772" s="144"/>
      <c r="R772" s="144"/>
      <c r="S772" s="144"/>
      <c r="T772" s="144"/>
      <c r="U772" s="144"/>
      <c r="V772" s="144"/>
      <c r="W772" s="144"/>
      <c r="X772" s="144"/>
      <c r="Y772" s="144"/>
      <c r="Z772" s="144"/>
    </row>
    <row r="773" spans="1:26" x14ac:dyDescent="0.3">
      <c r="A773" s="144"/>
      <c r="B773" s="144"/>
      <c r="C773" s="144"/>
      <c r="D773" s="144"/>
      <c r="E773" s="144"/>
      <c r="F773" s="52"/>
      <c r="G773" s="52"/>
      <c r="H773" s="52"/>
      <c r="I773" s="52"/>
      <c r="J773" s="52"/>
      <c r="K773" s="144"/>
      <c r="L773" s="144"/>
      <c r="M773" s="144"/>
      <c r="N773" s="144"/>
      <c r="O773" s="144"/>
      <c r="P773" s="144"/>
      <c r="Q773" s="144"/>
      <c r="R773" s="144"/>
      <c r="S773" s="144"/>
      <c r="T773" s="144"/>
      <c r="U773" s="144"/>
      <c r="V773" s="144"/>
      <c r="W773" s="144"/>
      <c r="X773" s="144"/>
      <c r="Y773" s="144"/>
      <c r="Z773" s="144"/>
    </row>
    <row r="774" spans="1:26" x14ac:dyDescent="0.3">
      <c r="A774" s="144"/>
      <c r="B774" s="144"/>
      <c r="C774" s="144"/>
      <c r="D774" s="144"/>
      <c r="E774" s="144"/>
      <c r="F774" s="52"/>
      <c r="G774" s="52"/>
      <c r="H774" s="52"/>
      <c r="I774" s="52"/>
      <c r="J774" s="52"/>
      <c r="K774" s="144"/>
      <c r="L774" s="144"/>
      <c r="M774" s="144"/>
      <c r="N774" s="144"/>
      <c r="O774" s="144"/>
      <c r="P774" s="144"/>
      <c r="Q774" s="144"/>
      <c r="R774" s="144"/>
      <c r="S774" s="144"/>
      <c r="T774" s="144"/>
      <c r="U774" s="144"/>
      <c r="V774" s="144"/>
      <c r="W774" s="144"/>
      <c r="X774" s="144"/>
      <c r="Y774" s="144"/>
      <c r="Z774" s="144"/>
    </row>
    <row r="775" spans="1:26" x14ac:dyDescent="0.3">
      <c r="A775" s="144"/>
      <c r="B775" s="144"/>
      <c r="C775" s="144"/>
      <c r="D775" s="144"/>
      <c r="E775" s="144"/>
      <c r="F775" s="52"/>
      <c r="G775" s="52"/>
      <c r="H775" s="52"/>
      <c r="I775" s="52"/>
      <c r="J775" s="52"/>
      <c r="K775" s="144"/>
      <c r="L775" s="144"/>
      <c r="M775" s="144"/>
      <c r="N775" s="144"/>
      <c r="O775" s="144"/>
      <c r="P775" s="144"/>
      <c r="Q775" s="144"/>
      <c r="R775" s="144"/>
      <c r="S775" s="144"/>
      <c r="T775" s="144"/>
      <c r="U775" s="144"/>
      <c r="V775" s="144"/>
      <c r="W775" s="144"/>
      <c r="X775" s="144"/>
      <c r="Y775" s="144"/>
      <c r="Z775" s="144"/>
    </row>
    <row r="776" spans="1:26" x14ac:dyDescent="0.3">
      <c r="A776" s="144"/>
      <c r="B776" s="144"/>
      <c r="C776" s="144"/>
      <c r="D776" s="144"/>
      <c r="E776" s="144"/>
      <c r="F776" s="52"/>
      <c r="G776" s="52"/>
      <c r="H776" s="52"/>
      <c r="I776" s="52"/>
      <c r="J776" s="52"/>
      <c r="K776" s="144"/>
      <c r="L776" s="144"/>
      <c r="M776" s="144"/>
      <c r="N776" s="144"/>
      <c r="O776" s="144"/>
      <c r="P776" s="144"/>
      <c r="Q776" s="144"/>
      <c r="R776" s="144"/>
      <c r="S776" s="144"/>
      <c r="T776" s="144"/>
      <c r="U776" s="144"/>
      <c r="V776" s="144"/>
      <c r="W776" s="144"/>
      <c r="X776" s="144"/>
      <c r="Y776" s="144"/>
      <c r="Z776" s="144"/>
    </row>
    <row r="777" spans="1:26" x14ac:dyDescent="0.3">
      <c r="A777" s="144"/>
      <c r="B777" s="144"/>
      <c r="C777" s="144"/>
      <c r="D777" s="144"/>
      <c r="E777" s="144"/>
      <c r="F777" s="52"/>
      <c r="G777" s="52"/>
      <c r="H777" s="52"/>
      <c r="I777" s="52"/>
      <c r="J777" s="52"/>
      <c r="K777" s="144"/>
      <c r="L777" s="144"/>
      <c r="M777" s="144"/>
      <c r="N777" s="144"/>
      <c r="O777" s="144"/>
      <c r="P777" s="144"/>
      <c r="Q777" s="144"/>
      <c r="R777" s="144"/>
      <c r="S777" s="144"/>
      <c r="T777" s="144"/>
      <c r="U777" s="144"/>
      <c r="V777" s="144"/>
      <c r="W777" s="144"/>
      <c r="X777" s="144"/>
      <c r="Y777" s="144"/>
      <c r="Z777" s="144"/>
    </row>
    <row r="778" spans="1:26" x14ac:dyDescent="0.3">
      <c r="A778" s="144"/>
      <c r="B778" s="144"/>
      <c r="C778" s="144"/>
      <c r="D778" s="144"/>
      <c r="E778" s="144"/>
      <c r="F778" s="52"/>
      <c r="G778" s="52"/>
      <c r="H778" s="52"/>
      <c r="I778" s="52"/>
      <c r="J778" s="52"/>
      <c r="K778" s="144"/>
      <c r="L778" s="144"/>
      <c r="M778" s="144"/>
      <c r="N778" s="144"/>
      <c r="O778" s="144"/>
      <c r="P778" s="144"/>
      <c r="Q778" s="144"/>
      <c r="R778" s="144"/>
      <c r="S778" s="144"/>
      <c r="T778" s="144"/>
      <c r="U778" s="144"/>
      <c r="V778" s="144"/>
      <c r="W778" s="144"/>
      <c r="X778" s="144"/>
      <c r="Y778" s="144"/>
      <c r="Z778" s="144"/>
    </row>
    <row r="779" spans="1:26" x14ac:dyDescent="0.3">
      <c r="A779" s="144"/>
      <c r="B779" s="144"/>
      <c r="C779" s="144"/>
      <c r="D779" s="144"/>
      <c r="E779" s="144"/>
      <c r="F779" s="52"/>
      <c r="G779" s="52"/>
      <c r="H779" s="52"/>
      <c r="I779" s="52"/>
      <c r="J779" s="52"/>
      <c r="K779" s="144"/>
      <c r="L779" s="144"/>
      <c r="M779" s="144"/>
      <c r="N779" s="144"/>
      <c r="O779" s="144"/>
      <c r="P779" s="144"/>
      <c r="Q779" s="144"/>
      <c r="R779" s="144"/>
      <c r="S779" s="144"/>
      <c r="T779" s="144"/>
      <c r="U779" s="144"/>
      <c r="V779" s="144"/>
      <c r="W779" s="144"/>
      <c r="X779" s="144"/>
      <c r="Y779" s="144"/>
      <c r="Z779" s="144"/>
    </row>
    <row r="780" spans="1:26" x14ac:dyDescent="0.3">
      <c r="A780" s="144"/>
      <c r="B780" s="144"/>
      <c r="C780" s="144"/>
      <c r="D780" s="144"/>
      <c r="E780" s="144"/>
      <c r="F780" s="52"/>
      <c r="G780" s="52"/>
      <c r="H780" s="52"/>
      <c r="I780" s="52"/>
      <c r="J780" s="52"/>
      <c r="K780" s="144"/>
      <c r="L780" s="144"/>
      <c r="M780" s="144"/>
      <c r="N780" s="144"/>
      <c r="O780" s="144"/>
      <c r="P780" s="144"/>
      <c r="Q780" s="144"/>
      <c r="R780" s="144"/>
      <c r="S780" s="144"/>
      <c r="T780" s="144"/>
      <c r="U780" s="144"/>
      <c r="V780" s="144"/>
      <c r="W780" s="144"/>
      <c r="X780" s="144"/>
      <c r="Y780" s="144"/>
      <c r="Z780" s="144"/>
    </row>
    <row r="781" spans="1:26" x14ac:dyDescent="0.3">
      <c r="A781" s="144"/>
      <c r="B781" s="144"/>
      <c r="C781" s="144"/>
      <c r="D781" s="144"/>
      <c r="E781" s="144"/>
      <c r="F781" s="52"/>
      <c r="G781" s="52"/>
      <c r="H781" s="52"/>
      <c r="I781" s="52"/>
      <c r="J781" s="52"/>
      <c r="K781" s="144"/>
      <c r="L781" s="144"/>
      <c r="M781" s="144"/>
      <c r="N781" s="144"/>
      <c r="O781" s="144"/>
      <c r="P781" s="144"/>
      <c r="Q781" s="144"/>
      <c r="R781" s="144"/>
      <c r="S781" s="144"/>
      <c r="T781" s="144"/>
      <c r="U781" s="144"/>
      <c r="V781" s="144"/>
      <c r="W781" s="144"/>
      <c r="X781" s="144"/>
      <c r="Y781" s="144"/>
      <c r="Z781" s="144"/>
    </row>
    <row r="782" spans="1:26" x14ac:dyDescent="0.3">
      <c r="A782" s="144"/>
      <c r="B782" s="144"/>
      <c r="C782" s="144"/>
      <c r="D782" s="144"/>
      <c r="E782" s="144"/>
      <c r="F782" s="52"/>
      <c r="G782" s="52"/>
      <c r="H782" s="52"/>
      <c r="I782" s="52"/>
      <c r="J782" s="52"/>
      <c r="K782" s="144"/>
      <c r="L782" s="144"/>
      <c r="M782" s="144"/>
      <c r="N782" s="144"/>
      <c r="O782" s="144"/>
      <c r="P782" s="144"/>
      <c r="Q782" s="144"/>
      <c r="R782" s="144"/>
      <c r="S782" s="144"/>
      <c r="T782" s="144"/>
      <c r="U782" s="144"/>
      <c r="V782" s="144"/>
      <c r="W782" s="144"/>
      <c r="X782" s="144"/>
      <c r="Y782" s="144"/>
      <c r="Z782" s="144"/>
    </row>
    <row r="783" spans="1:26" x14ac:dyDescent="0.3">
      <c r="A783" s="144"/>
      <c r="B783" s="144"/>
      <c r="C783" s="144"/>
      <c r="D783" s="144"/>
      <c r="E783" s="144"/>
      <c r="F783" s="52"/>
      <c r="G783" s="52"/>
      <c r="H783" s="52"/>
      <c r="I783" s="52"/>
      <c r="J783" s="52"/>
      <c r="K783" s="144"/>
      <c r="L783" s="144"/>
      <c r="M783" s="144"/>
      <c r="N783" s="144"/>
      <c r="O783" s="144"/>
      <c r="P783" s="144"/>
      <c r="Q783" s="144"/>
      <c r="R783" s="144"/>
      <c r="S783" s="144"/>
      <c r="T783" s="144"/>
      <c r="U783" s="144"/>
      <c r="V783" s="144"/>
      <c r="W783" s="144"/>
      <c r="X783" s="144"/>
      <c r="Y783" s="144"/>
      <c r="Z783" s="144"/>
    </row>
    <row r="784" spans="1:26" x14ac:dyDescent="0.3">
      <c r="A784" s="144"/>
      <c r="B784" s="144"/>
      <c r="C784" s="144"/>
      <c r="D784" s="144"/>
      <c r="E784" s="144"/>
      <c r="F784" s="52"/>
      <c r="G784" s="52"/>
      <c r="H784" s="52"/>
      <c r="I784" s="52"/>
      <c r="J784" s="52"/>
      <c r="K784" s="144"/>
      <c r="L784" s="144"/>
      <c r="M784" s="144"/>
      <c r="N784" s="144"/>
      <c r="O784" s="144"/>
      <c r="P784" s="144"/>
      <c r="Q784" s="144"/>
      <c r="R784" s="144"/>
      <c r="S784" s="144"/>
      <c r="T784" s="144"/>
      <c r="U784" s="144"/>
      <c r="V784" s="144"/>
      <c r="W784" s="144"/>
      <c r="X784" s="144"/>
      <c r="Y784" s="144"/>
      <c r="Z784" s="144"/>
    </row>
    <row r="785" spans="1:26" x14ac:dyDescent="0.3">
      <c r="A785" s="144"/>
      <c r="B785" s="144"/>
      <c r="C785" s="144"/>
      <c r="D785" s="144"/>
      <c r="E785" s="144"/>
      <c r="F785" s="52"/>
      <c r="G785" s="52"/>
      <c r="H785" s="52"/>
      <c r="I785" s="52"/>
      <c r="J785" s="52"/>
      <c r="K785" s="144"/>
      <c r="L785" s="144"/>
      <c r="M785" s="144"/>
      <c r="N785" s="144"/>
      <c r="O785" s="144"/>
      <c r="P785" s="144"/>
      <c r="Q785" s="144"/>
      <c r="R785" s="144"/>
      <c r="S785" s="144"/>
      <c r="T785" s="144"/>
      <c r="U785" s="144"/>
      <c r="V785" s="144"/>
      <c r="W785" s="144"/>
      <c r="X785" s="144"/>
      <c r="Y785" s="144"/>
      <c r="Z785" s="144"/>
    </row>
    <row r="786" spans="1:26" x14ac:dyDescent="0.3">
      <c r="A786" s="144"/>
      <c r="B786" s="144"/>
      <c r="C786" s="144"/>
      <c r="D786" s="144"/>
      <c r="E786" s="144"/>
      <c r="F786" s="52"/>
      <c r="G786" s="52"/>
      <c r="H786" s="52"/>
      <c r="I786" s="52"/>
      <c r="J786" s="52"/>
      <c r="K786" s="144"/>
      <c r="L786" s="144"/>
      <c r="M786" s="144"/>
      <c r="N786" s="144"/>
      <c r="O786" s="144"/>
      <c r="P786" s="144"/>
      <c r="Q786" s="144"/>
      <c r="R786" s="144"/>
      <c r="S786" s="144"/>
      <c r="T786" s="144"/>
      <c r="U786" s="144"/>
      <c r="V786" s="144"/>
      <c r="W786" s="144"/>
      <c r="X786" s="144"/>
      <c r="Y786" s="144"/>
      <c r="Z786" s="144"/>
    </row>
    <row r="787" spans="1:26" x14ac:dyDescent="0.3">
      <c r="A787" s="144"/>
      <c r="B787" s="144"/>
      <c r="C787" s="144"/>
      <c r="D787" s="144"/>
      <c r="E787" s="144"/>
      <c r="F787" s="52"/>
      <c r="G787" s="52"/>
      <c r="H787" s="52"/>
      <c r="I787" s="52"/>
      <c r="J787" s="52"/>
      <c r="K787" s="144"/>
      <c r="L787" s="144"/>
      <c r="M787" s="144"/>
      <c r="N787" s="144"/>
      <c r="O787" s="144"/>
      <c r="P787" s="144"/>
      <c r="Q787" s="144"/>
      <c r="R787" s="144"/>
      <c r="S787" s="144"/>
      <c r="T787" s="144"/>
      <c r="U787" s="144"/>
      <c r="V787" s="144"/>
      <c r="W787" s="144"/>
      <c r="X787" s="144"/>
      <c r="Y787" s="144"/>
      <c r="Z787" s="144"/>
    </row>
    <row r="788" spans="1:26" x14ac:dyDescent="0.3">
      <c r="A788" s="144"/>
      <c r="B788" s="144"/>
      <c r="C788" s="144"/>
      <c r="D788" s="144"/>
      <c r="E788" s="144"/>
      <c r="F788" s="52"/>
      <c r="G788" s="52"/>
      <c r="H788" s="52"/>
      <c r="I788" s="52"/>
      <c r="J788" s="52"/>
      <c r="K788" s="144"/>
      <c r="L788" s="144"/>
      <c r="M788" s="144"/>
      <c r="N788" s="144"/>
      <c r="O788" s="144"/>
      <c r="P788" s="144"/>
      <c r="Q788" s="144"/>
      <c r="R788" s="144"/>
      <c r="S788" s="144"/>
      <c r="T788" s="144"/>
      <c r="U788" s="144"/>
      <c r="V788" s="144"/>
      <c r="W788" s="144"/>
      <c r="X788" s="144"/>
      <c r="Y788" s="144"/>
      <c r="Z788" s="144"/>
    </row>
    <row r="789" spans="1:26" x14ac:dyDescent="0.3">
      <c r="A789" s="144"/>
      <c r="B789" s="144"/>
      <c r="C789" s="144"/>
      <c r="D789" s="144"/>
      <c r="E789" s="144"/>
      <c r="F789" s="52"/>
      <c r="G789" s="52"/>
      <c r="H789" s="52"/>
      <c r="I789" s="52"/>
      <c r="J789" s="52"/>
      <c r="K789" s="144"/>
      <c r="L789" s="144"/>
      <c r="M789" s="144"/>
      <c r="N789" s="144"/>
      <c r="O789" s="144"/>
      <c r="P789" s="144"/>
      <c r="Q789" s="144"/>
      <c r="R789" s="144"/>
      <c r="S789" s="144"/>
      <c r="T789" s="144"/>
      <c r="U789" s="144"/>
      <c r="V789" s="144"/>
      <c r="W789" s="144"/>
      <c r="X789" s="144"/>
      <c r="Y789" s="144"/>
      <c r="Z789" s="144"/>
    </row>
    <row r="790" spans="1:26" x14ac:dyDescent="0.3">
      <c r="A790" s="144"/>
      <c r="B790" s="144"/>
      <c r="C790" s="144"/>
      <c r="D790" s="144"/>
      <c r="E790" s="144"/>
      <c r="F790" s="52"/>
      <c r="G790" s="52"/>
      <c r="H790" s="52"/>
      <c r="I790" s="52"/>
      <c r="J790" s="52"/>
      <c r="K790" s="144"/>
      <c r="L790" s="144"/>
      <c r="M790" s="144"/>
      <c r="N790" s="144"/>
      <c r="O790" s="144"/>
      <c r="P790" s="144"/>
      <c r="Q790" s="144"/>
      <c r="R790" s="144"/>
      <c r="S790" s="144"/>
      <c r="T790" s="144"/>
      <c r="U790" s="144"/>
      <c r="V790" s="144"/>
      <c r="W790" s="144"/>
      <c r="X790" s="144"/>
      <c r="Y790" s="144"/>
      <c r="Z790" s="144"/>
    </row>
    <row r="791" spans="1:26" x14ac:dyDescent="0.3">
      <c r="A791" s="144"/>
      <c r="B791" s="144"/>
      <c r="C791" s="144"/>
      <c r="D791" s="144"/>
      <c r="E791" s="144"/>
      <c r="F791" s="52"/>
      <c r="G791" s="52"/>
      <c r="H791" s="52"/>
      <c r="I791" s="52"/>
      <c r="J791" s="52"/>
      <c r="K791" s="144"/>
      <c r="L791" s="144"/>
      <c r="M791" s="144"/>
      <c r="N791" s="144"/>
      <c r="O791" s="144"/>
      <c r="P791" s="144"/>
      <c r="Q791" s="144"/>
      <c r="R791" s="144"/>
      <c r="S791" s="144"/>
      <c r="T791" s="144"/>
      <c r="U791" s="144"/>
      <c r="V791" s="144"/>
      <c r="W791" s="144"/>
      <c r="X791" s="144"/>
      <c r="Y791" s="144"/>
      <c r="Z791" s="144"/>
    </row>
    <row r="792" spans="1:26" x14ac:dyDescent="0.3">
      <c r="A792" s="144"/>
      <c r="B792" s="144"/>
      <c r="C792" s="144"/>
      <c r="D792" s="144"/>
      <c r="E792" s="144"/>
      <c r="F792" s="52"/>
      <c r="G792" s="52"/>
      <c r="H792" s="52"/>
      <c r="I792" s="52"/>
      <c r="J792" s="52"/>
      <c r="K792" s="144"/>
      <c r="L792" s="144"/>
      <c r="M792" s="144"/>
      <c r="N792" s="144"/>
      <c r="O792" s="144"/>
      <c r="P792" s="144"/>
      <c r="Q792" s="144"/>
      <c r="R792" s="144"/>
      <c r="S792" s="144"/>
      <c r="T792" s="144"/>
      <c r="U792" s="144"/>
      <c r="V792" s="144"/>
      <c r="W792" s="144"/>
      <c r="X792" s="144"/>
      <c r="Y792" s="144"/>
      <c r="Z792" s="144"/>
    </row>
    <row r="793" spans="1:26" x14ac:dyDescent="0.3">
      <c r="A793" s="144"/>
      <c r="B793" s="144"/>
      <c r="C793" s="144"/>
      <c r="D793" s="144"/>
      <c r="E793" s="144"/>
      <c r="F793" s="52"/>
      <c r="G793" s="52"/>
      <c r="H793" s="52"/>
      <c r="I793" s="52"/>
      <c r="J793" s="52"/>
      <c r="K793" s="144"/>
      <c r="L793" s="144"/>
      <c r="M793" s="144"/>
      <c r="N793" s="144"/>
      <c r="O793" s="144"/>
      <c r="P793" s="144"/>
      <c r="Q793" s="144"/>
      <c r="R793" s="144"/>
      <c r="S793" s="144"/>
      <c r="T793" s="144"/>
      <c r="U793" s="144"/>
      <c r="V793" s="144"/>
      <c r="W793" s="144"/>
      <c r="X793" s="144"/>
      <c r="Y793" s="144"/>
      <c r="Z793" s="144"/>
    </row>
    <row r="794" spans="1:26" x14ac:dyDescent="0.3">
      <c r="A794" s="144"/>
      <c r="B794" s="144"/>
      <c r="C794" s="144"/>
      <c r="D794" s="144"/>
      <c r="E794" s="144"/>
      <c r="F794" s="52"/>
      <c r="G794" s="52"/>
      <c r="H794" s="52"/>
      <c r="I794" s="52"/>
      <c r="J794" s="52"/>
      <c r="K794" s="144"/>
      <c r="L794" s="144"/>
      <c r="M794" s="144"/>
      <c r="N794" s="144"/>
      <c r="O794" s="144"/>
      <c r="P794" s="144"/>
      <c r="Q794" s="144"/>
      <c r="R794" s="144"/>
      <c r="S794" s="144"/>
      <c r="T794" s="144"/>
      <c r="U794" s="144"/>
      <c r="V794" s="144"/>
      <c r="W794" s="144"/>
      <c r="X794" s="144"/>
      <c r="Y794" s="144"/>
      <c r="Z794" s="144"/>
    </row>
    <row r="795" spans="1:26" x14ac:dyDescent="0.3">
      <c r="A795" s="144"/>
      <c r="B795" s="144"/>
      <c r="C795" s="144"/>
      <c r="D795" s="144"/>
      <c r="E795" s="144"/>
      <c r="F795" s="52"/>
      <c r="G795" s="52"/>
      <c r="H795" s="52"/>
      <c r="I795" s="52"/>
      <c r="J795" s="52"/>
      <c r="K795" s="144"/>
      <c r="L795" s="144"/>
      <c r="M795" s="144"/>
      <c r="N795" s="144"/>
      <c r="O795" s="144"/>
      <c r="P795" s="144"/>
      <c r="Q795" s="144"/>
      <c r="R795" s="144"/>
      <c r="S795" s="144"/>
      <c r="T795" s="144"/>
      <c r="U795" s="144"/>
      <c r="V795" s="144"/>
      <c r="W795" s="144"/>
      <c r="X795" s="144"/>
      <c r="Y795" s="144"/>
      <c r="Z795" s="144"/>
    </row>
    <row r="796" spans="1:26" x14ac:dyDescent="0.3">
      <c r="A796" s="144"/>
      <c r="B796" s="144"/>
      <c r="C796" s="144"/>
      <c r="D796" s="144"/>
      <c r="E796" s="144"/>
      <c r="F796" s="52"/>
      <c r="G796" s="52"/>
      <c r="H796" s="52"/>
      <c r="I796" s="52"/>
      <c r="J796" s="52"/>
      <c r="K796" s="144"/>
      <c r="L796" s="144"/>
      <c r="M796" s="144"/>
      <c r="N796" s="144"/>
      <c r="O796" s="144"/>
      <c r="P796" s="144"/>
      <c r="Q796" s="144"/>
      <c r="R796" s="144"/>
      <c r="S796" s="144"/>
      <c r="T796" s="144"/>
      <c r="U796" s="144"/>
      <c r="V796" s="144"/>
      <c r="W796" s="144"/>
      <c r="X796" s="144"/>
      <c r="Y796" s="144"/>
      <c r="Z796" s="144"/>
    </row>
    <row r="797" spans="1:26" x14ac:dyDescent="0.3">
      <c r="A797" s="144"/>
      <c r="B797" s="144"/>
      <c r="C797" s="144"/>
      <c r="D797" s="144"/>
      <c r="E797" s="144"/>
      <c r="F797" s="52"/>
      <c r="G797" s="52"/>
      <c r="H797" s="52"/>
      <c r="I797" s="52"/>
      <c r="J797" s="52"/>
      <c r="K797" s="144"/>
      <c r="L797" s="144"/>
      <c r="M797" s="144"/>
      <c r="N797" s="144"/>
      <c r="O797" s="144"/>
      <c r="P797" s="144"/>
      <c r="Q797" s="144"/>
      <c r="R797" s="144"/>
      <c r="S797" s="144"/>
      <c r="T797" s="144"/>
      <c r="U797" s="144"/>
      <c r="V797" s="144"/>
      <c r="W797" s="144"/>
      <c r="X797" s="144"/>
      <c r="Y797" s="144"/>
      <c r="Z797" s="144"/>
    </row>
    <row r="798" spans="1:26" x14ac:dyDescent="0.3">
      <c r="A798" s="144"/>
      <c r="B798" s="144"/>
      <c r="C798" s="144"/>
      <c r="D798" s="144"/>
      <c r="E798" s="144"/>
      <c r="F798" s="52"/>
      <c r="G798" s="52"/>
      <c r="H798" s="52"/>
      <c r="I798" s="52"/>
      <c r="J798" s="52"/>
      <c r="K798" s="144"/>
      <c r="L798" s="144"/>
      <c r="M798" s="144"/>
      <c r="N798" s="144"/>
      <c r="O798" s="144"/>
      <c r="P798" s="144"/>
      <c r="Q798" s="144"/>
      <c r="R798" s="144"/>
      <c r="S798" s="144"/>
      <c r="T798" s="144"/>
      <c r="U798" s="144"/>
      <c r="V798" s="144"/>
      <c r="W798" s="144"/>
      <c r="X798" s="144"/>
      <c r="Y798" s="144"/>
      <c r="Z798" s="144"/>
    </row>
    <row r="799" spans="1:26" x14ac:dyDescent="0.3">
      <c r="A799" s="144"/>
      <c r="B799" s="144"/>
      <c r="C799" s="144"/>
      <c r="D799" s="144"/>
      <c r="E799" s="144"/>
      <c r="F799" s="52"/>
      <c r="G799" s="52"/>
      <c r="H799" s="52"/>
      <c r="I799" s="52"/>
      <c r="J799" s="52"/>
      <c r="K799" s="144"/>
      <c r="L799" s="144"/>
      <c r="M799" s="144"/>
      <c r="N799" s="144"/>
      <c r="O799" s="144"/>
      <c r="P799" s="144"/>
      <c r="Q799" s="144"/>
      <c r="R799" s="144"/>
      <c r="S799" s="144"/>
      <c r="T799" s="144"/>
      <c r="U799" s="144"/>
      <c r="V799" s="144"/>
      <c r="W799" s="144"/>
      <c r="X799" s="144"/>
      <c r="Y799" s="144"/>
      <c r="Z799" s="144"/>
    </row>
    <row r="800" spans="1:26" x14ac:dyDescent="0.3">
      <c r="A800" s="144"/>
      <c r="B800" s="144"/>
      <c r="C800" s="144"/>
      <c r="D800" s="144"/>
      <c r="E800" s="144"/>
      <c r="F800" s="52"/>
      <c r="G800" s="52"/>
      <c r="H800" s="52"/>
      <c r="I800" s="52"/>
      <c r="J800" s="52"/>
      <c r="K800" s="144"/>
      <c r="L800" s="144"/>
      <c r="M800" s="144"/>
      <c r="N800" s="144"/>
      <c r="O800" s="144"/>
      <c r="P800" s="144"/>
      <c r="Q800" s="144"/>
      <c r="R800" s="144"/>
      <c r="S800" s="144"/>
      <c r="T800" s="144"/>
      <c r="U800" s="144"/>
      <c r="V800" s="144"/>
      <c r="W800" s="144"/>
      <c r="X800" s="144"/>
      <c r="Y800" s="144"/>
      <c r="Z800" s="144"/>
    </row>
    <row r="801" spans="1:26" x14ac:dyDescent="0.3">
      <c r="A801" s="144"/>
      <c r="B801" s="144"/>
      <c r="C801" s="144"/>
      <c r="D801" s="144"/>
      <c r="E801" s="144"/>
      <c r="F801" s="52"/>
      <c r="G801" s="52"/>
      <c r="H801" s="52"/>
      <c r="I801" s="52"/>
      <c r="J801" s="52"/>
      <c r="K801" s="144"/>
      <c r="L801" s="144"/>
      <c r="M801" s="144"/>
      <c r="N801" s="144"/>
      <c r="O801" s="144"/>
      <c r="P801" s="144"/>
      <c r="Q801" s="144"/>
      <c r="R801" s="144"/>
      <c r="S801" s="144"/>
      <c r="T801" s="144"/>
      <c r="U801" s="144"/>
      <c r="V801" s="144"/>
      <c r="W801" s="144"/>
      <c r="X801" s="144"/>
      <c r="Y801" s="144"/>
      <c r="Z801" s="144"/>
    </row>
    <row r="802" spans="1:26" x14ac:dyDescent="0.3">
      <c r="A802" s="144"/>
      <c r="B802" s="144"/>
      <c r="C802" s="144"/>
      <c r="D802" s="144"/>
      <c r="E802" s="144"/>
      <c r="F802" s="52"/>
      <c r="G802" s="52"/>
      <c r="H802" s="52"/>
      <c r="I802" s="52"/>
      <c r="J802" s="52"/>
      <c r="K802" s="144"/>
      <c r="L802" s="144"/>
      <c r="M802" s="144"/>
      <c r="N802" s="144"/>
      <c r="O802" s="144"/>
      <c r="P802" s="144"/>
      <c r="Q802" s="144"/>
      <c r="R802" s="144"/>
      <c r="S802" s="144"/>
      <c r="T802" s="144"/>
      <c r="U802" s="144"/>
      <c r="V802" s="144"/>
      <c r="W802" s="144"/>
      <c r="X802" s="144"/>
      <c r="Y802" s="144"/>
      <c r="Z802" s="144"/>
    </row>
    <row r="803" spans="1:26" x14ac:dyDescent="0.3">
      <c r="A803" s="144"/>
      <c r="B803" s="144"/>
      <c r="C803" s="144"/>
      <c r="D803" s="144"/>
      <c r="E803" s="144"/>
      <c r="F803" s="52"/>
      <c r="G803" s="52"/>
      <c r="H803" s="52"/>
      <c r="I803" s="52"/>
      <c r="J803" s="52"/>
      <c r="K803" s="144"/>
      <c r="L803" s="144"/>
      <c r="M803" s="144"/>
      <c r="N803" s="144"/>
      <c r="O803" s="144"/>
      <c r="P803" s="144"/>
      <c r="Q803" s="144"/>
      <c r="R803" s="144"/>
      <c r="S803" s="144"/>
      <c r="T803" s="144"/>
      <c r="U803" s="144"/>
      <c r="V803" s="144"/>
      <c r="W803" s="144"/>
      <c r="X803" s="144"/>
      <c r="Y803" s="144"/>
      <c r="Z803" s="144"/>
    </row>
    <row r="804" spans="1:26" x14ac:dyDescent="0.3">
      <c r="A804" s="144"/>
      <c r="B804" s="144"/>
      <c r="C804" s="144"/>
      <c r="D804" s="144"/>
      <c r="E804" s="144"/>
      <c r="F804" s="52"/>
      <c r="G804" s="52"/>
      <c r="H804" s="52"/>
      <c r="I804" s="52"/>
      <c r="J804" s="52"/>
      <c r="K804" s="144"/>
      <c r="L804" s="144"/>
      <c r="M804" s="144"/>
      <c r="N804" s="144"/>
      <c r="O804" s="144"/>
      <c r="P804" s="144"/>
      <c r="Q804" s="144"/>
      <c r="R804" s="144"/>
      <c r="S804" s="144"/>
      <c r="T804" s="144"/>
      <c r="U804" s="144"/>
      <c r="V804" s="144"/>
      <c r="W804" s="144"/>
      <c r="X804" s="144"/>
      <c r="Y804" s="144"/>
      <c r="Z804" s="144"/>
    </row>
    <row r="805" spans="1:26" x14ac:dyDescent="0.3">
      <c r="A805" s="144"/>
      <c r="B805" s="144"/>
      <c r="C805" s="144"/>
      <c r="D805" s="144"/>
      <c r="E805" s="144"/>
      <c r="F805" s="52"/>
      <c r="G805" s="52"/>
      <c r="H805" s="52"/>
      <c r="I805" s="52"/>
      <c r="J805" s="52"/>
      <c r="K805" s="144"/>
      <c r="L805" s="144"/>
      <c r="M805" s="144"/>
      <c r="N805" s="144"/>
      <c r="O805" s="144"/>
      <c r="P805" s="144"/>
      <c r="Q805" s="144"/>
      <c r="R805" s="144"/>
      <c r="S805" s="144"/>
      <c r="T805" s="144"/>
      <c r="U805" s="144"/>
      <c r="V805" s="144"/>
      <c r="W805" s="144"/>
      <c r="X805" s="144"/>
      <c r="Y805" s="144"/>
      <c r="Z805" s="144"/>
    </row>
    <row r="806" spans="1:26" x14ac:dyDescent="0.3">
      <c r="A806" s="144"/>
      <c r="B806" s="144"/>
      <c r="C806" s="144"/>
      <c r="D806" s="144"/>
      <c r="E806" s="144"/>
      <c r="F806" s="52"/>
      <c r="G806" s="52"/>
      <c r="H806" s="52"/>
      <c r="I806" s="52"/>
      <c r="J806" s="52"/>
      <c r="K806" s="144"/>
      <c r="L806" s="144"/>
      <c r="M806" s="144"/>
      <c r="N806" s="144"/>
      <c r="O806" s="144"/>
      <c r="P806" s="144"/>
      <c r="Q806" s="144"/>
      <c r="R806" s="144"/>
      <c r="S806" s="144"/>
      <c r="T806" s="144"/>
      <c r="U806" s="144"/>
      <c r="V806" s="144"/>
      <c r="W806" s="144"/>
      <c r="X806" s="144"/>
      <c r="Y806" s="144"/>
      <c r="Z806" s="144"/>
    </row>
    <row r="807" spans="1:26" x14ac:dyDescent="0.3">
      <c r="A807" s="144"/>
      <c r="B807" s="144"/>
      <c r="C807" s="144"/>
      <c r="D807" s="144"/>
      <c r="E807" s="144"/>
      <c r="F807" s="52"/>
      <c r="G807" s="52"/>
      <c r="H807" s="52"/>
      <c r="I807" s="52"/>
      <c r="J807" s="52"/>
      <c r="K807" s="144"/>
      <c r="L807" s="144"/>
      <c r="M807" s="144"/>
      <c r="N807" s="144"/>
      <c r="O807" s="144"/>
      <c r="P807" s="144"/>
      <c r="Q807" s="144"/>
      <c r="R807" s="144"/>
      <c r="S807" s="144"/>
      <c r="T807" s="144"/>
      <c r="U807" s="144"/>
      <c r="V807" s="144"/>
      <c r="W807" s="144"/>
      <c r="X807" s="144"/>
      <c r="Y807" s="144"/>
      <c r="Z807" s="144"/>
    </row>
    <row r="808" spans="1:26" x14ac:dyDescent="0.3">
      <c r="A808" s="144"/>
      <c r="B808" s="144"/>
      <c r="C808" s="144"/>
      <c r="D808" s="144"/>
      <c r="E808" s="144"/>
      <c r="F808" s="52"/>
      <c r="G808" s="52"/>
      <c r="H808" s="52"/>
      <c r="I808" s="52"/>
      <c r="J808" s="52"/>
      <c r="K808" s="144"/>
      <c r="L808" s="144"/>
      <c r="M808" s="144"/>
      <c r="N808" s="144"/>
      <c r="O808" s="144"/>
      <c r="P808" s="144"/>
      <c r="Q808" s="144"/>
      <c r="R808" s="144"/>
      <c r="S808" s="144"/>
      <c r="T808" s="144"/>
      <c r="U808" s="144"/>
      <c r="V808" s="144"/>
      <c r="W808" s="144"/>
      <c r="X808" s="144"/>
      <c r="Y808" s="144"/>
      <c r="Z808" s="144"/>
    </row>
    <row r="809" spans="1:26" x14ac:dyDescent="0.3">
      <c r="A809" s="144"/>
      <c r="B809" s="144"/>
      <c r="C809" s="144"/>
      <c r="D809" s="144"/>
      <c r="E809" s="144"/>
      <c r="F809" s="52"/>
      <c r="G809" s="52"/>
      <c r="H809" s="52"/>
      <c r="I809" s="52"/>
      <c r="J809" s="52"/>
      <c r="K809" s="144"/>
      <c r="L809" s="144"/>
      <c r="M809" s="144"/>
      <c r="N809" s="144"/>
      <c r="O809" s="144"/>
      <c r="P809" s="144"/>
      <c r="Q809" s="144"/>
      <c r="R809" s="144"/>
      <c r="S809" s="144"/>
      <c r="T809" s="144"/>
      <c r="U809" s="144"/>
      <c r="V809" s="144"/>
      <c r="W809" s="144"/>
      <c r="X809" s="144"/>
      <c r="Y809" s="144"/>
      <c r="Z809" s="144"/>
    </row>
    <row r="810" spans="1:26" x14ac:dyDescent="0.3">
      <c r="A810" s="144"/>
      <c r="B810" s="144"/>
      <c r="C810" s="144"/>
      <c r="D810" s="144"/>
      <c r="E810" s="144"/>
      <c r="F810" s="52"/>
      <c r="G810" s="52"/>
      <c r="H810" s="52"/>
      <c r="I810" s="52"/>
      <c r="J810" s="52"/>
      <c r="K810" s="144"/>
      <c r="L810" s="144"/>
      <c r="M810" s="144"/>
      <c r="N810" s="144"/>
      <c r="O810" s="144"/>
      <c r="P810" s="144"/>
      <c r="Q810" s="144"/>
      <c r="R810" s="144"/>
      <c r="S810" s="144"/>
      <c r="T810" s="144"/>
      <c r="U810" s="144"/>
      <c r="V810" s="144"/>
      <c r="W810" s="144"/>
      <c r="X810" s="144"/>
      <c r="Y810" s="144"/>
      <c r="Z810" s="144"/>
    </row>
    <row r="811" spans="1:26" x14ac:dyDescent="0.3">
      <c r="A811" s="144"/>
      <c r="B811" s="144"/>
      <c r="C811" s="144"/>
      <c r="D811" s="144"/>
      <c r="E811" s="144"/>
      <c r="F811" s="52"/>
      <c r="G811" s="52"/>
      <c r="H811" s="52"/>
      <c r="I811" s="52"/>
      <c r="J811" s="52"/>
      <c r="K811" s="144"/>
      <c r="L811" s="144"/>
      <c r="M811" s="144"/>
      <c r="N811" s="144"/>
      <c r="O811" s="144"/>
      <c r="P811" s="144"/>
      <c r="Q811" s="144"/>
      <c r="R811" s="144"/>
      <c r="S811" s="144"/>
      <c r="T811" s="144"/>
      <c r="U811" s="144"/>
      <c r="V811" s="144"/>
      <c r="W811" s="144"/>
      <c r="X811" s="144"/>
      <c r="Y811" s="144"/>
      <c r="Z811" s="144"/>
    </row>
    <row r="812" spans="1:26" x14ac:dyDescent="0.3">
      <c r="A812" s="144"/>
      <c r="B812" s="144"/>
      <c r="C812" s="144"/>
      <c r="D812" s="144"/>
      <c r="E812" s="144"/>
      <c r="F812" s="52"/>
      <c r="G812" s="52"/>
      <c r="H812" s="52"/>
      <c r="I812" s="52"/>
      <c r="J812" s="52"/>
      <c r="K812" s="144"/>
      <c r="L812" s="144"/>
      <c r="M812" s="144"/>
      <c r="N812" s="144"/>
      <c r="O812" s="144"/>
      <c r="P812" s="144"/>
      <c r="Q812" s="144"/>
      <c r="R812" s="144"/>
      <c r="S812" s="144"/>
      <c r="T812" s="144"/>
      <c r="U812" s="144"/>
      <c r="V812" s="144"/>
      <c r="W812" s="144"/>
      <c r="X812" s="144"/>
      <c r="Y812" s="144"/>
      <c r="Z812" s="144"/>
    </row>
    <row r="813" spans="1:26" x14ac:dyDescent="0.3">
      <c r="A813" s="144"/>
      <c r="B813" s="144"/>
      <c r="C813" s="144"/>
      <c r="D813" s="144"/>
      <c r="E813" s="144"/>
      <c r="F813" s="52"/>
      <c r="G813" s="52"/>
      <c r="H813" s="52"/>
      <c r="I813" s="52"/>
      <c r="J813" s="52"/>
      <c r="K813" s="144"/>
      <c r="L813" s="144"/>
      <c r="M813" s="144"/>
      <c r="N813" s="144"/>
      <c r="O813" s="144"/>
      <c r="P813" s="144"/>
      <c r="Q813" s="144"/>
      <c r="R813" s="144"/>
      <c r="S813" s="144"/>
      <c r="T813" s="144"/>
      <c r="U813" s="144"/>
      <c r="V813" s="144"/>
      <c r="W813" s="144"/>
      <c r="X813" s="144"/>
      <c r="Y813" s="144"/>
      <c r="Z813" s="144"/>
    </row>
    <row r="814" spans="1:26" x14ac:dyDescent="0.3">
      <c r="A814" s="144"/>
      <c r="B814" s="144"/>
      <c r="C814" s="144"/>
      <c r="D814" s="144"/>
      <c r="E814" s="144"/>
      <c r="F814" s="52"/>
      <c r="G814" s="52"/>
      <c r="H814" s="52"/>
      <c r="I814" s="52"/>
      <c r="J814" s="52"/>
      <c r="K814" s="144"/>
      <c r="L814" s="144"/>
      <c r="M814" s="144"/>
      <c r="N814" s="144"/>
      <c r="O814" s="144"/>
      <c r="P814" s="144"/>
      <c r="Q814" s="144"/>
      <c r="R814" s="144"/>
      <c r="S814" s="144"/>
      <c r="T814" s="144"/>
      <c r="U814" s="144"/>
      <c r="V814" s="144"/>
      <c r="W814" s="144"/>
      <c r="X814" s="144"/>
      <c r="Y814" s="144"/>
      <c r="Z814" s="144"/>
    </row>
    <row r="815" spans="1:26" x14ac:dyDescent="0.3">
      <c r="A815" s="144"/>
      <c r="B815" s="144"/>
      <c r="C815" s="144"/>
      <c r="D815" s="144"/>
      <c r="E815" s="144"/>
      <c r="F815" s="52"/>
      <c r="G815" s="52"/>
      <c r="H815" s="52"/>
      <c r="I815" s="52"/>
      <c r="J815" s="52"/>
      <c r="K815" s="144"/>
      <c r="L815" s="144"/>
      <c r="M815" s="144"/>
      <c r="N815" s="144"/>
      <c r="O815" s="144"/>
      <c r="P815" s="144"/>
      <c r="Q815" s="144"/>
      <c r="R815" s="144"/>
      <c r="S815" s="144"/>
      <c r="T815" s="144"/>
      <c r="U815" s="144"/>
      <c r="V815" s="144"/>
      <c r="W815" s="144"/>
      <c r="X815" s="144"/>
      <c r="Y815" s="144"/>
      <c r="Z815" s="144"/>
    </row>
    <row r="816" spans="1:26" x14ac:dyDescent="0.3">
      <c r="A816" s="144"/>
      <c r="B816" s="144"/>
      <c r="C816" s="144"/>
      <c r="D816" s="144"/>
      <c r="E816" s="144"/>
      <c r="F816" s="52"/>
      <c r="G816" s="52"/>
      <c r="H816" s="52"/>
      <c r="I816" s="52"/>
      <c r="J816" s="52"/>
      <c r="K816" s="144"/>
      <c r="L816" s="144"/>
      <c r="M816" s="144"/>
      <c r="N816" s="144"/>
      <c r="O816" s="144"/>
      <c r="P816" s="144"/>
      <c r="Q816" s="144"/>
      <c r="R816" s="144"/>
      <c r="S816" s="144"/>
      <c r="T816" s="144"/>
      <c r="U816" s="144"/>
      <c r="V816" s="144"/>
      <c r="W816" s="144"/>
      <c r="X816" s="144"/>
      <c r="Y816" s="144"/>
      <c r="Z816" s="144"/>
    </row>
    <row r="817" spans="1:26" x14ac:dyDescent="0.3">
      <c r="A817" s="144"/>
      <c r="B817" s="144"/>
      <c r="C817" s="144"/>
      <c r="D817" s="144"/>
      <c r="E817" s="144"/>
      <c r="F817" s="52"/>
      <c r="G817" s="52"/>
      <c r="H817" s="52"/>
      <c r="I817" s="52"/>
      <c r="J817" s="52"/>
      <c r="K817" s="144"/>
      <c r="L817" s="144"/>
      <c r="M817" s="144"/>
      <c r="N817" s="144"/>
      <c r="O817" s="144"/>
      <c r="P817" s="144"/>
      <c r="Q817" s="144"/>
      <c r="R817" s="144"/>
      <c r="S817" s="144"/>
      <c r="T817" s="144"/>
      <c r="U817" s="144"/>
      <c r="V817" s="144"/>
      <c r="W817" s="144"/>
      <c r="X817" s="144"/>
      <c r="Y817" s="144"/>
      <c r="Z817" s="144"/>
    </row>
    <row r="818" spans="1:26" x14ac:dyDescent="0.3">
      <c r="A818" s="144"/>
      <c r="B818" s="144"/>
      <c r="C818" s="144"/>
      <c r="D818" s="144"/>
      <c r="E818" s="144"/>
      <c r="F818" s="52"/>
      <c r="G818" s="52"/>
      <c r="H818" s="52"/>
      <c r="I818" s="52"/>
      <c r="J818" s="52"/>
      <c r="K818" s="144"/>
      <c r="L818" s="144"/>
      <c r="M818" s="144"/>
      <c r="N818" s="144"/>
      <c r="O818" s="144"/>
      <c r="P818" s="144"/>
      <c r="Q818" s="144"/>
      <c r="R818" s="144"/>
      <c r="S818" s="144"/>
      <c r="T818" s="144"/>
      <c r="U818" s="144"/>
      <c r="V818" s="144"/>
      <c r="W818" s="144"/>
      <c r="X818" s="144"/>
      <c r="Y818" s="144"/>
      <c r="Z818" s="144"/>
    </row>
    <row r="819" spans="1:26" x14ac:dyDescent="0.3">
      <c r="A819" s="144"/>
      <c r="B819" s="144"/>
      <c r="C819" s="144"/>
      <c r="D819" s="144"/>
      <c r="E819" s="144"/>
      <c r="F819" s="52"/>
      <c r="G819" s="52"/>
      <c r="H819" s="52"/>
      <c r="I819" s="52"/>
      <c r="J819" s="52"/>
      <c r="K819" s="144"/>
      <c r="L819" s="144"/>
      <c r="M819" s="144"/>
      <c r="N819" s="144"/>
      <c r="O819" s="144"/>
      <c r="P819" s="144"/>
      <c r="Q819" s="144"/>
      <c r="R819" s="144"/>
      <c r="S819" s="144"/>
      <c r="T819" s="144"/>
      <c r="U819" s="144"/>
      <c r="V819" s="144"/>
      <c r="W819" s="144"/>
      <c r="X819" s="144"/>
      <c r="Y819" s="144"/>
      <c r="Z819" s="144"/>
    </row>
    <row r="820" spans="1:26" x14ac:dyDescent="0.3">
      <c r="A820" s="144"/>
      <c r="B820" s="144"/>
      <c r="C820" s="144"/>
      <c r="D820" s="144"/>
      <c r="E820" s="144"/>
      <c r="F820" s="52"/>
      <c r="G820" s="52"/>
      <c r="H820" s="52"/>
      <c r="I820" s="52"/>
      <c r="J820" s="52"/>
      <c r="K820" s="144"/>
      <c r="L820" s="144"/>
      <c r="M820" s="144"/>
      <c r="N820" s="144"/>
      <c r="O820" s="144"/>
      <c r="P820" s="144"/>
      <c r="Q820" s="144"/>
      <c r="R820" s="144"/>
      <c r="S820" s="144"/>
      <c r="T820" s="144"/>
      <c r="U820" s="144"/>
      <c r="V820" s="144"/>
      <c r="W820" s="144"/>
      <c r="X820" s="144"/>
      <c r="Y820" s="144"/>
      <c r="Z820" s="144"/>
    </row>
    <row r="821" spans="1:26" x14ac:dyDescent="0.3">
      <c r="A821" s="144"/>
      <c r="B821" s="144"/>
      <c r="C821" s="144"/>
      <c r="D821" s="144"/>
      <c r="E821" s="144"/>
      <c r="F821" s="52"/>
      <c r="G821" s="52"/>
      <c r="H821" s="52"/>
      <c r="I821" s="52"/>
      <c r="J821" s="52"/>
      <c r="K821" s="144"/>
      <c r="L821" s="144"/>
      <c r="M821" s="144"/>
      <c r="N821" s="144"/>
      <c r="O821" s="144"/>
      <c r="P821" s="144"/>
      <c r="Q821" s="144"/>
      <c r="R821" s="144"/>
      <c r="S821" s="144"/>
      <c r="T821" s="144"/>
      <c r="U821" s="144"/>
      <c r="V821" s="144"/>
      <c r="W821" s="144"/>
      <c r="X821" s="144"/>
      <c r="Y821" s="144"/>
      <c r="Z821" s="144"/>
    </row>
    <row r="822" spans="1:26" x14ac:dyDescent="0.3">
      <c r="A822" s="144"/>
      <c r="B822" s="144"/>
      <c r="C822" s="144"/>
      <c r="D822" s="144"/>
      <c r="E822" s="144"/>
      <c r="F822" s="52"/>
      <c r="G822" s="52"/>
      <c r="H822" s="52"/>
      <c r="I822" s="52"/>
      <c r="J822" s="52"/>
      <c r="K822" s="144"/>
      <c r="L822" s="144"/>
      <c r="M822" s="144"/>
      <c r="N822" s="144"/>
      <c r="O822" s="144"/>
      <c r="P822" s="144"/>
      <c r="Q822" s="144"/>
      <c r="R822" s="144"/>
      <c r="S822" s="144"/>
      <c r="T822" s="144"/>
      <c r="U822" s="144"/>
      <c r="V822" s="144"/>
      <c r="W822" s="144"/>
      <c r="X822" s="144"/>
      <c r="Y822" s="144"/>
      <c r="Z822" s="144"/>
    </row>
    <row r="823" spans="1:26" x14ac:dyDescent="0.3">
      <c r="A823" s="144"/>
      <c r="B823" s="144"/>
      <c r="C823" s="144"/>
      <c r="D823" s="144"/>
      <c r="E823" s="144"/>
      <c r="F823" s="52"/>
      <c r="G823" s="52"/>
      <c r="H823" s="52"/>
      <c r="I823" s="52"/>
      <c r="J823" s="52"/>
      <c r="K823" s="144"/>
      <c r="L823" s="144"/>
      <c r="M823" s="144"/>
      <c r="N823" s="144"/>
      <c r="O823" s="144"/>
      <c r="P823" s="144"/>
      <c r="Q823" s="144"/>
      <c r="R823" s="144"/>
      <c r="S823" s="144"/>
      <c r="T823" s="144"/>
      <c r="U823" s="144"/>
      <c r="V823" s="144"/>
      <c r="W823" s="144"/>
      <c r="X823" s="144"/>
      <c r="Y823" s="144"/>
      <c r="Z823" s="144"/>
    </row>
    <row r="824" spans="1:26" x14ac:dyDescent="0.3">
      <c r="A824" s="144"/>
      <c r="B824" s="144"/>
      <c r="C824" s="144"/>
      <c r="D824" s="144"/>
      <c r="E824" s="144"/>
      <c r="F824" s="52"/>
      <c r="G824" s="52"/>
      <c r="H824" s="52"/>
      <c r="I824" s="52"/>
      <c r="J824" s="52"/>
      <c r="K824" s="144"/>
      <c r="L824" s="144"/>
      <c r="M824" s="144"/>
      <c r="N824" s="144"/>
      <c r="O824" s="144"/>
      <c r="P824" s="144"/>
      <c r="Q824" s="144"/>
      <c r="R824" s="144"/>
      <c r="S824" s="144"/>
      <c r="T824" s="144"/>
      <c r="U824" s="144"/>
      <c r="V824" s="144"/>
      <c r="W824" s="144"/>
      <c r="X824" s="144"/>
      <c r="Y824" s="144"/>
      <c r="Z824" s="144"/>
    </row>
    <row r="825" spans="1:26" x14ac:dyDescent="0.3">
      <c r="A825" s="144"/>
      <c r="B825" s="144"/>
      <c r="C825" s="144"/>
      <c r="D825" s="144"/>
      <c r="E825" s="144"/>
      <c r="F825" s="52"/>
      <c r="G825" s="52"/>
      <c r="H825" s="52"/>
      <c r="I825" s="52"/>
      <c r="J825" s="52"/>
      <c r="K825" s="144"/>
      <c r="L825" s="144"/>
      <c r="M825" s="144"/>
      <c r="N825" s="144"/>
      <c r="O825" s="144"/>
      <c r="P825" s="144"/>
      <c r="Q825" s="144"/>
      <c r="R825" s="144"/>
      <c r="S825" s="144"/>
      <c r="T825" s="144"/>
      <c r="U825" s="144"/>
      <c r="V825" s="144"/>
      <c r="W825" s="144"/>
      <c r="X825" s="144"/>
      <c r="Y825" s="144"/>
      <c r="Z825" s="144"/>
    </row>
    <row r="826" spans="1:26" x14ac:dyDescent="0.3">
      <c r="A826" s="144"/>
      <c r="B826" s="144"/>
      <c r="C826" s="144"/>
      <c r="D826" s="144"/>
      <c r="E826" s="144"/>
      <c r="F826" s="52"/>
      <c r="G826" s="52"/>
      <c r="H826" s="52"/>
      <c r="I826" s="52"/>
      <c r="J826" s="52"/>
      <c r="K826" s="144"/>
      <c r="L826" s="144"/>
      <c r="M826" s="144"/>
      <c r="N826" s="144"/>
      <c r="O826" s="144"/>
      <c r="P826" s="144"/>
      <c r="Q826" s="144"/>
      <c r="R826" s="144"/>
      <c r="S826" s="144"/>
      <c r="T826" s="144"/>
      <c r="U826" s="144"/>
      <c r="V826" s="144"/>
      <c r="W826" s="144"/>
      <c r="X826" s="144"/>
      <c r="Y826" s="144"/>
      <c r="Z826" s="144"/>
    </row>
    <row r="827" spans="1:26" x14ac:dyDescent="0.3">
      <c r="A827" s="144"/>
      <c r="B827" s="144"/>
      <c r="C827" s="144"/>
      <c r="D827" s="144"/>
      <c r="E827" s="144"/>
      <c r="F827" s="52"/>
      <c r="G827" s="52"/>
      <c r="H827" s="52"/>
      <c r="I827" s="52"/>
      <c r="J827" s="52"/>
      <c r="K827" s="144"/>
      <c r="L827" s="144"/>
      <c r="M827" s="144"/>
      <c r="N827" s="144"/>
      <c r="O827" s="144"/>
      <c r="P827" s="144"/>
      <c r="Q827" s="144"/>
      <c r="R827" s="144"/>
      <c r="S827" s="144"/>
      <c r="T827" s="144"/>
      <c r="U827" s="144"/>
      <c r="V827" s="144"/>
      <c r="W827" s="144"/>
      <c r="X827" s="144"/>
      <c r="Y827" s="144"/>
      <c r="Z827" s="144"/>
    </row>
    <row r="828" spans="1:26" x14ac:dyDescent="0.3">
      <c r="A828" s="144"/>
      <c r="B828" s="144"/>
      <c r="C828" s="144"/>
      <c r="D828" s="144"/>
      <c r="E828" s="144"/>
      <c r="F828" s="52"/>
      <c r="G828" s="52"/>
      <c r="H828" s="52"/>
      <c r="I828" s="52"/>
      <c r="J828" s="52"/>
      <c r="K828" s="144"/>
      <c r="L828" s="144"/>
      <c r="M828" s="144"/>
      <c r="N828" s="144"/>
      <c r="O828" s="144"/>
      <c r="P828" s="144"/>
      <c r="Q828" s="144"/>
      <c r="R828" s="144"/>
      <c r="S828" s="144"/>
      <c r="T828" s="144"/>
      <c r="U828" s="144"/>
      <c r="V828" s="144"/>
      <c r="W828" s="144"/>
      <c r="X828" s="144"/>
      <c r="Y828" s="144"/>
      <c r="Z828" s="144"/>
    </row>
    <row r="829" spans="1:26" x14ac:dyDescent="0.3">
      <c r="A829" s="144"/>
      <c r="B829" s="144"/>
      <c r="C829" s="144"/>
      <c r="D829" s="144"/>
      <c r="E829" s="144"/>
      <c r="F829" s="52"/>
      <c r="G829" s="52"/>
      <c r="H829" s="52"/>
      <c r="I829" s="52"/>
      <c r="J829" s="52"/>
      <c r="K829" s="144"/>
      <c r="L829" s="144"/>
      <c r="M829" s="144"/>
      <c r="N829" s="144"/>
      <c r="O829" s="144"/>
      <c r="P829" s="144"/>
      <c r="Q829" s="144"/>
      <c r="R829" s="144"/>
      <c r="S829" s="144"/>
      <c r="T829" s="144"/>
      <c r="U829" s="144"/>
      <c r="V829" s="144"/>
      <c r="W829" s="144"/>
      <c r="X829" s="144"/>
      <c r="Y829" s="144"/>
      <c r="Z829" s="144"/>
    </row>
    <row r="830" spans="1:26" x14ac:dyDescent="0.3">
      <c r="A830" s="144"/>
      <c r="B830" s="144"/>
      <c r="C830" s="144"/>
      <c r="D830" s="144"/>
      <c r="E830" s="144"/>
      <c r="F830" s="52"/>
      <c r="G830" s="52"/>
      <c r="H830" s="52"/>
      <c r="I830" s="52"/>
      <c r="J830" s="52"/>
      <c r="K830" s="144"/>
      <c r="L830" s="144"/>
      <c r="M830" s="144"/>
      <c r="N830" s="144"/>
      <c r="O830" s="144"/>
      <c r="P830" s="144"/>
      <c r="Q830" s="144"/>
      <c r="R830" s="144"/>
      <c r="S830" s="144"/>
      <c r="T830" s="144"/>
      <c r="U830" s="144"/>
      <c r="V830" s="144"/>
      <c r="W830" s="144"/>
      <c r="X830" s="144"/>
      <c r="Y830" s="144"/>
      <c r="Z830" s="144"/>
    </row>
    <row r="831" spans="1:26" x14ac:dyDescent="0.3">
      <c r="A831" s="144"/>
      <c r="B831" s="144"/>
      <c r="C831" s="144"/>
      <c r="D831" s="144"/>
      <c r="E831" s="144"/>
      <c r="F831" s="52"/>
      <c r="G831" s="52"/>
      <c r="H831" s="52"/>
      <c r="I831" s="52"/>
      <c r="J831" s="52"/>
      <c r="K831" s="144"/>
      <c r="L831" s="144"/>
      <c r="M831" s="144"/>
      <c r="N831" s="144"/>
      <c r="O831" s="144"/>
      <c r="P831" s="144"/>
      <c r="Q831" s="144"/>
      <c r="R831" s="144"/>
      <c r="S831" s="144"/>
      <c r="T831" s="144"/>
      <c r="U831" s="144"/>
      <c r="V831" s="144"/>
      <c r="W831" s="144"/>
      <c r="X831" s="144"/>
      <c r="Y831" s="144"/>
      <c r="Z831" s="144"/>
    </row>
    <row r="832" spans="1:26" x14ac:dyDescent="0.3">
      <c r="A832" s="144"/>
      <c r="B832" s="144"/>
      <c r="C832" s="144"/>
      <c r="D832" s="144"/>
      <c r="E832" s="144"/>
      <c r="F832" s="52"/>
      <c r="G832" s="52"/>
      <c r="H832" s="52"/>
      <c r="I832" s="52"/>
      <c r="J832" s="52"/>
      <c r="K832" s="144"/>
      <c r="L832" s="144"/>
      <c r="M832" s="144"/>
      <c r="N832" s="144"/>
      <c r="O832" s="144"/>
      <c r="P832" s="144"/>
      <c r="Q832" s="144"/>
      <c r="R832" s="144"/>
      <c r="S832" s="144"/>
      <c r="T832" s="144"/>
      <c r="U832" s="144"/>
      <c r="V832" s="144"/>
      <c r="W832" s="144"/>
      <c r="X832" s="144"/>
      <c r="Y832" s="144"/>
      <c r="Z832" s="144"/>
    </row>
    <row r="833" spans="1:26" x14ac:dyDescent="0.3">
      <c r="A833" s="144"/>
      <c r="B833" s="144"/>
      <c r="C833" s="144"/>
      <c r="D833" s="144"/>
      <c r="E833" s="144"/>
      <c r="F833" s="52"/>
      <c r="G833" s="52"/>
      <c r="H833" s="52"/>
      <c r="I833" s="52"/>
      <c r="J833" s="52"/>
      <c r="K833" s="144"/>
      <c r="L833" s="144"/>
      <c r="M833" s="144"/>
      <c r="N833" s="144"/>
      <c r="O833" s="144"/>
      <c r="P833" s="144"/>
      <c r="Q833" s="144"/>
      <c r="R833" s="144"/>
      <c r="S833" s="144"/>
      <c r="T833" s="144"/>
      <c r="U833" s="144"/>
      <c r="V833" s="144"/>
      <c r="W833" s="144"/>
      <c r="X833" s="144"/>
      <c r="Y833" s="144"/>
      <c r="Z833" s="144"/>
    </row>
    <row r="834" spans="1:26" x14ac:dyDescent="0.3">
      <c r="A834" s="144"/>
      <c r="B834" s="144"/>
      <c r="C834" s="144"/>
      <c r="D834" s="144"/>
      <c r="E834" s="144"/>
      <c r="F834" s="52"/>
      <c r="G834" s="52"/>
      <c r="H834" s="52"/>
      <c r="I834" s="52"/>
      <c r="J834" s="52"/>
      <c r="K834" s="144"/>
      <c r="L834" s="144"/>
      <c r="M834" s="144"/>
      <c r="N834" s="144"/>
      <c r="O834" s="144"/>
      <c r="P834" s="144"/>
      <c r="Q834" s="144"/>
      <c r="R834" s="144"/>
      <c r="S834" s="144"/>
      <c r="T834" s="144"/>
      <c r="U834" s="144"/>
      <c r="V834" s="144"/>
      <c r="W834" s="144"/>
      <c r="X834" s="144"/>
      <c r="Y834" s="144"/>
      <c r="Z834" s="144"/>
    </row>
    <row r="835" spans="1:26" x14ac:dyDescent="0.3">
      <c r="A835" s="144"/>
      <c r="B835" s="144"/>
      <c r="C835" s="144"/>
      <c r="D835" s="144"/>
      <c r="E835" s="144"/>
      <c r="F835" s="52"/>
      <c r="G835" s="52"/>
      <c r="H835" s="52"/>
      <c r="I835" s="52"/>
      <c r="J835" s="52"/>
      <c r="K835" s="144"/>
      <c r="L835" s="144"/>
      <c r="M835" s="144"/>
      <c r="N835" s="144"/>
      <c r="O835" s="144"/>
      <c r="P835" s="144"/>
      <c r="Q835" s="144"/>
      <c r="R835" s="144"/>
      <c r="S835" s="144"/>
      <c r="T835" s="144"/>
      <c r="U835" s="144"/>
      <c r="V835" s="144"/>
      <c r="W835" s="144"/>
      <c r="X835" s="144"/>
      <c r="Y835" s="144"/>
      <c r="Z835" s="144"/>
    </row>
    <row r="836" spans="1:26" x14ac:dyDescent="0.3">
      <c r="A836" s="144"/>
      <c r="B836" s="144"/>
      <c r="C836" s="144"/>
      <c r="D836" s="144"/>
      <c r="E836" s="144"/>
      <c r="F836" s="52"/>
      <c r="G836" s="52"/>
      <c r="H836" s="52"/>
      <c r="I836" s="52"/>
      <c r="J836" s="52"/>
      <c r="K836" s="144"/>
      <c r="L836" s="144"/>
      <c r="M836" s="144"/>
      <c r="N836" s="144"/>
      <c r="O836" s="144"/>
      <c r="P836" s="144"/>
      <c r="Q836" s="144"/>
      <c r="R836" s="144"/>
      <c r="S836" s="144"/>
      <c r="T836" s="144"/>
      <c r="U836" s="144"/>
      <c r="V836" s="144"/>
      <c r="W836" s="144"/>
      <c r="X836" s="144"/>
      <c r="Y836" s="144"/>
      <c r="Z836" s="144"/>
    </row>
    <row r="837" spans="1:26" x14ac:dyDescent="0.3">
      <c r="A837" s="144"/>
      <c r="B837" s="144"/>
      <c r="C837" s="144"/>
      <c r="D837" s="144"/>
      <c r="E837" s="144"/>
      <c r="F837" s="52"/>
      <c r="G837" s="52"/>
      <c r="H837" s="52"/>
      <c r="I837" s="52"/>
      <c r="J837" s="52"/>
      <c r="K837" s="144"/>
      <c r="L837" s="144"/>
      <c r="M837" s="144"/>
      <c r="N837" s="144"/>
      <c r="O837" s="144"/>
      <c r="P837" s="144"/>
      <c r="Q837" s="144"/>
      <c r="R837" s="144"/>
      <c r="S837" s="144"/>
      <c r="T837" s="144"/>
      <c r="U837" s="144"/>
      <c r="V837" s="144"/>
      <c r="W837" s="144"/>
      <c r="X837" s="144"/>
      <c r="Y837" s="144"/>
      <c r="Z837" s="144"/>
    </row>
    <row r="838" spans="1:26" x14ac:dyDescent="0.3">
      <c r="A838" s="144"/>
      <c r="B838" s="144"/>
      <c r="C838" s="144"/>
      <c r="D838" s="144"/>
      <c r="E838" s="144"/>
      <c r="F838" s="52"/>
      <c r="G838" s="52"/>
      <c r="H838" s="52"/>
      <c r="I838" s="52"/>
      <c r="J838" s="52"/>
      <c r="K838" s="144"/>
      <c r="L838" s="144"/>
      <c r="M838" s="144"/>
      <c r="N838" s="144"/>
      <c r="O838" s="144"/>
      <c r="P838" s="144"/>
      <c r="Q838" s="144"/>
      <c r="R838" s="144"/>
      <c r="S838" s="144"/>
      <c r="T838" s="144"/>
      <c r="U838" s="144"/>
      <c r="V838" s="144"/>
      <c r="W838" s="144"/>
      <c r="X838" s="144"/>
      <c r="Y838" s="144"/>
      <c r="Z838" s="144"/>
    </row>
    <row r="839" spans="1:26" x14ac:dyDescent="0.3">
      <c r="A839" s="144"/>
      <c r="B839" s="144"/>
      <c r="C839" s="144"/>
      <c r="D839" s="144"/>
      <c r="E839" s="144"/>
      <c r="F839" s="52"/>
      <c r="G839" s="52"/>
      <c r="H839" s="52"/>
      <c r="I839" s="52"/>
      <c r="J839" s="52"/>
      <c r="K839" s="144"/>
      <c r="L839" s="144"/>
      <c r="M839" s="144"/>
      <c r="N839" s="144"/>
      <c r="O839" s="144"/>
      <c r="P839" s="144"/>
      <c r="Q839" s="144"/>
      <c r="R839" s="144"/>
      <c r="S839" s="144"/>
      <c r="T839" s="144"/>
      <c r="U839" s="144"/>
      <c r="V839" s="144"/>
      <c r="W839" s="144"/>
      <c r="X839" s="144"/>
      <c r="Y839" s="144"/>
      <c r="Z839" s="144"/>
    </row>
    <row r="840" spans="1:26" x14ac:dyDescent="0.3">
      <c r="A840" s="144"/>
      <c r="B840" s="144"/>
      <c r="C840" s="144"/>
      <c r="D840" s="144"/>
      <c r="E840" s="144"/>
      <c r="F840" s="52"/>
      <c r="G840" s="52"/>
      <c r="H840" s="52"/>
      <c r="I840" s="52"/>
      <c r="J840" s="52"/>
      <c r="K840" s="144"/>
      <c r="L840" s="144"/>
      <c r="M840" s="144"/>
      <c r="N840" s="144"/>
      <c r="O840" s="144"/>
      <c r="P840" s="144"/>
      <c r="Q840" s="144"/>
      <c r="R840" s="144"/>
      <c r="S840" s="144"/>
      <c r="T840" s="144"/>
      <c r="U840" s="144"/>
      <c r="V840" s="144"/>
      <c r="W840" s="144"/>
      <c r="X840" s="144"/>
      <c r="Y840" s="144"/>
      <c r="Z840" s="144"/>
    </row>
    <row r="841" spans="1:26" x14ac:dyDescent="0.3">
      <c r="A841" s="144"/>
      <c r="B841" s="144"/>
      <c r="C841" s="144"/>
      <c r="D841" s="144"/>
      <c r="E841" s="144"/>
      <c r="F841" s="52"/>
      <c r="G841" s="52"/>
      <c r="H841" s="52"/>
      <c r="I841" s="52"/>
      <c r="J841" s="52"/>
      <c r="K841" s="144"/>
      <c r="L841" s="144"/>
      <c r="M841" s="144"/>
      <c r="N841" s="144"/>
      <c r="O841" s="144"/>
      <c r="P841" s="144"/>
      <c r="Q841" s="144"/>
      <c r="R841" s="144"/>
      <c r="S841" s="144"/>
      <c r="T841" s="144"/>
      <c r="U841" s="144"/>
      <c r="V841" s="144"/>
      <c r="W841" s="144"/>
      <c r="X841" s="144"/>
      <c r="Y841" s="144"/>
      <c r="Z841" s="144"/>
    </row>
    <row r="842" spans="1:26" x14ac:dyDescent="0.3">
      <c r="A842" s="144"/>
      <c r="B842" s="144"/>
      <c r="C842" s="144"/>
      <c r="D842" s="144"/>
      <c r="E842" s="144"/>
      <c r="F842" s="52"/>
      <c r="G842" s="52"/>
      <c r="H842" s="52"/>
      <c r="I842" s="52"/>
      <c r="J842" s="52"/>
      <c r="K842" s="144"/>
      <c r="L842" s="144"/>
      <c r="M842" s="144"/>
      <c r="N842" s="144"/>
      <c r="O842" s="144"/>
      <c r="P842" s="144"/>
      <c r="Q842" s="144"/>
      <c r="R842" s="144"/>
      <c r="S842" s="144"/>
      <c r="T842" s="144"/>
      <c r="U842" s="144"/>
      <c r="V842" s="144"/>
      <c r="W842" s="144"/>
      <c r="X842" s="144"/>
      <c r="Y842" s="144"/>
      <c r="Z842" s="144"/>
    </row>
    <row r="843" spans="1:26" x14ac:dyDescent="0.3">
      <c r="A843" s="144"/>
      <c r="B843" s="144"/>
      <c r="C843" s="144"/>
      <c r="D843" s="144"/>
      <c r="E843" s="144"/>
      <c r="F843" s="52"/>
      <c r="G843" s="52"/>
      <c r="H843" s="52"/>
      <c r="I843" s="52"/>
      <c r="J843" s="52"/>
      <c r="K843" s="144"/>
      <c r="L843" s="144"/>
      <c r="M843" s="144"/>
      <c r="N843" s="144"/>
      <c r="O843" s="144"/>
      <c r="P843" s="144"/>
      <c r="Q843" s="144"/>
      <c r="R843" s="144"/>
      <c r="S843" s="144"/>
      <c r="T843" s="144"/>
      <c r="U843" s="144"/>
      <c r="V843" s="144"/>
      <c r="W843" s="144"/>
      <c r="X843" s="144"/>
      <c r="Y843" s="144"/>
      <c r="Z843" s="144"/>
    </row>
    <row r="844" spans="1:26" x14ac:dyDescent="0.3">
      <c r="A844" s="144"/>
      <c r="B844" s="144"/>
      <c r="C844" s="144"/>
      <c r="D844" s="144"/>
      <c r="E844" s="144"/>
      <c r="F844" s="52"/>
      <c r="G844" s="52"/>
      <c r="H844" s="52"/>
      <c r="I844" s="52"/>
      <c r="J844" s="52"/>
      <c r="K844" s="144"/>
      <c r="L844" s="144"/>
      <c r="M844" s="144"/>
      <c r="N844" s="144"/>
      <c r="O844" s="144"/>
      <c r="P844" s="144"/>
      <c r="Q844" s="144"/>
      <c r="R844" s="144"/>
      <c r="S844" s="144"/>
      <c r="T844" s="144"/>
      <c r="U844" s="144"/>
      <c r="V844" s="144"/>
      <c r="W844" s="144"/>
      <c r="X844" s="144"/>
      <c r="Y844" s="144"/>
      <c r="Z844" s="144"/>
    </row>
    <row r="845" spans="1:26" x14ac:dyDescent="0.3">
      <c r="A845" s="144"/>
      <c r="B845" s="144"/>
      <c r="C845" s="144"/>
      <c r="D845" s="144"/>
      <c r="E845" s="144"/>
      <c r="F845" s="52"/>
      <c r="G845" s="52"/>
      <c r="H845" s="52"/>
      <c r="I845" s="52"/>
      <c r="J845" s="52"/>
      <c r="K845" s="144"/>
      <c r="L845" s="144"/>
      <c r="M845" s="144"/>
      <c r="N845" s="144"/>
      <c r="O845" s="144"/>
      <c r="P845" s="144"/>
      <c r="Q845" s="144"/>
      <c r="R845" s="144"/>
      <c r="S845" s="144"/>
      <c r="T845" s="144"/>
      <c r="U845" s="144"/>
      <c r="V845" s="144"/>
      <c r="W845" s="144"/>
      <c r="X845" s="144"/>
      <c r="Y845" s="144"/>
      <c r="Z845" s="144"/>
    </row>
    <row r="846" spans="1:26" x14ac:dyDescent="0.3">
      <c r="A846" s="144"/>
      <c r="B846" s="144"/>
      <c r="C846" s="144"/>
      <c r="D846" s="144"/>
      <c r="E846" s="144"/>
      <c r="F846" s="52"/>
      <c r="G846" s="52"/>
      <c r="H846" s="52"/>
      <c r="I846" s="52"/>
      <c r="J846" s="52"/>
      <c r="K846" s="144"/>
      <c r="L846" s="144"/>
      <c r="M846" s="144"/>
      <c r="N846" s="144"/>
      <c r="O846" s="144"/>
      <c r="P846" s="144"/>
      <c r="Q846" s="144"/>
      <c r="R846" s="144"/>
      <c r="S846" s="144"/>
      <c r="T846" s="144"/>
      <c r="U846" s="144"/>
      <c r="V846" s="144"/>
      <c r="W846" s="144"/>
      <c r="X846" s="144"/>
      <c r="Y846" s="144"/>
      <c r="Z846" s="144"/>
    </row>
    <row r="847" spans="1:26" x14ac:dyDescent="0.3">
      <c r="A847" s="144"/>
      <c r="B847" s="144"/>
      <c r="C847" s="144"/>
      <c r="D847" s="144"/>
      <c r="E847" s="144"/>
      <c r="F847" s="52"/>
      <c r="G847" s="52"/>
      <c r="H847" s="52"/>
      <c r="I847" s="52"/>
      <c r="J847" s="52"/>
      <c r="K847" s="144"/>
      <c r="L847" s="144"/>
      <c r="M847" s="144"/>
      <c r="N847" s="144"/>
      <c r="O847" s="144"/>
      <c r="P847" s="144"/>
      <c r="Q847" s="144"/>
      <c r="R847" s="144"/>
      <c r="S847" s="144"/>
      <c r="T847" s="144"/>
      <c r="U847" s="144"/>
      <c r="V847" s="144"/>
      <c r="W847" s="144"/>
      <c r="X847" s="144"/>
      <c r="Y847" s="144"/>
      <c r="Z847" s="144"/>
    </row>
    <row r="848" spans="1:26" x14ac:dyDescent="0.3">
      <c r="A848" s="144"/>
      <c r="B848" s="144"/>
      <c r="C848" s="144"/>
      <c r="D848" s="144"/>
      <c r="E848" s="144"/>
      <c r="F848" s="52"/>
      <c r="G848" s="52"/>
      <c r="H848" s="52"/>
      <c r="I848" s="52"/>
      <c r="J848" s="52"/>
      <c r="K848" s="144"/>
      <c r="L848" s="144"/>
      <c r="M848" s="144"/>
      <c r="N848" s="144"/>
      <c r="O848" s="144"/>
      <c r="P848" s="144"/>
      <c r="Q848" s="144"/>
      <c r="R848" s="144"/>
      <c r="S848" s="144"/>
      <c r="T848" s="144"/>
      <c r="U848" s="144"/>
      <c r="V848" s="144"/>
      <c r="W848" s="144"/>
      <c r="X848" s="144"/>
      <c r="Y848" s="144"/>
      <c r="Z848" s="144"/>
    </row>
    <row r="849" spans="1:26" x14ac:dyDescent="0.3">
      <c r="A849" s="144"/>
      <c r="B849" s="144"/>
      <c r="C849" s="144"/>
      <c r="D849" s="144"/>
      <c r="E849" s="144"/>
      <c r="F849" s="52"/>
      <c r="G849" s="52"/>
      <c r="H849" s="52"/>
      <c r="I849" s="52"/>
      <c r="J849" s="52"/>
      <c r="K849" s="144"/>
      <c r="L849" s="144"/>
      <c r="M849" s="144"/>
      <c r="N849" s="144"/>
      <c r="O849" s="144"/>
      <c r="P849" s="144"/>
      <c r="Q849" s="144"/>
      <c r="R849" s="144"/>
      <c r="S849" s="144"/>
      <c r="T849" s="144"/>
      <c r="U849" s="144"/>
      <c r="V849" s="144"/>
      <c r="W849" s="144"/>
      <c r="X849" s="144"/>
      <c r="Y849" s="144"/>
      <c r="Z849" s="144"/>
    </row>
    <row r="850" spans="1:26" x14ac:dyDescent="0.3">
      <c r="A850" s="144"/>
      <c r="B850" s="144"/>
      <c r="C850" s="144"/>
      <c r="D850" s="144"/>
      <c r="E850" s="144"/>
      <c r="F850" s="52"/>
      <c r="G850" s="52"/>
      <c r="H850" s="52"/>
      <c r="I850" s="52"/>
      <c r="J850" s="52"/>
      <c r="K850" s="144"/>
      <c r="L850" s="144"/>
      <c r="M850" s="144"/>
      <c r="N850" s="144"/>
      <c r="O850" s="144"/>
      <c r="P850" s="144"/>
      <c r="Q850" s="144"/>
      <c r="R850" s="144"/>
      <c r="S850" s="144"/>
      <c r="T850" s="144"/>
      <c r="U850" s="144"/>
      <c r="V850" s="144"/>
      <c r="W850" s="144"/>
      <c r="X850" s="144"/>
      <c r="Y850" s="144"/>
      <c r="Z850" s="144"/>
    </row>
    <row r="851" spans="1:26" x14ac:dyDescent="0.3">
      <c r="A851" s="144"/>
      <c r="B851" s="144"/>
      <c r="C851" s="144"/>
      <c r="D851" s="144"/>
      <c r="E851" s="144"/>
      <c r="F851" s="52"/>
      <c r="G851" s="52"/>
      <c r="H851" s="52"/>
      <c r="I851" s="52"/>
      <c r="J851" s="52"/>
      <c r="K851" s="144"/>
      <c r="L851" s="144"/>
      <c r="M851" s="144"/>
      <c r="N851" s="144"/>
      <c r="O851" s="144"/>
      <c r="P851" s="144"/>
      <c r="Q851" s="144"/>
      <c r="R851" s="144"/>
      <c r="S851" s="144"/>
      <c r="T851" s="144"/>
      <c r="U851" s="144"/>
      <c r="V851" s="144"/>
      <c r="W851" s="144"/>
      <c r="X851" s="144"/>
      <c r="Y851" s="144"/>
      <c r="Z851" s="144"/>
    </row>
    <row r="852" spans="1:26" x14ac:dyDescent="0.3">
      <c r="A852" s="144"/>
      <c r="B852" s="144"/>
      <c r="C852" s="144"/>
      <c r="D852" s="144"/>
      <c r="E852" s="144"/>
      <c r="F852" s="52"/>
      <c r="G852" s="52"/>
      <c r="H852" s="52"/>
      <c r="I852" s="52"/>
      <c r="J852" s="52"/>
      <c r="K852" s="144"/>
      <c r="L852" s="144"/>
      <c r="M852" s="144"/>
      <c r="N852" s="144"/>
      <c r="O852" s="144"/>
      <c r="P852" s="144"/>
      <c r="Q852" s="144"/>
      <c r="R852" s="144"/>
      <c r="S852" s="144"/>
      <c r="T852" s="144"/>
      <c r="U852" s="144"/>
      <c r="V852" s="144"/>
      <c r="W852" s="144"/>
      <c r="X852" s="144"/>
      <c r="Y852" s="144"/>
      <c r="Z852" s="144"/>
    </row>
    <row r="853" spans="1:26" x14ac:dyDescent="0.3">
      <c r="A853" s="144"/>
      <c r="B853" s="144"/>
      <c r="C853" s="144"/>
      <c r="D853" s="144"/>
      <c r="E853" s="144"/>
      <c r="F853" s="52"/>
      <c r="G853" s="52"/>
      <c r="H853" s="52"/>
      <c r="I853" s="52"/>
      <c r="J853" s="52"/>
      <c r="K853" s="144"/>
      <c r="L853" s="144"/>
      <c r="M853" s="144"/>
      <c r="N853" s="144"/>
      <c r="O853" s="144"/>
      <c r="P853" s="144"/>
      <c r="Q853" s="144"/>
      <c r="R853" s="144"/>
      <c r="S853" s="144"/>
      <c r="T853" s="144"/>
      <c r="U853" s="144"/>
      <c r="V853" s="144"/>
      <c r="W853" s="144"/>
      <c r="X853" s="144"/>
      <c r="Y853" s="144"/>
      <c r="Z853" s="144"/>
    </row>
    <row r="854" spans="1:26" x14ac:dyDescent="0.3">
      <c r="A854" s="144"/>
      <c r="B854" s="144"/>
      <c r="C854" s="144"/>
      <c r="D854" s="144"/>
      <c r="E854" s="144"/>
      <c r="F854" s="52"/>
      <c r="G854" s="52"/>
      <c r="H854" s="52"/>
      <c r="I854" s="52"/>
      <c r="J854" s="52"/>
      <c r="K854" s="144"/>
      <c r="L854" s="144"/>
      <c r="M854" s="144"/>
      <c r="N854" s="144"/>
      <c r="O854" s="144"/>
      <c r="P854" s="144"/>
      <c r="Q854" s="144"/>
      <c r="R854" s="144"/>
      <c r="S854" s="144"/>
      <c r="T854" s="144"/>
      <c r="U854" s="144"/>
      <c r="V854" s="144"/>
      <c r="W854" s="144"/>
      <c r="X854" s="144"/>
      <c r="Y854" s="144"/>
      <c r="Z854" s="144"/>
    </row>
    <row r="855" spans="1:26" x14ac:dyDescent="0.3">
      <c r="A855" s="144"/>
      <c r="B855" s="144"/>
      <c r="C855" s="144"/>
      <c r="D855" s="144"/>
      <c r="E855" s="144"/>
      <c r="F855" s="52"/>
      <c r="G855" s="52"/>
      <c r="H855" s="52"/>
      <c r="I855" s="52"/>
      <c r="J855" s="52"/>
      <c r="K855" s="144"/>
      <c r="L855" s="144"/>
      <c r="M855" s="144"/>
      <c r="N855" s="144"/>
      <c r="O855" s="144"/>
      <c r="P855" s="144"/>
      <c r="Q855" s="144"/>
      <c r="R855" s="144"/>
      <c r="S855" s="144"/>
      <c r="T855" s="144"/>
      <c r="U855" s="144"/>
      <c r="V855" s="144"/>
      <c r="W855" s="144"/>
      <c r="X855" s="144"/>
      <c r="Y855" s="144"/>
      <c r="Z855" s="144"/>
    </row>
    <row r="856" spans="1:26" x14ac:dyDescent="0.3">
      <c r="A856" s="144"/>
      <c r="B856" s="144"/>
      <c r="C856" s="144"/>
      <c r="D856" s="144"/>
      <c r="E856" s="144"/>
      <c r="F856" s="52"/>
      <c r="G856" s="52"/>
      <c r="H856" s="52"/>
      <c r="I856" s="52"/>
      <c r="J856" s="52"/>
      <c r="K856" s="144"/>
      <c r="L856" s="144"/>
      <c r="M856" s="144"/>
      <c r="N856" s="144"/>
      <c r="O856" s="144"/>
      <c r="P856" s="144"/>
      <c r="Q856" s="144"/>
      <c r="R856" s="144"/>
      <c r="S856" s="144"/>
      <c r="T856" s="144"/>
      <c r="U856" s="144"/>
      <c r="V856" s="144"/>
      <c r="W856" s="144"/>
      <c r="X856" s="144"/>
      <c r="Y856" s="144"/>
      <c r="Z856" s="144"/>
    </row>
    <row r="857" spans="1:26" x14ac:dyDescent="0.3">
      <c r="A857" s="144"/>
      <c r="B857" s="144"/>
      <c r="C857" s="144"/>
      <c r="D857" s="144"/>
      <c r="E857" s="144"/>
      <c r="F857" s="52"/>
      <c r="G857" s="52"/>
      <c r="H857" s="52"/>
      <c r="I857" s="52"/>
      <c r="J857" s="52"/>
      <c r="K857" s="144"/>
      <c r="L857" s="144"/>
      <c r="M857" s="144"/>
      <c r="N857" s="144"/>
      <c r="O857" s="144"/>
      <c r="P857" s="144"/>
      <c r="Q857" s="144"/>
      <c r="R857" s="144"/>
      <c r="S857" s="144"/>
      <c r="T857" s="144"/>
      <c r="U857" s="144"/>
      <c r="V857" s="144"/>
      <c r="W857" s="144"/>
      <c r="X857" s="144"/>
      <c r="Y857" s="144"/>
      <c r="Z857" s="144"/>
    </row>
    <row r="858" spans="1:26" x14ac:dyDescent="0.3">
      <c r="A858" s="144"/>
      <c r="B858" s="144"/>
      <c r="C858" s="144"/>
      <c r="D858" s="144"/>
      <c r="E858" s="144"/>
      <c r="F858" s="52"/>
      <c r="G858" s="52"/>
      <c r="H858" s="52"/>
      <c r="I858" s="52"/>
      <c r="J858" s="52"/>
      <c r="K858" s="144"/>
      <c r="L858" s="144"/>
      <c r="M858" s="144"/>
      <c r="N858" s="144"/>
      <c r="O858" s="144"/>
      <c r="P858" s="144"/>
      <c r="Q858" s="144"/>
      <c r="R858" s="144"/>
      <c r="S858" s="144"/>
      <c r="T858" s="144"/>
      <c r="U858" s="144"/>
      <c r="V858" s="144"/>
      <c r="W858" s="144"/>
      <c r="X858" s="144"/>
      <c r="Y858" s="144"/>
      <c r="Z858" s="144"/>
    </row>
    <row r="859" spans="1:26" x14ac:dyDescent="0.3">
      <c r="A859" s="144"/>
      <c r="B859" s="144"/>
      <c r="C859" s="144"/>
      <c r="D859" s="144"/>
      <c r="E859" s="144"/>
      <c r="F859" s="52"/>
      <c r="G859" s="52"/>
      <c r="H859" s="52"/>
      <c r="I859" s="52"/>
      <c r="J859" s="52"/>
      <c r="K859" s="144"/>
      <c r="L859" s="144"/>
      <c r="M859" s="144"/>
      <c r="N859" s="144"/>
      <c r="O859" s="144"/>
      <c r="P859" s="144"/>
      <c r="Q859" s="144"/>
      <c r="R859" s="144"/>
      <c r="S859" s="144"/>
      <c r="T859" s="144"/>
      <c r="U859" s="144"/>
      <c r="V859" s="144"/>
      <c r="W859" s="144"/>
      <c r="X859" s="144"/>
      <c r="Y859" s="144"/>
      <c r="Z859" s="144"/>
    </row>
    <row r="860" spans="1:26" x14ac:dyDescent="0.3">
      <c r="A860" s="144"/>
      <c r="B860" s="144"/>
      <c r="C860" s="144"/>
      <c r="D860" s="144"/>
      <c r="E860" s="144"/>
      <c r="F860" s="52"/>
      <c r="G860" s="52"/>
      <c r="H860" s="52"/>
      <c r="I860" s="52"/>
      <c r="J860" s="52"/>
      <c r="K860" s="144"/>
      <c r="L860" s="144"/>
      <c r="M860" s="144"/>
      <c r="N860" s="144"/>
      <c r="O860" s="144"/>
      <c r="P860" s="144"/>
      <c r="Q860" s="144"/>
      <c r="R860" s="144"/>
      <c r="S860" s="144"/>
      <c r="T860" s="144"/>
      <c r="U860" s="144"/>
      <c r="V860" s="144"/>
      <c r="W860" s="144"/>
      <c r="X860" s="144"/>
      <c r="Y860" s="144"/>
      <c r="Z860" s="144"/>
    </row>
    <row r="861" spans="1:26" x14ac:dyDescent="0.3">
      <c r="A861" s="144"/>
      <c r="B861" s="144"/>
      <c r="C861" s="144"/>
      <c r="D861" s="144"/>
      <c r="E861" s="144"/>
      <c r="F861" s="52"/>
      <c r="G861" s="52"/>
      <c r="H861" s="52"/>
      <c r="I861" s="52"/>
      <c r="J861" s="52"/>
      <c r="K861" s="144"/>
      <c r="L861" s="144"/>
      <c r="M861" s="144"/>
      <c r="N861" s="144"/>
      <c r="O861" s="144"/>
      <c r="P861" s="144"/>
      <c r="Q861" s="144"/>
      <c r="R861" s="144"/>
      <c r="S861" s="144"/>
      <c r="T861" s="144"/>
      <c r="U861" s="144"/>
      <c r="V861" s="144"/>
      <c r="W861" s="144"/>
      <c r="X861" s="144"/>
      <c r="Y861" s="144"/>
      <c r="Z861" s="144"/>
    </row>
    <row r="862" spans="1:26" x14ac:dyDescent="0.3">
      <c r="A862" s="144"/>
      <c r="B862" s="144"/>
      <c r="C862" s="144"/>
      <c r="D862" s="144"/>
      <c r="E862" s="144"/>
      <c r="F862" s="52"/>
      <c r="G862" s="52"/>
      <c r="H862" s="52"/>
      <c r="I862" s="52"/>
      <c r="J862" s="52"/>
      <c r="K862" s="144"/>
      <c r="L862" s="144"/>
      <c r="M862" s="144"/>
      <c r="N862" s="144"/>
      <c r="O862" s="144"/>
      <c r="P862" s="144"/>
      <c r="Q862" s="144"/>
      <c r="R862" s="144"/>
      <c r="S862" s="144"/>
      <c r="T862" s="144"/>
      <c r="U862" s="144"/>
      <c r="V862" s="144"/>
      <c r="W862" s="144"/>
      <c r="X862" s="144"/>
      <c r="Y862" s="144"/>
      <c r="Z862" s="144"/>
    </row>
    <row r="863" spans="1:26" x14ac:dyDescent="0.3">
      <c r="A863" s="144"/>
      <c r="B863" s="144"/>
      <c r="C863" s="144"/>
      <c r="D863" s="144"/>
      <c r="E863" s="144"/>
      <c r="F863" s="52"/>
      <c r="G863" s="52"/>
      <c r="H863" s="52"/>
      <c r="I863" s="52"/>
      <c r="J863" s="52"/>
      <c r="K863" s="144"/>
      <c r="L863" s="144"/>
      <c r="M863" s="144"/>
      <c r="N863" s="144"/>
      <c r="O863" s="144"/>
      <c r="P863" s="144"/>
      <c r="Q863" s="144"/>
      <c r="R863" s="144"/>
      <c r="S863" s="144"/>
      <c r="T863" s="144"/>
      <c r="U863" s="144"/>
      <c r="V863" s="144"/>
      <c r="W863" s="144"/>
      <c r="X863" s="144"/>
      <c r="Y863" s="144"/>
      <c r="Z863" s="144"/>
    </row>
    <row r="864" spans="1:26" x14ac:dyDescent="0.3">
      <c r="A864" s="144"/>
      <c r="B864" s="144"/>
      <c r="C864" s="144"/>
      <c r="D864" s="144"/>
      <c r="E864" s="144"/>
      <c r="F864" s="52"/>
      <c r="G864" s="52"/>
      <c r="H864" s="52"/>
      <c r="I864" s="52"/>
      <c r="J864" s="52"/>
      <c r="K864" s="144"/>
      <c r="L864" s="144"/>
      <c r="M864" s="144"/>
      <c r="N864" s="144"/>
      <c r="O864" s="144"/>
      <c r="P864" s="144"/>
      <c r="Q864" s="144"/>
      <c r="R864" s="144"/>
      <c r="S864" s="144"/>
      <c r="T864" s="144"/>
      <c r="U864" s="144"/>
      <c r="V864" s="144"/>
      <c r="W864" s="144"/>
      <c r="X864" s="144"/>
      <c r="Y864" s="144"/>
      <c r="Z864" s="144"/>
    </row>
    <row r="865" spans="1:26" x14ac:dyDescent="0.3">
      <c r="A865" s="144"/>
      <c r="B865" s="144"/>
      <c r="C865" s="144"/>
      <c r="D865" s="144"/>
      <c r="E865" s="144"/>
      <c r="F865" s="52"/>
      <c r="G865" s="52"/>
      <c r="H865" s="52"/>
      <c r="I865" s="52"/>
      <c r="J865" s="52"/>
      <c r="K865" s="144"/>
      <c r="L865" s="144"/>
      <c r="M865" s="144"/>
      <c r="N865" s="144"/>
      <c r="O865" s="144"/>
      <c r="P865" s="144"/>
      <c r="Q865" s="144"/>
      <c r="R865" s="144"/>
      <c r="S865" s="144"/>
      <c r="T865" s="144"/>
      <c r="U865" s="144"/>
      <c r="V865" s="144"/>
      <c r="W865" s="144"/>
      <c r="X865" s="144"/>
      <c r="Y865" s="144"/>
      <c r="Z865" s="144"/>
    </row>
    <row r="866" spans="1:26" x14ac:dyDescent="0.3">
      <c r="A866" s="144"/>
      <c r="B866" s="144"/>
      <c r="C866" s="144"/>
      <c r="D866" s="144"/>
      <c r="E866" s="144"/>
      <c r="F866" s="52"/>
      <c r="G866" s="52"/>
      <c r="H866" s="52"/>
      <c r="I866" s="52"/>
      <c r="J866" s="52"/>
      <c r="K866" s="144"/>
      <c r="L866" s="144"/>
      <c r="M866" s="144"/>
      <c r="N866" s="144"/>
      <c r="O866" s="144"/>
      <c r="P866" s="144"/>
      <c r="Q866" s="144"/>
      <c r="R866" s="144"/>
      <c r="S866" s="144"/>
      <c r="T866" s="144"/>
      <c r="U866" s="144"/>
      <c r="V866" s="144"/>
      <c r="W866" s="144"/>
      <c r="X866" s="144"/>
      <c r="Y866" s="144"/>
      <c r="Z866" s="144"/>
    </row>
    <row r="867" spans="1:26" x14ac:dyDescent="0.3">
      <c r="A867" s="144"/>
      <c r="B867" s="144"/>
      <c r="C867" s="144"/>
      <c r="D867" s="144"/>
      <c r="E867" s="144"/>
      <c r="F867" s="52"/>
      <c r="G867" s="52"/>
      <c r="H867" s="52"/>
      <c r="I867" s="52"/>
      <c r="J867" s="52"/>
      <c r="K867" s="144"/>
      <c r="L867" s="144"/>
      <c r="M867" s="144"/>
      <c r="N867" s="144"/>
      <c r="O867" s="144"/>
      <c r="P867" s="144"/>
      <c r="Q867" s="144"/>
      <c r="R867" s="144"/>
      <c r="S867" s="144"/>
      <c r="T867" s="144"/>
      <c r="U867" s="144"/>
      <c r="V867" s="144"/>
      <c r="W867" s="144"/>
      <c r="X867" s="144"/>
      <c r="Y867" s="144"/>
      <c r="Z867" s="144"/>
    </row>
    <row r="868" spans="1:26" x14ac:dyDescent="0.3">
      <c r="A868" s="144"/>
      <c r="B868" s="144"/>
      <c r="C868" s="144"/>
      <c r="D868" s="144"/>
      <c r="E868" s="144"/>
      <c r="F868" s="52"/>
      <c r="G868" s="52"/>
      <c r="H868" s="52"/>
      <c r="I868" s="52"/>
      <c r="J868" s="52"/>
      <c r="K868" s="144"/>
      <c r="L868" s="144"/>
      <c r="M868" s="144"/>
      <c r="N868" s="144"/>
      <c r="O868" s="144"/>
      <c r="P868" s="144"/>
      <c r="Q868" s="144"/>
      <c r="R868" s="144"/>
      <c r="S868" s="144"/>
      <c r="T868" s="144"/>
      <c r="U868" s="144"/>
      <c r="V868" s="144"/>
      <c r="W868" s="144"/>
      <c r="X868" s="144"/>
      <c r="Y868" s="144"/>
      <c r="Z868" s="144"/>
    </row>
    <row r="869" spans="1:26" x14ac:dyDescent="0.3">
      <c r="A869" s="144"/>
      <c r="B869" s="144"/>
      <c r="C869" s="144"/>
      <c r="D869" s="144"/>
      <c r="E869" s="144"/>
      <c r="F869" s="52"/>
      <c r="G869" s="52"/>
      <c r="H869" s="52"/>
      <c r="I869" s="52"/>
      <c r="J869" s="52"/>
      <c r="K869" s="144"/>
      <c r="L869" s="144"/>
      <c r="M869" s="144"/>
      <c r="N869" s="144"/>
      <c r="O869" s="144"/>
      <c r="P869" s="144"/>
      <c r="Q869" s="144"/>
      <c r="R869" s="144"/>
      <c r="S869" s="144"/>
      <c r="T869" s="144"/>
      <c r="U869" s="144"/>
      <c r="V869" s="144"/>
      <c r="W869" s="144"/>
      <c r="X869" s="144"/>
      <c r="Y869" s="144"/>
      <c r="Z869" s="144"/>
    </row>
    <row r="870" spans="1:26" x14ac:dyDescent="0.3">
      <c r="A870" s="144"/>
      <c r="B870" s="144"/>
      <c r="C870" s="144"/>
      <c r="D870" s="144"/>
      <c r="E870" s="144"/>
      <c r="F870" s="52"/>
      <c r="G870" s="52"/>
      <c r="H870" s="52"/>
      <c r="I870" s="52"/>
      <c r="J870" s="52"/>
      <c r="K870" s="144"/>
      <c r="L870" s="144"/>
      <c r="M870" s="144"/>
      <c r="N870" s="144"/>
      <c r="O870" s="144"/>
      <c r="P870" s="144"/>
      <c r="Q870" s="144"/>
      <c r="R870" s="144"/>
      <c r="S870" s="144"/>
      <c r="T870" s="144"/>
      <c r="U870" s="144"/>
      <c r="V870" s="144"/>
      <c r="W870" s="144"/>
      <c r="X870" s="144"/>
      <c r="Y870" s="144"/>
      <c r="Z870" s="144"/>
    </row>
    <row r="871" spans="1:26" x14ac:dyDescent="0.3">
      <c r="A871" s="144"/>
      <c r="B871" s="144"/>
      <c r="C871" s="144"/>
      <c r="D871" s="144"/>
      <c r="E871" s="144"/>
      <c r="F871" s="52"/>
      <c r="G871" s="52"/>
      <c r="H871" s="52"/>
      <c r="I871" s="52"/>
      <c r="J871" s="52"/>
      <c r="K871" s="144"/>
      <c r="L871" s="144"/>
      <c r="M871" s="144"/>
      <c r="N871" s="144"/>
      <c r="O871" s="144"/>
      <c r="P871" s="144"/>
      <c r="Q871" s="144"/>
      <c r="R871" s="144"/>
      <c r="S871" s="144"/>
      <c r="T871" s="144"/>
      <c r="U871" s="144"/>
      <c r="V871" s="144"/>
      <c r="W871" s="144"/>
      <c r="X871" s="144"/>
      <c r="Y871" s="144"/>
      <c r="Z871" s="144"/>
    </row>
    <row r="872" spans="1:26" x14ac:dyDescent="0.3">
      <c r="A872" s="144"/>
      <c r="B872" s="144"/>
      <c r="C872" s="144"/>
      <c r="D872" s="144"/>
      <c r="E872" s="144"/>
      <c r="F872" s="52"/>
      <c r="G872" s="52"/>
      <c r="H872" s="52"/>
      <c r="I872" s="52"/>
      <c r="J872" s="52"/>
      <c r="K872" s="144"/>
      <c r="L872" s="144"/>
      <c r="M872" s="144"/>
      <c r="N872" s="144"/>
      <c r="O872" s="144"/>
      <c r="P872" s="144"/>
      <c r="Q872" s="144"/>
      <c r="R872" s="144"/>
      <c r="S872" s="144"/>
      <c r="T872" s="144"/>
      <c r="U872" s="144"/>
      <c r="V872" s="144"/>
      <c r="W872" s="144"/>
      <c r="X872" s="144"/>
      <c r="Y872" s="144"/>
      <c r="Z872" s="144"/>
    </row>
    <row r="873" spans="1:26" x14ac:dyDescent="0.3">
      <c r="A873" s="144"/>
      <c r="B873" s="144"/>
      <c r="C873" s="144"/>
      <c r="D873" s="144"/>
      <c r="E873" s="144"/>
      <c r="F873" s="52"/>
      <c r="G873" s="52"/>
      <c r="H873" s="52"/>
      <c r="I873" s="52"/>
      <c r="J873" s="52"/>
      <c r="K873" s="144"/>
      <c r="L873" s="144"/>
      <c r="M873" s="144"/>
      <c r="N873" s="144"/>
      <c r="O873" s="144"/>
      <c r="P873" s="144"/>
      <c r="Q873" s="144"/>
      <c r="R873" s="144"/>
      <c r="S873" s="144"/>
      <c r="T873" s="144"/>
      <c r="U873" s="144"/>
      <c r="V873" s="144"/>
      <c r="W873" s="144"/>
      <c r="X873" s="144"/>
      <c r="Y873" s="144"/>
      <c r="Z873" s="144"/>
    </row>
    <row r="874" spans="1:26" x14ac:dyDescent="0.3">
      <c r="A874" s="144"/>
      <c r="B874" s="144"/>
      <c r="C874" s="144"/>
      <c r="D874" s="144"/>
      <c r="E874" s="144"/>
      <c r="F874" s="52"/>
      <c r="G874" s="52"/>
      <c r="H874" s="52"/>
      <c r="I874" s="52"/>
      <c r="J874" s="52"/>
      <c r="K874" s="144"/>
      <c r="L874" s="144"/>
      <c r="M874" s="144"/>
      <c r="N874" s="144"/>
      <c r="O874" s="144"/>
      <c r="P874" s="144"/>
      <c r="Q874" s="144"/>
      <c r="R874" s="144"/>
      <c r="S874" s="144"/>
      <c r="T874" s="144"/>
      <c r="U874" s="144"/>
      <c r="V874" s="144"/>
      <c r="W874" s="144"/>
      <c r="X874" s="144"/>
      <c r="Y874" s="144"/>
      <c r="Z874" s="144"/>
    </row>
    <row r="875" spans="1:26" x14ac:dyDescent="0.3">
      <c r="A875" s="144"/>
      <c r="B875" s="144"/>
      <c r="C875" s="144"/>
      <c r="D875" s="144"/>
      <c r="E875" s="144"/>
      <c r="F875" s="52"/>
      <c r="G875" s="52"/>
      <c r="H875" s="52"/>
      <c r="I875" s="52"/>
      <c r="J875" s="52"/>
      <c r="K875" s="144"/>
      <c r="L875" s="144"/>
      <c r="M875" s="144"/>
      <c r="N875" s="144"/>
      <c r="O875" s="144"/>
      <c r="P875" s="144"/>
      <c r="Q875" s="144"/>
      <c r="R875" s="144"/>
      <c r="S875" s="144"/>
      <c r="T875" s="144"/>
      <c r="U875" s="144"/>
      <c r="V875" s="144"/>
      <c r="W875" s="144"/>
      <c r="X875" s="144"/>
      <c r="Y875" s="144"/>
      <c r="Z875" s="144"/>
    </row>
    <row r="876" spans="1:26" x14ac:dyDescent="0.3">
      <c r="A876" s="144"/>
      <c r="B876" s="144"/>
      <c r="C876" s="144"/>
      <c r="D876" s="144"/>
      <c r="E876" s="144"/>
      <c r="F876" s="52"/>
      <c r="G876" s="52"/>
      <c r="H876" s="52"/>
      <c r="I876" s="52"/>
      <c r="J876" s="52"/>
      <c r="K876" s="144"/>
      <c r="L876" s="144"/>
      <c r="M876" s="144"/>
      <c r="N876" s="144"/>
      <c r="O876" s="144"/>
      <c r="P876" s="144"/>
      <c r="Q876" s="144"/>
      <c r="R876" s="144"/>
      <c r="S876" s="144"/>
      <c r="T876" s="144"/>
      <c r="U876" s="144"/>
      <c r="V876" s="144"/>
      <c r="W876" s="144"/>
      <c r="X876" s="144"/>
      <c r="Y876" s="144"/>
      <c r="Z876" s="144"/>
    </row>
    <row r="877" spans="1:26" x14ac:dyDescent="0.3">
      <c r="A877" s="144"/>
      <c r="B877" s="144"/>
      <c r="C877" s="144"/>
      <c r="D877" s="144"/>
      <c r="E877" s="144"/>
      <c r="F877" s="52"/>
      <c r="G877" s="52"/>
      <c r="H877" s="52"/>
      <c r="I877" s="52"/>
      <c r="J877" s="52"/>
      <c r="K877" s="144"/>
      <c r="L877" s="144"/>
      <c r="M877" s="144"/>
      <c r="N877" s="144"/>
      <c r="O877" s="144"/>
      <c r="P877" s="144"/>
      <c r="Q877" s="144"/>
      <c r="R877" s="144"/>
      <c r="S877" s="144"/>
      <c r="T877" s="144"/>
      <c r="U877" s="144"/>
      <c r="V877" s="144"/>
      <c r="W877" s="144"/>
      <c r="X877" s="144"/>
      <c r="Y877" s="144"/>
      <c r="Z877" s="144"/>
    </row>
    <row r="878" spans="1:26" x14ac:dyDescent="0.3">
      <c r="A878" s="144"/>
      <c r="B878" s="144"/>
      <c r="C878" s="144"/>
      <c r="D878" s="144"/>
      <c r="E878" s="144"/>
      <c r="F878" s="52"/>
      <c r="G878" s="52"/>
      <c r="H878" s="52"/>
      <c r="I878" s="52"/>
      <c r="J878" s="52"/>
      <c r="K878" s="144"/>
      <c r="L878" s="144"/>
      <c r="M878" s="144"/>
      <c r="N878" s="144"/>
      <c r="O878" s="144"/>
      <c r="P878" s="144"/>
      <c r="Q878" s="144"/>
      <c r="R878" s="144"/>
      <c r="S878" s="144"/>
      <c r="T878" s="144"/>
      <c r="U878" s="144"/>
      <c r="V878" s="144"/>
      <c r="W878" s="144"/>
      <c r="X878" s="144"/>
      <c r="Y878" s="144"/>
      <c r="Z878" s="144"/>
    </row>
    <row r="879" spans="1:26" x14ac:dyDescent="0.3">
      <c r="A879" s="144"/>
      <c r="B879" s="144"/>
      <c r="C879" s="144"/>
      <c r="D879" s="144"/>
      <c r="E879" s="144"/>
      <c r="F879" s="52"/>
      <c r="G879" s="52"/>
      <c r="H879" s="52"/>
      <c r="I879" s="52"/>
      <c r="J879" s="52"/>
      <c r="K879" s="144"/>
      <c r="L879" s="144"/>
      <c r="M879" s="144"/>
      <c r="N879" s="144"/>
      <c r="O879" s="144"/>
      <c r="P879" s="144"/>
      <c r="Q879" s="144"/>
      <c r="R879" s="144"/>
      <c r="S879" s="144"/>
      <c r="T879" s="144"/>
      <c r="U879" s="144"/>
      <c r="V879" s="144"/>
      <c r="W879" s="144"/>
      <c r="X879" s="144"/>
      <c r="Y879" s="144"/>
      <c r="Z879" s="144"/>
    </row>
    <row r="880" spans="1:26" x14ac:dyDescent="0.3">
      <c r="A880" s="144"/>
      <c r="B880" s="144"/>
      <c r="C880" s="144"/>
      <c r="D880" s="144"/>
      <c r="E880" s="144"/>
      <c r="F880" s="52"/>
      <c r="G880" s="52"/>
      <c r="H880" s="52"/>
      <c r="I880" s="52"/>
      <c r="J880" s="52"/>
      <c r="K880" s="144"/>
      <c r="L880" s="144"/>
      <c r="M880" s="144"/>
      <c r="N880" s="144"/>
      <c r="O880" s="144"/>
      <c r="P880" s="144"/>
      <c r="Q880" s="144"/>
      <c r="R880" s="144"/>
      <c r="S880" s="144"/>
      <c r="T880" s="144"/>
      <c r="U880" s="144"/>
      <c r="V880" s="144"/>
      <c r="W880" s="144"/>
      <c r="X880" s="144"/>
      <c r="Y880" s="144"/>
      <c r="Z880" s="144"/>
    </row>
    <row r="881" spans="1:26" x14ac:dyDescent="0.3">
      <c r="A881" s="144"/>
      <c r="B881" s="144"/>
      <c r="C881" s="144"/>
      <c r="D881" s="144"/>
      <c r="E881" s="144"/>
      <c r="F881" s="52"/>
      <c r="G881" s="52"/>
      <c r="H881" s="52"/>
      <c r="I881" s="52"/>
      <c r="J881" s="52"/>
      <c r="K881" s="144"/>
      <c r="L881" s="144"/>
      <c r="M881" s="144"/>
      <c r="N881" s="144"/>
      <c r="O881" s="144"/>
      <c r="P881" s="144"/>
      <c r="Q881" s="144"/>
      <c r="R881" s="144"/>
      <c r="S881" s="144"/>
      <c r="T881" s="144"/>
      <c r="U881" s="144"/>
      <c r="V881" s="144"/>
      <c r="W881" s="144"/>
      <c r="X881" s="144"/>
      <c r="Y881" s="144"/>
      <c r="Z881" s="144"/>
    </row>
    <row r="882" spans="1:26" x14ac:dyDescent="0.3">
      <c r="A882" s="144"/>
      <c r="B882" s="144"/>
      <c r="C882" s="144"/>
      <c r="D882" s="144"/>
      <c r="E882" s="144"/>
      <c r="F882" s="52"/>
      <c r="G882" s="52"/>
      <c r="H882" s="52"/>
      <c r="I882" s="52"/>
      <c r="J882" s="52"/>
      <c r="K882" s="144"/>
      <c r="L882" s="144"/>
      <c r="M882" s="144"/>
      <c r="N882" s="144"/>
      <c r="O882" s="144"/>
      <c r="P882" s="144"/>
      <c r="Q882" s="144"/>
      <c r="R882" s="144"/>
      <c r="S882" s="144"/>
      <c r="T882" s="144"/>
      <c r="U882" s="144"/>
      <c r="V882" s="144"/>
      <c r="W882" s="144"/>
      <c r="X882" s="144"/>
      <c r="Y882" s="144"/>
      <c r="Z882" s="144"/>
    </row>
    <row r="883" spans="1:26" x14ac:dyDescent="0.3">
      <c r="A883" s="144"/>
      <c r="B883" s="144"/>
      <c r="C883" s="144"/>
      <c r="D883" s="144"/>
      <c r="E883" s="144"/>
      <c r="F883" s="52"/>
      <c r="G883" s="52"/>
      <c r="H883" s="52"/>
      <c r="I883" s="52"/>
      <c r="J883" s="52"/>
      <c r="K883" s="144"/>
      <c r="L883" s="144"/>
      <c r="M883" s="144"/>
      <c r="N883" s="144"/>
      <c r="O883" s="144"/>
      <c r="P883" s="144"/>
      <c r="Q883" s="144"/>
      <c r="R883" s="144"/>
      <c r="S883" s="144"/>
      <c r="T883" s="144"/>
      <c r="U883" s="144"/>
      <c r="V883" s="144"/>
      <c r="W883" s="144"/>
      <c r="X883" s="144"/>
      <c r="Y883" s="144"/>
      <c r="Z883" s="144"/>
    </row>
    <row r="884" spans="1:26" x14ac:dyDescent="0.3">
      <c r="A884" s="144"/>
      <c r="B884" s="144"/>
      <c r="C884" s="144"/>
      <c r="D884" s="144"/>
      <c r="E884" s="144"/>
      <c r="F884" s="52"/>
      <c r="G884" s="52"/>
      <c r="H884" s="52"/>
      <c r="I884" s="52"/>
      <c r="J884" s="52"/>
      <c r="K884" s="144"/>
      <c r="L884" s="144"/>
      <c r="M884" s="144"/>
      <c r="N884" s="144"/>
      <c r="O884" s="144"/>
      <c r="P884" s="144"/>
      <c r="Q884" s="144"/>
      <c r="R884" s="144"/>
      <c r="S884" s="144"/>
      <c r="T884" s="144"/>
      <c r="U884" s="144"/>
      <c r="V884" s="144"/>
      <c r="W884" s="144"/>
      <c r="X884" s="144"/>
      <c r="Y884" s="144"/>
      <c r="Z884" s="144"/>
    </row>
    <row r="885" spans="1:26" x14ac:dyDescent="0.3">
      <c r="A885" s="144"/>
      <c r="B885" s="144"/>
      <c r="C885" s="144"/>
      <c r="D885" s="144"/>
      <c r="E885" s="144"/>
      <c r="F885" s="52"/>
      <c r="G885" s="52"/>
      <c r="H885" s="52"/>
      <c r="I885" s="52"/>
      <c r="J885" s="52"/>
      <c r="K885" s="144"/>
      <c r="L885" s="144"/>
      <c r="M885" s="144"/>
      <c r="N885" s="144"/>
      <c r="O885" s="144"/>
      <c r="P885" s="144"/>
      <c r="Q885" s="144"/>
      <c r="R885" s="144"/>
      <c r="S885" s="144"/>
      <c r="T885" s="144"/>
      <c r="U885" s="144"/>
      <c r="V885" s="144"/>
      <c r="W885" s="144"/>
      <c r="X885" s="144"/>
      <c r="Y885" s="144"/>
      <c r="Z885" s="144"/>
    </row>
    <row r="886" spans="1:26" x14ac:dyDescent="0.3">
      <c r="A886" s="144"/>
      <c r="B886" s="144"/>
      <c r="C886" s="144"/>
      <c r="D886" s="144"/>
      <c r="E886" s="144"/>
      <c r="F886" s="52"/>
      <c r="G886" s="52"/>
      <c r="H886" s="52"/>
      <c r="I886" s="52"/>
      <c r="J886" s="52"/>
      <c r="K886" s="144"/>
      <c r="L886" s="144"/>
      <c r="M886" s="144"/>
      <c r="N886" s="144"/>
      <c r="O886" s="144"/>
      <c r="P886" s="144"/>
      <c r="Q886" s="144"/>
      <c r="R886" s="144"/>
      <c r="S886" s="144"/>
      <c r="T886" s="144"/>
      <c r="U886" s="144"/>
      <c r="V886" s="144"/>
      <c r="W886" s="144"/>
      <c r="X886" s="144"/>
      <c r="Y886" s="144"/>
      <c r="Z886" s="144"/>
    </row>
    <row r="887" spans="1:26" x14ac:dyDescent="0.3">
      <c r="A887" s="144"/>
      <c r="B887" s="144"/>
      <c r="C887" s="144"/>
      <c r="D887" s="144"/>
      <c r="E887" s="144"/>
      <c r="F887" s="52"/>
      <c r="G887" s="52"/>
      <c r="H887" s="52"/>
      <c r="I887" s="52"/>
      <c r="J887" s="52"/>
      <c r="K887" s="144"/>
      <c r="L887" s="144"/>
      <c r="M887" s="144"/>
      <c r="N887" s="144"/>
      <c r="O887" s="144"/>
      <c r="P887" s="144"/>
      <c r="Q887" s="144"/>
      <c r="R887" s="144"/>
      <c r="S887" s="144"/>
      <c r="T887" s="144"/>
      <c r="U887" s="144"/>
      <c r="V887" s="144"/>
      <c r="W887" s="144"/>
      <c r="X887" s="144"/>
      <c r="Y887" s="144"/>
      <c r="Z887" s="144"/>
    </row>
    <row r="888" spans="1:26" x14ac:dyDescent="0.3">
      <c r="A888" s="144"/>
      <c r="B888" s="144"/>
      <c r="C888" s="144"/>
      <c r="D888" s="144"/>
      <c r="E888" s="144"/>
      <c r="F888" s="52"/>
      <c r="G888" s="52"/>
      <c r="H888" s="52"/>
      <c r="I888" s="52"/>
      <c r="J888" s="52"/>
      <c r="K888" s="144"/>
      <c r="L888" s="144"/>
      <c r="M888" s="144"/>
      <c r="N888" s="144"/>
      <c r="O888" s="144"/>
      <c r="P888" s="144"/>
      <c r="Q888" s="144"/>
      <c r="R888" s="144"/>
      <c r="S888" s="144"/>
      <c r="T888" s="144"/>
      <c r="U888" s="144"/>
      <c r="V888" s="144"/>
      <c r="W888" s="144"/>
      <c r="X888" s="144"/>
      <c r="Y888" s="144"/>
      <c r="Z888" s="144"/>
    </row>
    <row r="889" spans="1:26" x14ac:dyDescent="0.3">
      <c r="A889" s="144"/>
      <c r="B889" s="144"/>
      <c r="C889" s="144"/>
      <c r="D889" s="144"/>
      <c r="E889" s="144"/>
      <c r="F889" s="52"/>
      <c r="G889" s="52"/>
      <c r="H889" s="52"/>
      <c r="I889" s="52"/>
      <c r="J889" s="52"/>
      <c r="K889" s="144"/>
      <c r="L889" s="144"/>
      <c r="M889" s="144"/>
      <c r="N889" s="144"/>
      <c r="O889" s="144"/>
      <c r="P889" s="144"/>
      <c r="Q889" s="144"/>
      <c r="R889" s="144"/>
      <c r="S889" s="144"/>
      <c r="T889" s="144"/>
      <c r="U889" s="144"/>
      <c r="V889" s="144"/>
      <c r="W889" s="144"/>
      <c r="X889" s="144"/>
      <c r="Y889" s="144"/>
      <c r="Z889" s="144"/>
    </row>
    <row r="890" spans="1:26" x14ac:dyDescent="0.3">
      <c r="A890" s="144"/>
      <c r="B890" s="144"/>
      <c r="C890" s="144"/>
      <c r="D890" s="144"/>
      <c r="E890" s="144"/>
      <c r="F890" s="52"/>
      <c r="G890" s="52"/>
      <c r="H890" s="52"/>
      <c r="I890" s="52"/>
      <c r="J890" s="52"/>
      <c r="K890" s="144"/>
      <c r="L890" s="144"/>
      <c r="M890" s="144"/>
      <c r="N890" s="144"/>
      <c r="O890" s="144"/>
      <c r="P890" s="144"/>
      <c r="Q890" s="144"/>
      <c r="R890" s="144"/>
      <c r="S890" s="144"/>
      <c r="T890" s="144"/>
      <c r="U890" s="144"/>
      <c r="V890" s="144"/>
      <c r="W890" s="144"/>
      <c r="X890" s="144"/>
      <c r="Y890" s="144"/>
      <c r="Z890" s="144"/>
    </row>
    <row r="891" spans="1:26" x14ac:dyDescent="0.3">
      <c r="A891" s="144"/>
      <c r="B891" s="144"/>
      <c r="C891" s="144"/>
      <c r="D891" s="144"/>
      <c r="E891" s="144"/>
      <c r="F891" s="52"/>
      <c r="G891" s="52"/>
      <c r="H891" s="52"/>
      <c r="I891" s="52"/>
      <c r="J891" s="52"/>
      <c r="K891" s="144"/>
      <c r="L891" s="144"/>
      <c r="M891" s="144"/>
      <c r="N891" s="144"/>
      <c r="O891" s="144"/>
      <c r="P891" s="144"/>
      <c r="Q891" s="144"/>
      <c r="R891" s="144"/>
      <c r="S891" s="144"/>
      <c r="T891" s="144"/>
      <c r="U891" s="144"/>
      <c r="V891" s="144"/>
      <c r="W891" s="144"/>
      <c r="X891" s="144"/>
      <c r="Y891" s="144"/>
      <c r="Z891" s="144"/>
    </row>
    <row r="892" spans="1:26" x14ac:dyDescent="0.3">
      <c r="A892" s="144"/>
      <c r="B892" s="144"/>
      <c r="C892" s="144"/>
      <c r="D892" s="144"/>
      <c r="E892" s="144"/>
      <c r="F892" s="52"/>
      <c r="G892" s="52"/>
      <c r="H892" s="52"/>
      <c r="I892" s="52"/>
      <c r="J892" s="52"/>
      <c r="K892" s="144"/>
      <c r="L892" s="144"/>
      <c r="M892" s="144"/>
      <c r="N892" s="144"/>
      <c r="O892" s="144"/>
      <c r="P892" s="144"/>
      <c r="Q892" s="144"/>
      <c r="R892" s="144"/>
      <c r="S892" s="144"/>
      <c r="T892" s="144"/>
      <c r="U892" s="144"/>
      <c r="V892" s="144"/>
      <c r="W892" s="144"/>
      <c r="X892" s="144"/>
      <c r="Y892" s="144"/>
      <c r="Z892" s="144"/>
    </row>
    <row r="893" spans="1:26" x14ac:dyDescent="0.3">
      <c r="A893" s="144"/>
      <c r="B893" s="144"/>
      <c r="C893" s="144"/>
      <c r="D893" s="144"/>
      <c r="E893" s="144"/>
      <c r="F893" s="52"/>
      <c r="G893" s="52"/>
      <c r="H893" s="52"/>
      <c r="I893" s="52"/>
      <c r="J893" s="52"/>
      <c r="K893" s="144"/>
      <c r="L893" s="144"/>
      <c r="M893" s="144"/>
      <c r="N893" s="144"/>
      <c r="O893" s="144"/>
      <c r="P893" s="144"/>
      <c r="Q893" s="144"/>
      <c r="R893" s="144"/>
      <c r="S893" s="144"/>
      <c r="T893" s="144"/>
      <c r="U893" s="144"/>
      <c r="V893" s="144"/>
      <c r="W893" s="144"/>
      <c r="X893" s="144"/>
      <c r="Y893" s="144"/>
      <c r="Z893" s="144"/>
    </row>
    <row r="894" spans="1:26" x14ac:dyDescent="0.3">
      <c r="A894" s="144"/>
      <c r="B894" s="144"/>
      <c r="C894" s="144"/>
      <c r="D894" s="144"/>
      <c r="E894" s="144"/>
      <c r="F894" s="52"/>
      <c r="G894" s="52"/>
      <c r="H894" s="52"/>
      <c r="I894" s="52"/>
      <c r="J894" s="52"/>
      <c r="K894" s="144"/>
      <c r="L894" s="144"/>
      <c r="M894" s="144"/>
      <c r="N894" s="144"/>
      <c r="O894" s="144"/>
      <c r="P894" s="144"/>
      <c r="Q894" s="144"/>
      <c r="R894" s="144"/>
      <c r="S894" s="144"/>
      <c r="T894" s="144"/>
      <c r="U894" s="144"/>
      <c r="V894" s="144"/>
      <c r="W894" s="144"/>
      <c r="X894" s="144"/>
      <c r="Y894" s="144"/>
      <c r="Z894" s="144"/>
    </row>
    <row r="895" spans="1:26" x14ac:dyDescent="0.3">
      <c r="A895" s="144"/>
      <c r="B895" s="144"/>
      <c r="C895" s="144"/>
      <c r="D895" s="144"/>
      <c r="E895" s="144"/>
      <c r="F895" s="52"/>
      <c r="G895" s="52"/>
      <c r="H895" s="52"/>
      <c r="I895" s="52"/>
      <c r="J895" s="52"/>
      <c r="K895" s="144"/>
      <c r="L895" s="144"/>
      <c r="M895" s="144"/>
      <c r="N895" s="144"/>
      <c r="O895" s="144"/>
      <c r="P895" s="144"/>
      <c r="Q895" s="144"/>
      <c r="R895" s="144"/>
      <c r="S895" s="144"/>
      <c r="T895" s="144"/>
      <c r="U895" s="144"/>
      <c r="V895" s="144"/>
      <c r="W895" s="144"/>
      <c r="X895" s="144"/>
      <c r="Y895" s="144"/>
      <c r="Z895" s="144"/>
    </row>
    <row r="896" spans="1:26" x14ac:dyDescent="0.3">
      <c r="A896" s="144"/>
      <c r="B896" s="144"/>
      <c r="C896" s="144"/>
      <c r="D896" s="144"/>
      <c r="E896" s="144"/>
      <c r="F896" s="52"/>
      <c r="G896" s="52"/>
      <c r="H896" s="52"/>
      <c r="I896" s="52"/>
      <c r="J896" s="52"/>
      <c r="K896" s="144"/>
      <c r="L896" s="144"/>
      <c r="M896" s="144"/>
      <c r="N896" s="144"/>
      <c r="O896" s="144"/>
      <c r="P896" s="144"/>
      <c r="Q896" s="144"/>
      <c r="R896" s="144"/>
      <c r="S896" s="144"/>
      <c r="T896" s="144"/>
      <c r="U896" s="144"/>
      <c r="V896" s="144"/>
      <c r="W896" s="144"/>
      <c r="X896" s="144"/>
      <c r="Y896" s="144"/>
      <c r="Z896" s="144"/>
    </row>
    <row r="897" spans="1:26" x14ac:dyDescent="0.3">
      <c r="A897" s="144"/>
      <c r="B897" s="144"/>
      <c r="C897" s="144"/>
      <c r="D897" s="144"/>
      <c r="E897" s="144"/>
      <c r="F897" s="52"/>
      <c r="G897" s="52"/>
      <c r="H897" s="52"/>
      <c r="I897" s="52"/>
      <c r="J897" s="52"/>
      <c r="K897" s="144"/>
      <c r="L897" s="144"/>
      <c r="M897" s="144"/>
      <c r="N897" s="144"/>
      <c r="O897" s="144"/>
      <c r="P897" s="144"/>
      <c r="Q897" s="144"/>
      <c r="R897" s="144"/>
      <c r="S897" s="144"/>
      <c r="T897" s="144"/>
      <c r="U897" s="144"/>
      <c r="V897" s="144"/>
      <c r="W897" s="144"/>
      <c r="X897" s="144"/>
      <c r="Y897" s="144"/>
      <c r="Z897" s="144"/>
    </row>
    <row r="898" spans="1:26" x14ac:dyDescent="0.3">
      <c r="A898" s="144"/>
      <c r="B898" s="144"/>
      <c r="C898" s="144"/>
      <c r="D898" s="144"/>
      <c r="E898" s="144"/>
      <c r="F898" s="52"/>
      <c r="G898" s="52"/>
      <c r="H898" s="52"/>
      <c r="I898" s="52"/>
      <c r="J898" s="52"/>
      <c r="K898" s="144"/>
      <c r="L898" s="144"/>
      <c r="M898" s="144"/>
      <c r="N898" s="144"/>
      <c r="O898" s="144"/>
      <c r="P898" s="144"/>
      <c r="Q898" s="144"/>
      <c r="R898" s="144"/>
      <c r="S898" s="144"/>
      <c r="T898" s="144"/>
      <c r="U898" s="144"/>
      <c r="V898" s="144"/>
      <c r="W898" s="144"/>
      <c r="X898" s="144"/>
      <c r="Y898" s="144"/>
      <c r="Z898" s="144"/>
    </row>
    <row r="899" spans="1:26" x14ac:dyDescent="0.3">
      <c r="A899" s="144"/>
      <c r="B899" s="144"/>
      <c r="C899" s="144"/>
      <c r="D899" s="144"/>
      <c r="E899" s="144"/>
      <c r="F899" s="52"/>
      <c r="G899" s="52"/>
      <c r="H899" s="52"/>
      <c r="I899" s="52"/>
      <c r="J899" s="52"/>
      <c r="K899" s="144"/>
      <c r="L899" s="144"/>
      <c r="M899" s="144"/>
      <c r="N899" s="144"/>
      <c r="O899" s="144"/>
      <c r="P899" s="144"/>
      <c r="Q899" s="144"/>
      <c r="R899" s="144"/>
      <c r="S899" s="144"/>
      <c r="T899" s="144"/>
      <c r="U899" s="144"/>
      <c r="V899" s="144"/>
      <c r="W899" s="144"/>
      <c r="X899" s="144"/>
      <c r="Y899" s="144"/>
      <c r="Z899" s="144"/>
    </row>
    <row r="900" spans="1:26" x14ac:dyDescent="0.3">
      <c r="A900" s="144"/>
      <c r="B900" s="144"/>
      <c r="C900" s="144"/>
      <c r="D900" s="144"/>
      <c r="E900" s="144"/>
      <c r="F900" s="52"/>
      <c r="G900" s="52"/>
      <c r="H900" s="52"/>
      <c r="I900" s="52"/>
      <c r="J900" s="52"/>
      <c r="K900" s="144"/>
      <c r="L900" s="144"/>
      <c r="M900" s="144"/>
      <c r="N900" s="144"/>
      <c r="O900" s="144"/>
      <c r="P900" s="144"/>
      <c r="Q900" s="144"/>
      <c r="R900" s="144"/>
      <c r="S900" s="144"/>
      <c r="T900" s="144"/>
      <c r="U900" s="144"/>
      <c r="V900" s="144"/>
      <c r="W900" s="144"/>
      <c r="X900" s="144"/>
      <c r="Y900" s="144"/>
      <c r="Z900" s="144"/>
    </row>
    <row r="901" spans="1:26" x14ac:dyDescent="0.3">
      <c r="A901" s="144"/>
      <c r="B901" s="144"/>
      <c r="C901" s="144"/>
      <c r="D901" s="144"/>
      <c r="E901" s="144"/>
      <c r="F901" s="52"/>
      <c r="G901" s="52"/>
      <c r="H901" s="52"/>
      <c r="I901" s="52"/>
      <c r="J901" s="52"/>
      <c r="K901" s="144"/>
      <c r="L901" s="144"/>
      <c r="M901" s="144"/>
      <c r="N901" s="144"/>
      <c r="O901" s="144"/>
      <c r="P901" s="144"/>
      <c r="Q901" s="144"/>
      <c r="R901" s="144"/>
      <c r="S901" s="144"/>
      <c r="T901" s="144"/>
      <c r="U901" s="144"/>
      <c r="V901" s="144"/>
      <c r="W901" s="144"/>
      <c r="X901" s="144"/>
      <c r="Y901" s="144"/>
      <c r="Z901" s="144"/>
    </row>
    <row r="902" spans="1:26" x14ac:dyDescent="0.3">
      <c r="A902" s="144"/>
      <c r="B902" s="144"/>
      <c r="C902" s="144"/>
      <c r="D902" s="144"/>
      <c r="E902" s="144"/>
      <c r="F902" s="52"/>
      <c r="G902" s="52"/>
      <c r="H902" s="52"/>
      <c r="I902" s="52"/>
      <c r="J902" s="52"/>
      <c r="K902" s="144"/>
      <c r="L902" s="144"/>
      <c r="M902" s="144"/>
      <c r="N902" s="144"/>
      <c r="O902" s="144"/>
      <c r="P902" s="144"/>
      <c r="Q902" s="144"/>
      <c r="R902" s="144"/>
      <c r="S902" s="144"/>
      <c r="T902" s="144"/>
      <c r="U902" s="144"/>
      <c r="V902" s="144"/>
      <c r="W902" s="144"/>
      <c r="X902" s="144"/>
      <c r="Y902" s="144"/>
      <c r="Z902" s="144"/>
    </row>
    <row r="903" spans="1:26" x14ac:dyDescent="0.3">
      <c r="A903" s="144"/>
      <c r="B903" s="144"/>
      <c r="C903" s="144"/>
      <c r="D903" s="144"/>
      <c r="E903" s="144"/>
      <c r="F903" s="52"/>
      <c r="G903" s="52"/>
      <c r="H903" s="52"/>
      <c r="I903" s="52"/>
      <c r="J903" s="52"/>
      <c r="K903" s="144"/>
      <c r="L903" s="144"/>
      <c r="M903" s="144"/>
      <c r="N903" s="144"/>
      <c r="O903" s="144"/>
      <c r="P903" s="144"/>
      <c r="Q903" s="144"/>
      <c r="R903" s="144"/>
      <c r="S903" s="144"/>
      <c r="T903" s="144"/>
      <c r="U903" s="144"/>
      <c r="V903" s="144"/>
      <c r="W903" s="144"/>
      <c r="X903" s="144"/>
      <c r="Y903" s="144"/>
      <c r="Z903" s="144"/>
    </row>
    <row r="904" spans="1:26" x14ac:dyDescent="0.3">
      <c r="A904" s="144"/>
      <c r="B904" s="144"/>
      <c r="C904" s="144"/>
      <c r="D904" s="144"/>
      <c r="E904" s="144"/>
      <c r="F904" s="52"/>
      <c r="G904" s="52"/>
      <c r="H904" s="52"/>
      <c r="I904" s="52"/>
      <c r="J904" s="52"/>
      <c r="K904" s="144"/>
      <c r="L904" s="144"/>
      <c r="M904" s="144"/>
      <c r="N904" s="144"/>
      <c r="O904" s="144"/>
      <c r="P904" s="144"/>
      <c r="Q904" s="144"/>
      <c r="R904" s="144"/>
      <c r="S904" s="144"/>
      <c r="T904" s="144"/>
      <c r="U904" s="144"/>
      <c r="V904" s="144"/>
      <c r="W904" s="144"/>
      <c r="X904" s="144"/>
      <c r="Y904" s="144"/>
      <c r="Z904" s="144"/>
    </row>
    <row r="905" spans="1:26" x14ac:dyDescent="0.3">
      <c r="A905" s="144"/>
      <c r="B905" s="144"/>
      <c r="C905" s="144"/>
      <c r="D905" s="144"/>
      <c r="E905" s="144"/>
      <c r="F905" s="52"/>
      <c r="G905" s="52"/>
      <c r="H905" s="52"/>
      <c r="I905" s="52"/>
      <c r="J905" s="52"/>
      <c r="K905" s="144"/>
      <c r="L905" s="144"/>
      <c r="M905" s="144"/>
      <c r="N905" s="144"/>
      <c r="O905" s="144"/>
      <c r="P905" s="144"/>
      <c r="Q905" s="144"/>
      <c r="R905" s="144"/>
      <c r="S905" s="144"/>
      <c r="T905" s="144"/>
      <c r="U905" s="144"/>
      <c r="V905" s="144"/>
      <c r="W905" s="144"/>
      <c r="X905" s="144"/>
      <c r="Y905" s="144"/>
      <c r="Z905" s="144"/>
    </row>
    <row r="906" spans="1:26" x14ac:dyDescent="0.3">
      <c r="A906" s="144"/>
      <c r="B906" s="144"/>
      <c r="C906" s="144"/>
      <c r="D906" s="144"/>
      <c r="E906" s="144"/>
      <c r="F906" s="52"/>
      <c r="G906" s="52"/>
      <c r="H906" s="52"/>
      <c r="I906" s="52"/>
      <c r="J906" s="52"/>
      <c r="K906" s="144"/>
      <c r="L906" s="144"/>
      <c r="M906" s="144"/>
      <c r="N906" s="144"/>
      <c r="O906" s="144"/>
      <c r="P906" s="144"/>
      <c r="Q906" s="144"/>
      <c r="R906" s="144"/>
      <c r="S906" s="144"/>
      <c r="T906" s="144"/>
      <c r="U906" s="144"/>
      <c r="V906" s="144"/>
      <c r="W906" s="144"/>
      <c r="X906" s="144"/>
      <c r="Y906" s="144"/>
      <c r="Z906" s="144"/>
    </row>
    <row r="907" spans="1:26" x14ac:dyDescent="0.3">
      <c r="A907" s="144"/>
      <c r="B907" s="144"/>
      <c r="C907" s="144"/>
      <c r="D907" s="144"/>
      <c r="E907" s="144"/>
      <c r="F907" s="52"/>
      <c r="G907" s="52"/>
      <c r="H907" s="52"/>
      <c r="I907" s="52"/>
      <c r="J907" s="52"/>
      <c r="K907" s="144"/>
      <c r="L907" s="144"/>
      <c r="M907" s="144"/>
      <c r="N907" s="144"/>
      <c r="O907" s="144"/>
      <c r="P907" s="144"/>
      <c r="Q907" s="144"/>
      <c r="R907" s="144"/>
      <c r="S907" s="144"/>
      <c r="T907" s="144"/>
      <c r="U907" s="144"/>
      <c r="V907" s="144"/>
      <c r="W907" s="144"/>
      <c r="X907" s="144"/>
      <c r="Y907" s="144"/>
      <c r="Z907" s="144"/>
    </row>
    <row r="908" spans="1:26" x14ac:dyDescent="0.3">
      <c r="A908" s="144"/>
      <c r="B908" s="144"/>
      <c r="C908" s="144"/>
      <c r="D908" s="144"/>
      <c r="E908" s="144"/>
      <c r="F908" s="52"/>
      <c r="G908" s="52"/>
      <c r="H908" s="52"/>
      <c r="I908" s="52"/>
      <c r="J908" s="52"/>
      <c r="K908" s="144"/>
      <c r="L908" s="144"/>
      <c r="M908" s="144"/>
      <c r="N908" s="144"/>
      <c r="O908" s="144"/>
      <c r="P908" s="144"/>
      <c r="Q908" s="144"/>
      <c r="R908" s="144"/>
      <c r="S908" s="144"/>
      <c r="T908" s="144"/>
      <c r="U908" s="144"/>
      <c r="V908" s="144"/>
      <c r="W908" s="144"/>
      <c r="X908" s="144"/>
      <c r="Y908" s="144"/>
      <c r="Z908" s="144"/>
    </row>
    <row r="909" spans="1:26" x14ac:dyDescent="0.3">
      <c r="A909" s="144"/>
      <c r="B909" s="144"/>
      <c r="C909" s="144"/>
      <c r="D909" s="144"/>
      <c r="E909" s="144"/>
      <c r="F909" s="52"/>
      <c r="G909" s="52"/>
      <c r="H909" s="52"/>
      <c r="I909" s="52"/>
      <c r="J909" s="52"/>
      <c r="K909" s="144"/>
      <c r="L909" s="144"/>
      <c r="M909" s="144"/>
      <c r="N909" s="144"/>
      <c r="O909" s="144"/>
      <c r="P909" s="144"/>
      <c r="Q909" s="144"/>
      <c r="R909" s="144"/>
      <c r="S909" s="144"/>
      <c r="T909" s="144"/>
      <c r="U909" s="144"/>
      <c r="V909" s="144"/>
      <c r="W909" s="144"/>
      <c r="X909" s="144"/>
      <c r="Y909" s="144"/>
      <c r="Z909" s="144"/>
    </row>
    <row r="910" spans="1:26" x14ac:dyDescent="0.3">
      <c r="A910" s="144"/>
      <c r="B910" s="144"/>
      <c r="C910" s="144"/>
      <c r="D910" s="144"/>
      <c r="E910" s="144"/>
      <c r="F910" s="52"/>
      <c r="G910" s="52"/>
      <c r="H910" s="52"/>
      <c r="I910" s="52"/>
      <c r="J910" s="52"/>
      <c r="K910" s="144"/>
      <c r="L910" s="144"/>
      <c r="M910" s="144"/>
      <c r="N910" s="144"/>
      <c r="O910" s="144"/>
      <c r="P910" s="144"/>
      <c r="Q910" s="144"/>
      <c r="R910" s="144"/>
      <c r="S910" s="144"/>
      <c r="T910" s="144"/>
      <c r="U910" s="144"/>
      <c r="V910" s="144"/>
      <c r="W910" s="144"/>
      <c r="X910" s="144"/>
      <c r="Y910" s="144"/>
      <c r="Z910" s="144"/>
    </row>
    <row r="911" spans="1:26" x14ac:dyDescent="0.3">
      <c r="A911" s="144"/>
      <c r="B911" s="144"/>
      <c r="C911" s="144"/>
      <c r="D911" s="144"/>
      <c r="E911" s="144"/>
      <c r="F911" s="52"/>
      <c r="G911" s="52"/>
      <c r="H911" s="52"/>
      <c r="I911" s="52"/>
      <c r="J911" s="52"/>
      <c r="K911" s="144"/>
      <c r="L911" s="144"/>
      <c r="M911" s="144"/>
      <c r="N911" s="144"/>
      <c r="O911" s="144"/>
      <c r="P911" s="144"/>
      <c r="Q911" s="144"/>
      <c r="R911" s="144"/>
      <c r="S911" s="144"/>
      <c r="T911" s="144"/>
      <c r="U911" s="144"/>
      <c r="V911" s="144"/>
      <c r="W911" s="144"/>
      <c r="X911" s="144"/>
      <c r="Y911" s="144"/>
      <c r="Z911" s="144"/>
    </row>
    <row r="912" spans="1:26" x14ac:dyDescent="0.3">
      <c r="A912" s="144"/>
      <c r="B912" s="144"/>
      <c r="C912" s="144"/>
      <c r="D912" s="144"/>
      <c r="E912" s="144"/>
      <c r="F912" s="52"/>
      <c r="G912" s="52"/>
      <c r="H912" s="52"/>
      <c r="I912" s="52"/>
      <c r="J912" s="52"/>
      <c r="K912" s="144"/>
      <c r="L912" s="144"/>
      <c r="M912" s="144"/>
      <c r="N912" s="144"/>
      <c r="O912" s="144"/>
      <c r="P912" s="144"/>
      <c r="Q912" s="144"/>
      <c r="R912" s="144"/>
      <c r="S912" s="144"/>
      <c r="T912" s="144"/>
      <c r="U912" s="144"/>
      <c r="V912" s="144"/>
      <c r="W912" s="144"/>
      <c r="X912" s="144"/>
      <c r="Y912" s="144"/>
      <c r="Z912" s="144"/>
    </row>
    <row r="913" spans="1:26" x14ac:dyDescent="0.3">
      <c r="A913" s="144"/>
      <c r="B913" s="144"/>
      <c r="C913" s="144"/>
      <c r="D913" s="144"/>
      <c r="E913" s="144"/>
      <c r="F913" s="52"/>
      <c r="G913" s="52"/>
      <c r="H913" s="52"/>
      <c r="I913" s="52"/>
      <c r="J913" s="52"/>
      <c r="K913" s="144"/>
      <c r="L913" s="144"/>
      <c r="M913" s="144"/>
      <c r="N913" s="144"/>
      <c r="O913" s="144"/>
      <c r="P913" s="144"/>
      <c r="Q913" s="144"/>
      <c r="R913" s="144"/>
      <c r="S913" s="144"/>
      <c r="T913" s="144"/>
      <c r="U913" s="144"/>
      <c r="V913" s="144"/>
      <c r="W913" s="144"/>
      <c r="X913" s="144"/>
      <c r="Y913" s="144"/>
      <c r="Z913" s="144"/>
    </row>
    <row r="914" spans="1:26" x14ac:dyDescent="0.3">
      <c r="A914" s="144"/>
      <c r="B914" s="144"/>
      <c r="C914" s="144"/>
      <c r="D914" s="144"/>
      <c r="E914" s="144"/>
      <c r="F914" s="52"/>
      <c r="G914" s="52"/>
      <c r="H914" s="52"/>
      <c r="I914" s="52"/>
      <c r="J914" s="52"/>
      <c r="K914" s="144"/>
      <c r="L914" s="144"/>
      <c r="M914" s="144"/>
      <c r="N914" s="144"/>
      <c r="O914" s="144"/>
      <c r="P914" s="144"/>
      <c r="Q914" s="144"/>
      <c r="R914" s="144"/>
      <c r="S914" s="144"/>
      <c r="T914" s="144"/>
      <c r="U914" s="144"/>
      <c r="V914" s="144"/>
      <c r="W914" s="144"/>
      <c r="X914" s="144"/>
      <c r="Y914" s="144"/>
      <c r="Z914" s="144"/>
    </row>
    <row r="915" spans="1:26" x14ac:dyDescent="0.3">
      <c r="A915" s="144"/>
      <c r="B915" s="144"/>
      <c r="C915" s="144"/>
      <c r="D915" s="144"/>
      <c r="E915" s="144"/>
      <c r="F915" s="52"/>
      <c r="G915" s="52"/>
      <c r="H915" s="52"/>
      <c r="I915" s="52"/>
      <c r="J915" s="52"/>
      <c r="K915" s="144"/>
      <c r="L915" s="144"/>
      <c r="M915" s="144"/>
      <c r="N915" s="144"/>
      <c r="O915" s="144"/>
      <c r="P915" s="144"/>
      <c r="Q915" s="144"/>
      <c r="R915" s="144"/>
      <c r="S915" s="144"/>
      <c r="T915" s="144"/>
      <c r="U915" s="144"/>
      <c r="V915" s="144"/>
      <c r="W915" s="144"/>
      <c r="X915" s="144"/>
      <c r="Y915" s="144"/>
      <c r="Z915" s="144"/>
    </row>
    <row r="916" spans="1:26" x14ac:dyDescent="0.3">
      <c r="A916" s="144"/>
      <c r="B916" s="144"/>
      <c r="C916" s="144"/>
      <c r="D916" s="144"/>
      <c r="E916" s="144"/>
      <c r="F916" s="52"/>
      <c r="G916" s="52"/>
      <c r="H916" s="52"/>
      <c r="I916" s="52"/>
      <c r="J916" s="52"/>
      <c r="K916" s="144"/>
      <c r="L916" s="144"/>
      <c r="M916" s="144"/>
      <c r="N916" s="144"/>
      <c r="O916" s="144"/>
      <c r="P916" s="144"/>
      <c r="Q916" s="144"/>
      <c r="R916" s="144"/>
      <c r="S916" s="144"/>
      <c r="T916" s="144"/>
      <c r="U916" s="144"/>
      <c r="V916" s="144"/>
      <c r="W916" s="144"/>
      <c r="X916" s="144"/>
      <c r="Y916" s="144"/>
      <c r="Z916" s="144"/>
    </row>
    <row r="917" spans="1:26" x14ac:dyDescent="0.3">
      <c r="A917" s="144"/>
      <c r="B917" s="144"/>
      <c r="C917" s="144"/>
      <c r="D917" s="144"/>
      <c r="E917" s="144"/>
      <c r="F917" s="52"/>
      <c r="G917" s="52"/>
      <c r="H917" s="52"/>
      <c r="I917" s="52"/>
      <c r="J917" s="52"/>
      <c r="K917" s="144"/>
      <c r="L917" s="144"/>
      <c r="M917" s="144"/>
      <c r="N917" s="144"/>
      <c r="O917" s="144"/>
      <c r="P917" s="144"/>
      <c r="Q917" s="144"/>
      <c r="R917" s="144"/>
      <c r="S917" s="144"/>
      <c r="T917" s="144"/>
      <c r="U917" s="144"/>
      <c r="V917" s="144"/>
      <c r="W917" s="144"/>
      <c r="X917" s="144"/>
      <c r="Y917" s="144"/>
      <c r="Z917" s="144"/>
    </row>
    <row r="918" spans="1:26" x14ac:dyDescent="0.3">
      <c r="A918" s="144"/>
      <c r="B918" s="144"/>
      <c r="C918" s="144"/>
      <c r="D918" s="144"/>
      <c r="E918" s="144"/>
      <c r="F918" s="52"/>
      <c r="G918" s="52"/>
      <c r="H918" s="52"/>
      <c r="I918" s="52"/>
      <c r="J918" s="52"/>
      <c r="K918" s="144"/>
      <c r="L918" s="144"/>
      <c r="M918" s="144"/>
      <c r="N918" s="144"/>
      <c r="O918" s="144"/>
      <c r="P918" s="144"/>
      <c r="Q918" s="144"/>
      <c r="R918" s="144"/>
      <c r="S918" s="144"/>
      <c r="T918" s="144"/>
      <c r="U918" s="144"/>
      <c r="V918" s="144"/>
      <c r="W918" s="144"/>
      <c r="X918" s="144"/>
      <c r="Y918" s="144"/>
      <c r="Z918" s="144"/>
    </row>
    <row r="919" spans="1:26" x14ac:dyDescent="0.3">
      <c r="A919" s="144"/>
      <c r="B919" s="144"/>
      <c r="C919" s="144"/>
      <c r="D919" s="144"/>
      <c r="E919" s="144"/>
      <c r="F919" s="52"/>
      <c r="G919" s="52"/>
      <c r="H919" s="52"/>
      <c r="I919" s="52"/>
      <c r="J919" s="52"/>
      <c r="K919" s="144"/>
      <c r="L919" s="144"/>
      <c r="M919" s="144"/>
      <c r="N919" s="144"/>
      <c r="O919" s="144"/>
      <c r="P919" s="144"/>
      <c r="Q919" s="144"/>
      <c r="R919" s="144"/>
      <c r="S919" s="144"/>
      <c r="T919" s="144"/>
      <c r="U919" s="144"/>
      <c r="V919" s="144"/>
      <c r="W919" s="144"/>
      <c r="X919" s="144"/>
      <c r="Y919" s="144"/>
      <c r="Z919" s="144"/>
    </row>
    <row r="920" spans="1:26" x14ac:dyDescent="0.3">
      <c r="A920" s="144"/>
      <c r="B920" s="144"/>
      <c r="C920" s="144"/>
      <c r="D920" s="144"/>
      <c r="E920" s="144"/>
      <c r="F920" s="52"/>
      <c r="G920" s="52"/>
      <c r="H920" s="52"/>
      <c r="I920" s="52"/>
      <c r="J920" s="52"/>
      <c r="K920" s="144"/>
      <c r="L920" s="144"/>
      <c r="M920" s="144"/>
      <c r="N920" s="144"/>
      <c r="O920" s="144"/>
      <c r="P920" s="144"/>
      <c r="Q920" s="144"/>
      <c r="R920" s="144"/>
      <c r="S920" s="144"/>
      <c r="T920" s="144"/>
      <c r="U920" s="144"/>
      <c r="V920" s="144"/>
      <c r="W920" s="144"/>
      <c r="X920" s="144"/>
      <c r="Y920" s="144"/>
      <c r="Z920" s="144"/>
    </row>
    <row r="921" spans="1:26" x14ac:dyDescent="0.3">
      <c r="A921" s="144"/>
      <c r="B921" s="144"/>
      <c r="C921" s="144"/>
      <c r="D921" s="144"/>
      <c r="E921" s="144"/>
      <c r="F921" s="52"/>
      <c r="G921" s="52"/>
      <c r="H921" s="52"/>
      <c r="I921" s="52"/>
      <c r="J921" s="52"/>
      <c r="K921" s="144"/>
      <c r="L921" s="144"/>
      <c r="M921" s="144"/>
      <c r="N921" s="144"/>
      <c r="O921" s="144"/>
      <c r="P921" s="144"/>
      <c r="Q921" s="144"/>
      <c r="R921" s="144"/>
      <c r="S921" s="144"/>
      <c r="T921" s="144"/>
      <c r="U921" s="144"/>
      <c r="V921" s="144"/>
      <c r="W921" s="144"/>
      <c r="X921" s="144"/>
      <c r="Y921" s="144"/>
      <c r="Z921" s="144"/>
    </row>
    <row r="922" spans="1:26" x14ac:dyDescent="0.3">
      <c r="A922" s="144"/>
      <c r="B922" s="144"/>
      <c r="C922" s="144"/>
      <c r="D922" s="144"/>
      <c r="E922" s="144"/>
      <c r="F922" s="52"/>
      <c r="G922" s="52"/>
      <c r="H922" s="52"/>
      <c r="I922" s="52"/>
      <c r="J922" s="52"/>
      <c r="K922" s="144"/>
      <c r="L922" s="144"/>
      <c r="M922" s="144"/>
      <c r="N922" s="144"/>
      <c r="O922" s="144"/>
      <c r="P922" s="144"/>
      <c r="Q922" s="144"/>
      <c r="R922" s="144"/>
      <c r="S922" s="144"/>
      <c r="T922" s="144"/>
      <c r="U922" s="144"/>
      <c r="V922" s="144"/>
      <c r="W922" s="144"/>
      <c r="X922" s="144"/>
      <c r="Y922" s="144"/>
      <c r="Z922" s="144"/>
    </row>
    <row r="923" spans="1:26" x14ac:dyDescent="0.3">
      <c r="A923" s="144"/>
      <c r="B923" s="144"/>
      <c r="C923" s="144"/>
      <c r="D923" s="144"/>
      <c r="E923" s="144"/>
      <c r="F923" s="52"/>
      <c r="G923" s="52"/>
      <c r="H923" s="52"/>
      <c r="I923" s="52"/>
      <c r="J923" s="52"/>
      <c r="K923" s="144"/>
      <c r="L923" s="144"/>
      <c r="M923" s="144"/>
      <c r="N923" s="144"/>
      <c r="O923" s="144"/>
      <c r="P923" s="144"/>
      <c r="Q923" s="144"/>
      <c r="R923" s="144"/>
      <c r="S923" s="144"/>
      <c r="T923" s="144"/>
      <c r="U923" s="144"/>
      <c r="V923" s="144"/>
      <c r="W923" s="144"/>
      <c r="X923" s="144"/>
      <c r="Y923" s="144"/>
      <c r="Z923" s="144"/>
    </row>
    <row r="924" spans="1:26" x14ac:dyDescent="0.3">
      <c r="A924" s="144"/>
      <c r="B924" s="144"/>
      <c r="C924" s="144"/>
      <c r="D924" s="144"/>
      <c r="E924" s="144"/>
      <c r="F924" s="52"/>
      <c r="G924" s="52"/>
      <c r="H924" s="52"/>
      <c r="I924" s="52"/>
      <c r="J924" s="52"/>
      <c r="K924" s="144"/>
      <c r="L924" s="144"/>
      <c r="M924" s="144"/>
      <c r="N924" s="144"/>
      <c r="O924" s="144"/>
      <c r="P924" s="144"/>
      <c r="Q924" s="144"/>
      <c r="R924" s="144"/>
      <c r="S924" s="144"/>
      <c r="T924" s="144"/>
      <c r="U924" s="144"/>
      <c r="V924" s="144"/>
      <c r="W924" s="144"/>
      <c r="X924" s="144"/>
      <c r="Y924" s="144"/>
      <c r="Z924" s="144"/>
    </row>
    <row r="925" spans="1:26" x14ac:dyDescent="0.3">
      <c r="A925" s="144"/>
      <c r="B925" s="144"/>
      <c r="C925" s="144"/>
      <c r="D925" s="144"/>
      <c r="E925" s="144"/>
      <c r="F925" s="52"/>
      <c r="G925" s="52"/>
      <c r="H925" s="52"/>
      <c r="I925" s="52"/>
      <c r="J925" s="52"/>
      <c r="K925" s="144"/>
      <c r="L925" s="144"/>
      <c r="M925" s="144"/>
      <c r="N925" s="144"/>
      <c r="O925" s="144"/>
      <c r="P925" s="144"/>
      <c r="Q925" s="144"/>
      <c r="R925" s="144"/>
      <c r="S925" s="144"/>
      <c r="T925" s="144"/>
      <c r="U925" s="144"/>
      <c r="V925" s="144"/>
      <c r="W925" s="144"/>
      <c r="X925" s="144"/>
      <c r="Y925" s="144"/>
      <c r="Z925" s="144"/>
    </row>
    <row r="926" spans="1:26" x14ac:dyDescent="0.3">
      <c r="A926" s="144"/>
      <c r="B926" s="144"/>
      <c r="C926" s="144"/>
      <c r="D926" s="144"/>
      <c r="E926" s="144"/>
      <c r="F926" s="52"/>
      <c r="G926" s="52"/>
      <c r="H926" s="52"/>
      <c r="I926" s="52"/>
      <c r="J926" s="52"/>
      <c r="K926" s="144"/>
      <c r="L926" s="144"/>
      <c r="M926" s="144"/>
      <c r="N926" s="144"/>
      <c r="O926" s="144"/>
      <c r="P926" s="144"/>
      <c r="Q926" s="144"/>
      <c r="R926" s="144"/>
      <c r="S926" s="144"/>
      <c r="T926" s="144"/>
      <c r="U926" s="144"/>
      <c r="V926" s="144"/>
      <c r="W926" s="144"/>
      <c r="X926" s="144"/>
      <c r="Y926" s="144"/>
      <c r="Z926" s="144"/>
    </row>
    <row r="927" spans="1:26" x14ac:dyDescent="0.3">
      <c r="A927" s="144"/>
      <c r="B927" s="144"/>
      <c r="C927" s="144"/>
      <c r="D927" s="144"/>
      <c r="E927" s="144"/>
      <c r="F927" s="52"/>
      <c r="G927" s="52"/>
      <c r="H927" s="52"/>
      <c r="I927" s="52"/>
      <c r="J927" s="52"/>
      <c r="K927" s="144"/>
      <c r="L927" s="144"/>
      <c r="M927" s="144"/>
      <c r="N927" s="144"/>
      <c r="O927" s="144"/>
      <c r="P927" s="144"/>
      <c r="Q927" s="144"/>
      <c r="R927" s="144"/>
      <c r="S927" s="144"/>
      <c r="T927" s="144"/>
      <c r="U927" s="144"/>
      <c r="V927" s="144"/>
      <c r="W927" s="144"/>
      <c r="X927" s="144"/>
      <c r="Y927" s="144"/>
      <c r="Z927" s="144"/>
    </row>
    <row r="928" spans="1:26" x14ac:dyDescent="0.3">
      <c r="A928" s="144"/>
      <c r="B928" s="144"/>
      <c r="C928" s="144"/>
      <c r="D928" s="144"/>
      <c r="E928" s="144"/>
      <c r="F928" s="52"/>
      <c r="G928" s="52"/>
      <c r="H928" s="52"/>
      <c r="I928" s="52"/>
      <c r="J928" s="52"/>
      <c r="K928" s="144"/>
      <c r="L928" s="144"/>
      <c r="M928" s="144"/>
      <c r="N928" s="144"/>
      <c r="O928" s="144"/>
      <c r="P928" s="144"/>
      <c r="Q928" s="144"/>
      <c r="R928" s="144"/>
      <c r="S928" s="144"/>
      <c r="T928" s="144"/>
      <c r="U928" s="144"/>
      <c r="V928" s="144"/>
      <c r="W928" s="144"/>
      <c r="X928" s="144"/>
      <c r="Y928" s="144"/>
      <c r="Z928" s="144"/>
    </row>
    <row r="929" spans="1:26" x14ac:dyDescent="0.3">
      <c r="A929" s="144"/>
      <c r="B929" s="144"/>
      <c r="C929" s="144"/>
      <c r="D929" s="144"/>
      <c r="E929" s="144"/>
      <c r="F929" s="52"/>
      <c r="G929" s="52"/>
      <c r="H929" s="52"/>
      <c r="I929" s="52"/>
      <c r="J929" s="52"/>
      <c r="K929" s="144"/>
      <c r="L929" s="144"/>
      <c r="M929" s="144"/>
      <c r="N929" s="144"/>
      <c r="O929" s="144"/>
      <c r="P929" s="144"/>
      <c r="Q929" s="144"/>
      <c r="R929" s="144"/>
      <c r="S929" s="144"/>
      <c r="T929" s="144"/>
      <c r="U929" s="144"/>
      <c r="V929" s="144"/>
      <c r="W929" s="144"/>
      <c r="X929" s="144"/>
      <c r="Y929" s="144"/>
      <c r="Z929" s="144"/>
    </row>
    <row r="930" spans="1:26" x14ac:dyDescent="0.3">
      <c r="A930" s="144"/>
      <c r="B930" s="144"/>
      <c r="C930" s="144"/>
      <c r="D930" s="144"/>
      <c r="E930" s="144"/>
      <c r="F930" s="52"/>
      <c r="G930" s="52"/>
      <c r="H930" s="52"/>
      <c r="I930" s="52"/>
      <c r="J930" s="52"/>
      <c r="K930" s="144"/>
      <c r="L930" s="144"/>
      <c r="M930" s="144"/>
      <c r="N930" s="144"/>
      <c r="O930" s="144"/>
      <c r="P930" s="144"/>
      <c r="Q930" s="144"/>
      <c r="R930" s="144"/>
      <c r="S930" s="144"/>
      <c r="T930" s="144"/>
      <c r="U930" s="144"/>
      <c r="V930" s="144"/>
      <c r="W930" s="144"/>
      <c r="X930" s="144"/>
      <c r="Y930" s="144"/>
      <c r="Z930" s="144"/>
    </row>
    <row r="931" spans="1:26" x14ac:dyDescent="0.3">
      <c r="A931" s="144"/>
      <c r="B931" s="144"/>
      <c r="C931" s="144"/>
      <c r="D931" s="144"/>
      <c r="E931" s="144"/>
      <c r="F931" s="52"/>
      <c r="G931" s="52"/>
      <c r="H931" s="52"/>
      <c r="I931" s="52"/>
      <c r="J931" s="52"/>
      <c r="K931" s="144"/>
      <c r="L931" s="144"/>
      <c r="M931" s="144"/>
      <c r="N931" s="144"/>
      <c r="O931" s="144"/>
      <c r="P931" s="144"/>
      <c r="Q931" s="144"/>
      <c r="R931" s="144"/>
      <c r="S931" s="144"/>
      <c r="T931" s="144"/>
      <c r="U931" s="144"/>
      <c r="V931" s="144"/>
      <c r="W931" s="144"/>
      <c r="X931" s="144"/>
      <c r="Y931" s="144"/>
      <c r="Z931" s="144"/>
    </row>
    <row r="932" spans="1:26" x14ac:dyDescent="0.3">
      <c r="A932" s="144"/>
      <c r="B932" s="144"/>
      <c r="C932" s="144"/>
      <c r="D932" s="144"/>
      <c r="E932" s="144"/>
      <c r="F932" s="52"/>
      <c r="G932" s="52"/>
      <c r="H932" s="52"/>
      <c r="I932" s="52"/>
      <c r="J932" s="52"/>
      <c r="K932" s="144"/>
      <c r="L932" s="144"/>
      <c r="M932" s="144"/>
      <c r="N932" s="144"/>
      <c r="O932" s="144"/>
      <c r="P932" s="144"/>
      <c r="Q932" s="144"/>
      <c r="R932" s="144"/>
      <c r="S932" s="144"/>
      <c r="T932" s="144"/>
      <c r="U932" s="144"/>
      <c r="V932" s="144"/>
      <c r="W932" s="144"/>
      <c r="X932" s="144"/>
      <c r="Y932" s="144"/>
      <c r="Z932" s="144"/>
    </row>
    <row r="933" spans="1:26" x14ac:dyDescent="0.3">
      <c r="A933" s="144"/>
      <c r="B933" s="144"/>
      <c r="C933" s="144"/>
      <c r="D933" s="144"/>
      <c r="E933" s="144"/>
      <c r="F933" s="52"/>
      <c r="G933" s="52"/>
      <c r="H933" s="52"/>
      <c r="I933" s="52"/>
      <c r="J933" s="52"/>
      <c r="K933" s="144"/>
      <c r="L933" s="144"/>
      <c r="M933" s="144"/>
      <c r="N933" s="144"/>
      <c r="O933" s="144"/>
      <c r="P933" s="144"/>
      <c r="Q933" s="144"/>
      <c r="R933" s="144"/>
      <c r="S933" s="144"/>
      <c r="T933" s="144"/>
      <c r="U933" s="144"/>
      <c r="V933" s="144"/>
      <c r="W933" s="144"/>
      <c r="X933" s="144"/>
      <c r="Y933" s="144"/>
      <c r="Z933" s="144"/>
    </row>
    <row r="934" spans="1:26" x14ac:dyDescent="0.3">
      <c r="A934" s="144"/>
      <c r="B934" s="144"/>
      <c r="C934" s="144"/>
      <c r="D934" s="144"/>
      <c r="E934" s="144"/>
      <c r="F934" s="52"/>
      <c r="G934" s="52"/>
      <c r="H934" s="52"/>
      <c r="I934" s="52"/>
      <c r="J934" s="52"/>
      <c r="K934" s="144"/>
      <c r="L934" s="144"/>
      <c r="M934" s="144"/>
      <c r="N934" s="144"/>
      <c r="O934" s="144"/>
      <c r="P934" s="144"/>
      <c r="Q934" s="144"/>
      <c r="R934" s="144"/>
      <c r="S934" s="144"/>
      <c r="T934" s="144"/>
      <c r="U934" s="144"/>
      <c r="V934" s="144"/>
      <c r="W934" s="144"/>
      <c r="X934" s="144"/>
      <c r="Y934" s="144"/>
      <c r="Z934" s="144"/>
    </row>
    <row r="935" spans="1:26" x14ac:dyDescent="0.3">
      <c r="A935" s="144"/>
      <c r="B935" s="144"/>
      <c r="C935" s="144"/>
      <c r="D935" s="144"/>
      <c r="E935" s="144"/>
      <c r="F935" s="52"/>
      <c r="G935" s="52"/>
      <c r="H935" s="52"/>
      <c r="I935" s="52"/>
      <c r="J935" s="52"/>
      <c r="K935" s="144"/>
      <c r="L935" s="144"/>
      <c r="M935" s="144"/>
      <c r="N935" s="144"/>
      <c r="O935" s="144"/>
      <c r="P935" s="144"/>
      <c r="Q935" s="144"/>
      <c r="R935" s="144"/>
      <c r="S935" s="144"/>
      <c r="T935" s="144"/>
      <c r="U935" s="144"/>
      <c r="V935" s="144"/>
      <c r="W935" s="144"/>
      <c r="X935" s="144"/>
      <c r="Y935" s="144"/>
      <c r="Z935" s="144"/>
    </row>
    <row r="936" spans="1:26" x14ac:dyDescent="0.3">
      <c r="A936" s="144"/>
      <c r="B936" s="144"/>
      <c r="C936" s="144"/>
      <c r="D936" s="144"/>
      <c r="E936" s="144"/>
      <c r="F936" s="52"/>
      <c r="G936" s="52"/>
      <c r="H936" s="52"/>
      <c r="I936" s="52"/>
      <c r="J936" s="52"/>
      <c r="K936" s="144"/>
      <c r="L936" s="144"/>
      <c r="M936" s="144"/>
      <c r="N936" s="144"/>
      <c r="O936" s="144"/>
      <c r="P936" s="144"/>
      <c r="Q936" s="144"/>
      <c r="R936" s="144"/>
      <c r="S936" s="144"/>
      <c r="T936" s="144"/>
      <c r="U936" s="144"/>
      <c r="V936" s="144"/>
      <c r="W936" s="144"/>
      <c r="X936" s="144"/>
      <c r="Y936" s="144"/>
      <c r="Z936" s="144"/>
    </row>
    <row r="937" spans="1:26" x14ac:dyDescent="0.3">
      <c r="A937" s="144"/>
      <c r="B937" s="144"/>
      <c r="C937" s="144"/>
      <c r="D937" s="144"/>
      <c r="E937" s="144"/>
      <c r="F937" s="52"/>
      <c r="G937" s="52"/>
      <c r="H937" s="52"/>
      <c r="I937" s="52"/>
      <c r="J937" s="52"/>
      <c r="K937" s="144"/>
      <c r="L937" s="144"/>
      <c r="M937" s="144"/>
      <c r="N937" s="144"/>
      <c r="O937" s="144"/>
      <c r="P937" s="144"/>
      <c r="Q937" s="144"/>
      <c r="R937" s="144"/>
      <c r="S937" s="144"/>
      <c r="T937" s="144"/>
      <c r="U937" s="144"/>
      <c r="V937" s="144"/>
      <c r="W937" s="144"/>
      <c r="X937" s="144"/>
      <c r="Y937" s="144"/>
      <c r="Z937" s="144"/>
    </row>
    <row r="938" spans="1:26" x14ac:dyDescent="0.3">
      <c r="A938" s="144"/>
      <c r="B938" s="144"/>
      <c r="C938" s="144"/>
      <c r="D938" s="144"/>
      <c r="E938" s="144"/>
      <c r="F938" s="52"/>
      <c r="G938" s="52"/>
      <c r="H938" s="52"/>
      <c r="I938" s="52"/>
      <c r="J938" s="52"/>
      <c r="K938" s="144"/>
      <c r="L938" s="144"/>
      <c r="M938" s="144"/>
      <c r="N938" s="144"/>
      <c r="O938" s="144"/>
      <c r="P938" s="144"/>
      <c r="Q938" s="144"/>
      <c r="R938" s="144"/>
      <c r="S938" s="144"/>
      <c r="T938" s="144"/>
      <c r="U938" s="144"/>
      <c r="V938" s="144"/>
      <c r="W938" s="144"/>
      <c r="X938" s="144"/>
      <c r="Y938" s="144"/>
      <c r="Z938" s="144"/>
    </row>
    <row r="939" spans="1:26" x14ac:dyDescent="0.3">
      <c r="A939" s="144"/>
      <c r="B939" s="144"/>
      <c r="C939" s="144"/>
      <c r="D939" s="144"/>
      <c r="E939" s="144"/>
      <c r="F939" s="52"/>
      <c r="G939" s="52"/>
      <c r="H939" s="52"/>
      <c r="I939" s="52"/>
      <c r="J939" s="52"/>
      <c r="K939" s="144"/>
      <c r="L939" s="144"/>
      <c r="M939" s="144"/>
      <c r="N939" s="144"/>
      <c r="O939" s="144"/>
      <c r="P939" s="144"/>
      <c r="Q939" s="144"/>
      <c r="R939" s="144"/>
      <c r="S939" s="144"/>
      <c r="T939" s="144"/>
      <c r="U939" s="144"/>
      <c r="V939" s="144"/>
      <c r="W939" s="144"/>
      <c r="X939" s="144"/>
      <c r="Y939" s="144"/>
      <c r="Z939" s="144"/>
    </row>
    <row r="940" spans="1:26" x14ac:dyDescent="0.3">
      <c r="A940" s="144"/>
      <c r="B940" s="144"/>
      <c r="C940" s="144"/>
      <c r="D940" s="144"/>
      <c r="E940" s="144"/>
      <c r="F940" s="52"/>
      <c r="G940" s="52"/>
      <c r="H940" s="52"/>
      <c r="I940" s="52"/>
      <c r="J940" s="52"/>
      <c r="K940" s="144"/>
      <c r="L940" s="144"/>
      <c r="M940" s="144"/>
      <c r="N940" s="144"/>
      <c r="O940" s="144"/>
      <c r="P940" s="144"/>
      <c r="Q940" s="144"/>
      <c r="R940" s="144"/>
      <c r="S940" s="144"/>
      <c r="T940" s="144"/>
      <c r="U940" s="144"/>
      <c r="V940" s="144"/>
      <c r="W940" s="144"/>
      <c r="X940" s="144"/>
      <c r="Y940" s="144"/>
      <c r="Z940" s="144"/>
    </row>
    <row r="941" spans="1:26" x14ac:dyDescent="0.3">
      <c r="A941" s="144"/>
      <c r="B941" s="144"/>
      <c r="C941" s="144"/>
      <c r="D941" s="144"/>
      <c r="E941" s="144"/>
      <c r="F941" s="52"/>
      <c r="G941" s="52"/>
      <c r="H941" s="52"/>
      <c r="I941" s="52"/>
      <c r="J941" s="52"/>
      <c r="K941" s="144"/>
      <c r="L941" s="144"/>
      <c r="M941" s="144"/>
      <c r="N941" s="144"/>
      <c r="O941" s="144"/>
      <c r="P941" s="144"/>
      <c r="Q941" s="144"/>
      <c r="R941" s="144"/>
      <c r="S941" s="144"/>
      <c r="T941" s="144"/>
      <c r="U941" s="144"/>
      <c r="V941" s="144"/>
      <c r="W941" s="144"/>
      <c r="X941" s="144"/>
      <c r="Y941" s="144"/>
      <c r="Z941" s="144"/>
    </row>
    <row r="942" spans="1:26" x14ac:dyDescent="0.3">
      <c r="A942" s="144"/>
      <c r="B942" s="144"/>
      <c r="C942" s="144"/>
      <c r="D942" s="144"/>
      <c r="E942" s="144"/>
      <c r="F942" s="52"/>
      <c r="G942" s="52"/>
      <c r="H942" s="52"/>
      <c r="I942" s="52"/>
      <c r="J942" s="52"/>
      <c r="K942" s="144"/>
      <c r="L942" s="144"/>
      <c r="M942" s="144"/>
      <c r="N942" s="144"/>
      <c r="O942" s="144"/>
      <c r="P942" s="144"/>
      <c r="Q942" s="144"/>
      <c r="R942" s="144"/>
      <c r="S942" s="144"/>
      <c r="T942" s="144"/>
      <c r="U942" s="144"/>
      <c r="V942" s="144"/>
      <c r="W942" s="144"/>
      <c r="X942" s="144"/>
      <c r="Y942" s="144"/>
      <c r="Z942" s="144"/>
    </row>
    <row r="943" spans="1:26" x14ac:dyDescent="0.3">
      <c r="A943" s="144"/>
      <c r="B943" s="144"/>
      <c r="C943" s="144"/>
      <c r="D943" s="144"/>
      <c r="E943" s="144"/>
      <c r="F943" s="52"/>
      <c r="G943" s="52"/>
      <c r="H943" s="52"/>
      <c r="I943" s="52"/>
      <c r="J943" s="52"/>
      <c r="K943" s="144"/>
      <c r="L943" s="144"/>
      <c r="M943" s="144"/>
      <c r="N943" s="144"/>
      <c r="O943" s="144"/>
      <c r="P943" s="144"/>
      <c r="Q943" s="144"/>
      <c r="R943" s="144"/>
      <c r="S943" s="144"/>
      <c r="T943" s="144"/>
      <c r="U943" s="144"/>
      <c r="V943" s="144"/>
      <c r="W943" s="144"/>
      <c r="X943" s="144"/>
      <c r="Y943" s="144"/>
      <c r="Z943" s="144"/>
    </row>
    <row r="944" spans="1:26" x14ac:dyDescent="0.3">
      <c r="A944" s="144"/>
      <c r="B944" s="144"/>
      <c r="C944" s="144"/>
      <c r="D944" s="144"/>
      <c r="E944" s="144"/>
      <c r="F944" s="52"/>
      <c r="G944" s="52"/>
      <c r="H944" s="52"/>
      <c r="I944" s="52"/>
      <c r="J944" s="52"/>
      <c r="K944" s="144"/>
      <c r="L944" s="144"/>
      <c r="M944" s="144"/>
      <c r="N944" s="144"/>
      <c r="O944" s="144"/>
      <c r="P944" s="144"/>
      <c r="Q944" s="144"/>
      <c r="R944" s="144"/>
      <c r="S944" s="144"/>
      <c r="T944" s="144"/>
      <c r="U944" s="144"/>
      <c r="V944" s="144"/>
      <c r="W944" s="144"/>
      <c r="X944" s="144"/>
      <c r="Y944" s="144"/>
      <c r="Z944" s="144"/>
    </row>
    <row r="945" spans="1:26" x14ac:dyDescent="0.3">
      <c r="A945" s="144"/>
      <c r="B945" s="144"/>
      <c r="C945" s="144"/>
      <c r="D945" s="144"/>
      <c r="E945" s="144"/>
      <c r="F945" s="52"/>
      <c r="G945" s="52"/>
      <c r="H945" s="52"/>
      <c r="I945" s="52"/>
      <c r="J945" s="52"/>
      <c r="K945" s="144"/>
      <c r="L945" s="144"/>
      <c r="M945" s="144"/>
      <c r="N945" s="144"/>
      <c r="O945" s="144"/>
      <c r="P945" s="144"/>
      <c r="Q945" s="144"/>
      <c r="R945" s="144"/>
      <c r="S945" s="144"/>
      <c r="T945" s="144"/>
      <c r="U945" s="144"/>
      <c r="V945" s="144"/>
      <c r="W945" s="144"/>
      <c r="X945" s="144"/>
      <c r="Y945" s="144"/>
      <c r="Z945" s="144"/>
    </row>
    <row r="946" spans="1:26" x14ac:dyDescent="0.3">
      <c r="A946" s="144"/>
      <c r="B946" s="144"/>
      <c r="C946" s="144"/>
      <c r="D946" s="144"/>
      <c r="E946" s="144"/>
      <c r="F946" s="52"/>
      <c r="G946" s="52"/>
      <c r="H946" s="52"/>
      <c r="I946" s="52"/>
      <c r="J946" s="52"/>
      <c r="K946" s="144"/>
      <c r="L946" s="144"/>
      <c r="M946" s="144"/>
      <c r="N946" s="144"/>
      <c r="O946" s="144"/>
      <c r="P946" s="144"/>
      <c r="Q946" s="144"/>
      <c r="R946" s="144"/>
      <c r="S946" s="144"/>
      <c r="T946" s="144"/>
      <c r="U946" s="144"/>
      <c r="V946" s="144"/>
      <c r="W946" s="144"/>
      <c r="X946" s="144"/>
      <c r="Y946" s="144"/>
      <c r="Z946" s="144"/>
    </row>
    <row r="947" spans="1:26" x14ac:dyDescent="0.3">
      <c r="A947" s="144"/>
      <c r="B947" s="144"/>
      <c r="C947" s="144"/>
      <c r="D947" s="144"/>
      <c r="E947" s="144"/>
      <c r="F947" s="52"/>
      <c r="G947" s="52"/>
      <c r="H947" s="52"/>
      <c r="I947" s="52"/>
      <c r="J947" s="52"/>
      <c r="K947" s="144"/>
      <c r="L947" s="144"/>
      <c r="M947" s="144"/>
      <c r="N947" s="144"/>
      <c r="O947" s="144"/>
      <c r="P947" s="144"/>
      <c r="Q947" s="144"/>
      <c r="R947" s="144"/>
      <c r="S947" s="144"/>
      <c r="T947" s="144"/>
      <c r="U947" s="144"/>
      <c r="V947" s="144"/>
      <c r="W947" s="144"/>
      <c r="X947" s="144"/>
      <c r="Y947" s="144"/>
      <c r="Z947" s="144"/>
    </row>
    <row r="948" spans="1:26" x14ac:dyDescent="0.3">
      <c r="A948" s="144"/>
      <c r="B948" s="144"/>
      <c r="C948" s="144"/>
      <c r="D948" s="144"/>
      <c r="E948" s="144"/>
      <c r="F948" s="52"/>
      <c r="G948" s="52"/>
      <c r="H948" s="52"/>
      <c r="I948" s="52"/>
      <c r="J948" s="52"/>
      <c r="K948" s="144"/>
      <c r="L948" s="144"/>
      <c r="M948" s="144"/>
      <c r="N948" s="144"/>
      <c r="O948" s="144"/>
      <c r="P948" s="144"/>
      <c r="Q948" s="144"/>
      <c r="R948" s="144"/>
      <c r="S948" s="144"/>
      <c r="T948" s="144"/>
      <c r="U948" s="144"/>
      <c r="V948" s="144"/>
      <c r="W948" s="144"/>
      <c r="X948" s="144"/>
      <c r="Y948" s="144"/>
      <c r="Z948" s="144"/>
    </row>
    <row r="949" spans="1:26" x14ac:dyDescent="0.3">
      <c r="A949" s="144"/>
      <c r="B949" s="144"/>
      <c r="C949" s="144"/>
      <c r="D949" s="144"/>
      <c r="E949" s="144"/>
      <c r="F949" s="52"/>
      <c r="G949" s="52"/>
      <c r="H949" s="52"/>
      <c r="I949" s="52"/>
      <c r="J949" s="52"/>
      <c r="K949" s="144"/>
      <c r="L949" s="144"/>
      <c r="M949" s="144"/>
      <c r="N949" s="144"/>
      <c r="O949" s="144"/>
      <c r="P949" s="144"/>
      <c r="Q949" s="144"/>
      <c r="R949" s="144"/>
      <c r="S949" s="144"/>
      <c r="T949" s="144"/>
      <c r="U949" s="144"/>
      <c r="V949" s="144"/>
      <c r="W949" s="144"/>
      <c r="X949" s="144"/>
      <c r="Y949" s="144"/>
      <c r="Z949" s="144"/>
    </row>
    <row r="950" spans="1:26" x14ac:dyDescent="0.3">
      <c r="A950" s="144"/>
      <c r="B950" s="144"/>
      <c r="C950" s="144"/>
      <c r="D950" s="144"/>
      <c r="E950" s="144"/>
      <c r="F950" s="52"/>
      <c r="G950" s="52"/>
      <c r="H950" s="52"/>
      <c r="I950" s="52"/>
      <c r="J950" s="52"/>
      <c r="K950" s="144"/>
      <c r="L950" s="144"/>
      <c r="M950" s="144"/>
      <c r="N950" s="144"/>
      <c r="O950" s="144"/>
      <c r="P950" s="144"/>
      <c r="Q950" s="144"/>
      <c r="R950" s="144"/>
      <c r="S950" s="144"/>
      <c r="T950" s="144"/>
      <c r="U950" s="144"/>
      <c r="V950" s="144"/>
      <c r="W950" s="144"/>
      <c r="X950" s="144"/>
      <c r="Y950" s="144"/>
      <c r="Z950" s="144"/>
    </row>
    <row r="951" spans="1:26" x14ac:dyDescent="0.3">
      <c r="A951" s="144"/>
      <c r="B951" s="144"/>
      <c r="C951" s="144"/>
      <c r="D951" s="144"/>
      <c r="E951" s="144"/>
      <c r="F951" s="52"/>
      <c r="G951" s="52"/>
      <c r="H951" s="52"/>
      <c r="I951" s="52"/>
      <c r="J951" s="52"/>
      <c r="K951" s="144"/>
      <c r="L951" s="144"/>
      <c r="M951" s="144"/>
      <c r="N951" s="144"/>
      <c r="O951" s="144"/>
      <c r="P951" s="144"/>
      <c r="Q951" s="144"/>
      <c r="R951" s="144"/>
      <c r="S951" s="144"/>
      <c r="T951" s="144"/>
      <c r="U951" s="144"/>
      <c r="V951" s="144"/>
      <c r="W951" s="144"/>
      <c r="X951" s="144"/>
      <c r="Y951" s="144"/>
      <c r="Z951" s="144"/>
    </row>
    <row r="952" spans="1:26" x14ac:dyDescent="0.3">
      <c r="A952" s="144"/>
      <c r="B952" s="144"/>
      <c r="C952" s="144"/>
      <c r="D952" s="144"/>
      <c r="E952" s="144"/>
      <c r="F952" s="52"/>
      <c r="G952" s="52"/>
      <c r="H952" s="52"/>
      <c r="I952" s="52"/>
      <c r="J952" s="52"/>
      <c r="K952" s="144"/>
      <c r="L952" s="144"/>
      <c r="M952" s="144"/>
      <c r="N952" s="144"/>
      <c r="O952" s="144"/>
      <c r="P952" s="144"/>
      <c r="Q952" s="144"/>
      <c r="R952" s="144"/>
      <c r="S952" s="144"/>
      <c r="T952" s="144"/>
      <c r="U952" s="144"/>
      <c r="V952" s="144"/>
      <c r="W952" s="144"/>
      <c r="X952" s="144"/>
      <c r="Y952" s="144"/>
      <c r="Z952" s="144"/>
    </row>
    <row r="953" spans="1:26" x14ac:dyDescent="0.3">
      <c r="A953" s="144"/>
      <c r="B953" s="144"/>
      <c r="C953" s="144"/>
      <c r="D953" s="144"/>
      <c r="E953" s="144"/>
      <c r="F953" s="52"/>
      <c r="G953" s="52"/>
      <c r="H953" s="52"/>
      <c r="I953" s="52"/>
      <c r="J953" s="52"/>
      <c r="K953" s="144"/>
      <c r="L953" s="144"/>
      <c r="M953" s="144"/>
      <c r="N953" s="144"/>
      <c r="O953" s="144"/>
      <c r="P953" s="144"/>
      <c r="Q953" s="144"/>
      <c r="R953" s="144"/>
      <c r="S953" s="144"/>
      <c r="T953" s="144"/>
      <c r="U953" s="144"/>
      <c r="V953" s="144"/>
      <c r="W953" s="144"/>
      <c r="X953" s="144"/>
      <c r="Y953" s="144"/>
      <c r="Z953" s="144"/>
    </row>
    <row r="954" spans="1:26" x14ac:dyDescent="0.3">
      <c r="A954" s="144"/>
      <c r="B954" s="144"/>
      <c r="C954" s="144"/>
      <c r="D954" s="144"/>
      <c r="E954" s="144"/>
      <c r="F954" s="52"/>
      <c r="G954" s="52"/>
      <c r="H954" s="52"/>
      <c r="I954" s="52"/>
      <c r="J954" s="52"/>
      <c r="K954" s="144"/>
      <c r="L954" s="144"/>
      <c r="M954" s="144"/>
      <c r="N954" s="144"/>
      <c r="O954" s="144"/>
      <c r="P954" s="144"/>
      <c r="Q954" s="144"/>
      <c r="R954" s="144"/>
      <c r="S954" s="144"/>
      <c r="T954" s="144"/>
      <c r="U954" s="144"/>
      <c r="V954" s="144"/>
      <c r="W954" s="144"/>
      <c r="X954" s="144"/>
      <c r="Y954" s="144"/>
      <c r="Z954" s="144"/>
    </row>
    <row r="955" spans="1:26" x14ac:dyDescent="0.3">
      <c r="A955" s="144"/>
      <c r="B955" s="144"/>
      <c r="C955" s="144"/>
      <c r="D955" s="144"/>
      <c r="E955" s="144"/>
      <c r="F955" s="52"/>
      <c r="G955" s="52"/>
      <c r="H955" s="52"/>
      <c r="I955" s="52"/>
      <c r="J955" s="52"/>
      <c r="K955" s="144"/>
      <c r="L955" s="144"/>
      <c r="M955" s="144"/>
      <c r="N955" s="144"/>
      <c r="O955" s="144"/>
      <c r="P955" s="144"/>
      <c r="Q955" s="144"/>
      <c r="R955" s="144"/>
      <c r="S955" s="144"/>
      <c r="T955" s="144"/>
      <c r="U955" s="144"/>
      <c r="V955" s="144"/>
      <c r="W955" s="144"/>
      <c r="X955" s="144"/>
      <c r="Y955" s="144"/>
      <c r="Z955" s="144"/>
    </row>
    <row r="956" spans="1:26" x14ac:dyDescent="0.3">
      <c r="A956" s="144"/>
      <c r="B956" s="144"/>
      <c r="C956" s="144"/>
      <c r="D956" s="144"/>
      <c r="E956" s="144"/>
      <c r="F956" s="52"/>
      <c r="G956" s="52"/>
      <c r="H956" s="52"/>
      <c r="I956" s="52"/>
      <c r="J956" s="52"/>
      <c r="K956" s="144"/>
      <c r="L956" s="144"/>
      <c r="M956" s="144"/>
      <c r="N956" s="144"/>
      <c r="O956" s="144"/>
      <c r="P956" s="144"/>
      <c r="Q956" s="144"/>
      <c r="R956" s="144"/>
      <c r="S956" s="144"/>
      <c r="T956" s="144"/>
      <c r="U956" s="144"/>
      <c r="V956" s="144"/>
      <c r="W956" s="144"/>
      <c r="X956" s="144"/>
      <c r="Y956" s="144"/>
      <c r="Z956" s="144"/>
    </row>
    <row r="957" spans="1:26" x14ac:dyDescent="0.3">
      <c r="A957" s="144"/>
      <c r="B957" s="144"/>
      <c r="C957" s="144"/>
      <c r="D957" s="144"/>
      <c r="E957" s="144"/>
      <c r="F957" s="52"/>
      <c r="G957" s="52"/>
      <c r="H957" s="52"/>
      <c r="I957" s="52"/>
      <c r="J957" s="52"/>
      <c r="K957" s="144"/>
      <c r="L957" s="144"/>
      <c r="M957" s="144"/>
      <c r="N957" s="144"/>
      <c r="O957" s="144"/>
      <c r="P957" s="144"/>
      <c r="Q957" s="144"/>
      <c r="R957" s="144"/>
      <c r="S957" s="144"/>
      <c r="T957" s="144"/>
      <c r="U957" s="144"/>
      <c r="V957" s="144"/>
      <c r="W957" s="144"/>
      <c r="X957" s="144"/>
      <c r="Y957" s="144"/>
      <c r="Z957" s="144"/>
    </row>
    <row r="958" spans="1:26" x14ac:dyDescent="0.3">
      <c r="A958" s="144"/>
      <c r="B958" s="144"/>
      <c r="C958" s="144"/>
      <c r="D958" s="144"/>
      <c r="E958" s="144"/>
      <c r="F958" s="52"/>
      <c r="G958" s="52"/>
      <c r="H958" s="52"/>
      <c r="I958" s="52"/>
      <c r="J958" s="52"/>
      <c r="K958" s="144"/>
      <c r="L958" s="144"/>
      <c r="M958" s="144"/>
      <c r="N958" s="144"/>
      <c r="O958" s="144"/>
      <c r="P958" s="144"/>
      <c r="Q958" s="144"/>
      <c r="R958" s="144"/>
      <c r="S958" s="144"/>
      <c r="T958" s="144"/>
      <c r="U958" s="144"/>
      <c r="V958" s="144"/>
      <c r="W958" s="144"/>
      <c r="X958" s="144"/>
      <c r="Y958" s="144"/>
      <c r="Z958" s="144"/>
    </row>
    <row r="959" spans="1:26" x14ac:dyDescent="0.3">
      <c r="A959" s="144"/>
      <c r="B959" s="144"/>
      <c r="C959" s="144"/>
      <c r="D959" s="144"/>
      <c r="E959" s="144"/>
      <c r="F959" s="52"/>
      <c r="G959" s="52"/>
      <c r="H959" s="52"/>
      <c r="I959" s="52"/>
      <c r="J959" s="52"/>
      <c r="K959" s="144"/>
      <c r="L959" s="144"/>
      <c r="M959" s="144"/>
      <c r="N959" s="144"/>
      <c r="O959" s="144"/>
      <c r="P959" s="144"/>
      <c r="Q959" s="144"/>
      <c r="R959" s="144"/>
      <c r="S959" s="144"/>
      <c r="T959" s="144"/>
      <c r="U959" s="144"/>
      <c r="V959" s="144"/>
      <c r="W959" s="144"/>
      <c r="X959" s="144"/>
      <c r="Y959" s="144"/>
      <c r="Z959" s="144"/>
    </row>
    <row r="960" spans="1:26" x14ac:dyDescent="0.3">
      <c r="A960" s="144"/>
      <c r="B960" s="144"/>
      <c r="C960" s="144"/>
      <c r="D960" s="144"/>
      <c r="E960" s="144"/>
      <c r="F960" s="52"/>
      <c r="G960" s="52"/>
      <c r="H960" s="52"/>
      <c r="I960" s="52"/>
      <c r="J960" s="52"/>
      <c r="K960" s="144"/>
      <c r="L960" s="144"/>
      <c r="M960" s="144"/>
      <c r="N960" s="144"/>
      <c r="O960" s="144"/>
      <c r="P960" s="144"/>
      <c r="Q960" s="144"/>
      <c r="R960" s="144"/>
      <c r="S960" s="144"/>
      <c r="T960" s="144"/>
      <c r="U960" s="144"/>
      <c r="V960" s="144"/>
      <c r="W960" s="144"/>
      <c r="X960" s="144"/>
      <c r="Y960" s="144"/>
      <c r="Z960" s="144"/>
    </row>
    <row r="961" spans="1:26" x14ac:dyDescent="0.3">
      <c r="A961" s="144"/>
      <c r="B961" s="144"/>
      <c r="C961" s="144"/>
      <c r="D961" s="144"/>
      <c r="E961" s="144"/>
      <c r="F961" s="52"/>
      <c r="G961" s="52"/>
      <c r="H961" s="52"/>
      <c r="I961" s="52"/>
      <c r="J961" s="52"/>
      <c r="K961" s="144"/>
      <c r="L961" s="144"/>
      <c r="M961" s="144"/>
      <c r="N961" s="144"/>
      <c r="O961" s="144"/>
      <c r="P961" s="144"/>
      <c r="Q961" s="144"/>
      <c r="R961" s="144"/>
      <c r="S961" s="144"/>
      <c r="T961" s="144"/>
      <c r="U961" s="144"/>
      <c r="V961" s="144"/>
      <c r="W961" s="144"/>
      <c r="X961" s="144"/>
      <c r="Y961" s="144"/>
      <c r="Z961" s="144"/>
    </row>
    <row r="962" spans="1:26" x14ac:dyDescent="0.3">
      <c r="A962" s="144"/>
      <c r="B962" s="144"/>
      <c r="C962" s="144"/>
      <c r="D962" s="144"/>
      <c r="E962" s="144"/>
      <c r="F962" s="52"/>
      <c r="G962" s="52"/>
      <c r="H962" s="52"/>
      <c r="I962" s="52"/>
      <c r="J962" s="52"/>
      <c r="K962" s="144"/>
      <c r="L962" s="144"/>
      <c r="M962" s="144"/>
      <c r="N962" s="144"/>
      <c r="O962" s="144"/>
      <c r="P962" s="144"/>
      <c r="Q962" s="144"/>
      <c r="R962" s="144"/>
      <c r="S962" s="144"/>
      <c r="T962" s="144"/>
      <c r="U962" s="144"/>
      <c r="V962" s="144"/>
      <c r="W962" s="144"/>
      <c r="X962" s="144"/>
      <c r="Y962" s="144"/>
      <c r="Z962" s="144"/>
    </row>
    <row r="963" spans="1:26" x14ac:dyDescent="0.3">
      <c r="A963" s="144"/>
      <c r="B963" s="144"/>
      <c r="C963" s="144"/>
      <c r="D963" s="144"/>
      <c r="E963" s="144"/>
      <c r="F963" s="52"/>
      <c r="G963" s="52"/>
      <c r="H963" s="52"/>
      <c r="I963" s="52"/>
      <c r="J963" s="52"/>
      <c r="K963" s="144"/>
      <c r="L963" s="144"/>
      <c r="M963" s="144"/>
      <c r="N963" s="144"/>
      <c r="O963" s="144"/>
      <c r="P963" s="144"/>
      <c r="Q963" s="144"/>
      <c r="R963" s="144"/>
      <c r="S963" s="144"/>
      <c r="T963" s="144"/>
      <c r="U963" s="144"/>
      <c r="V963" s="144"/>
      <c r="W963" s="144"/>
      <c r="X963" s="144"/>
      <c r="Y963" s="144"/>
      <c r="Z963" s="144"/>
    </row>
    <row r="964" spans="1:26" x14ac:dyDescent="0.3">
      <c r="A964" s="144"/>
      <c r="B964" s="144"/>
      <c r="C964" s="144"/>
      <c r="D964" s="144"/>
      <c r="E964" s="144"/>
      <c r="F964" s="52"/>
      <c r="G964" s="52"/>
      <c r="H964" s="52"/>
      <c r="I964" s="52"/>
      <c r="J964" s="52"/>
      <c r="K964" s="144"/>
      <c r="L964" s="144"/>
      <c r="M964" s="144"/>
      <c r="N964" s="144"/>
      <c r="O964" s="144"/>
      <c r="P964" s="144"/>
      <c r="Q964" s="144"/>
      <c r="R964" s="144"/>
      <c r="S964" s="144"/>
      <c r="T964" s="144"/>
      <c r="U964" s="144"/>
      <c r="V964" s="144"/>
      <c r="W964" s="144"/>
      <c r="X964" s="144"/>
      <c r="Y964" s="144"/>
      <c r="Z964" s="144"/>
    </row>
    <row r="965" spans="1:26" x14ac:dyDescent="0.3">
      <c r="A965" s="144"/>
      <c r="B965" s="144"/>
      <c r="C965" s="144"/>
      <c r="D965" s="144"/>
      <c r="E965" s="144"/>
      <c r="F965" s="52"/>
      <c r="G965" s="52"/>
      <c r="H965" s="52"/>
      <c r="I965" s="52"/>
      <c r="J965" s="52"/>
      <c r="K965" s="144"/>
      <c r="L965" s="144"/>
      <c r="M965" s="144"/>
      <c r="N965" s="144"/>
      <c r="O965" s="144"/>
      <c r="P965" s="144"/>
      <c r="Q965" s="144"/>
      <c r="R965" s="144"/>
      <c r="S965" s="144"/>
      <c r="T965" s="144"/>
      <c r="U965" s="144"/>
      <c r="V965" s="144"/>
      <c r="W965" s="144"/>
      <c r="X965" s="144"/>
      <c r="Y965" s="144"/>
      <c r="Z965" s="144"/>
    </row>
    <row r="966" spans="1:26" x14ac:dyDescent="0.3">
      <c r="A966" s="144"/>
      <c r="B966" s="144"/>
      <c r="C966" s="144"/>
      <c r="D966" s="144"/>
      <c r="E966" s="144"/>
      <c r="F966" s="52"/>
      <c r="G966" s="52"/>
      <c r="H966" s="52"/>
      <c r="I966" s="52"/>
      <c r="J966" s="52"/>
      <c r="K966" s="144"/>
      <c r="L966" s="144"/>
      <c r="M966" s="144"/>
      <c r="N966" s="144"/>
      <c r="O966" s="144"/>
      <c r="P966" s="144"/>
      <c r="Q966" s="144"/>
      <c r="R966" s="144"/>
      <c r="S966" s="144"/>
      <c r="T966" s="144"/>
      <c r="U966" s="144"/>
      <c r="V966" s="144"/>
      <c r="W966" s="144"/>
      <c r="X966" s="144"/>
      <c r="Y966" s="144"/>
      <c r="Z966" s="144"/>
    </row>
    <row r="967" spans="1:26" x14ac:dyDescent="0.3">
      <c r="A967" s="144"/>
      <c r="B967" s="144"/>
      <c r="C967" s="144"/>
      <c r="D967" s="144"/>
      <c r="E967" s="144"/>
      <c r="F967" s="52"/>
      <c r="G967" s="52"/>
      <c r="H967" s="52"/>
      <c r="I967" s="52"/>
      <c r="J967" s="52"/>
      <c r="K967" s="144"/>
      <c r="L967" s="144"/>
      <c r="M967" s="144"/>
      <c r="N967" s="144"/>
      <c r="O967" s="144"/>
      <c r="P967" s="144"/>
      <c r="Q967" s="144"/>
      <c r="R967" s="144"/>
      <c r="S967" s="144"/>
      <c r="T967" s="144"/>
      <c r="U967" s="144"/>
      <c r="V967" s="144"/>
      <c r="W967" s="144"/>
      <c r="X967" s="144"/>
      <c r="Y967" s="144"/>
      <c r="Z967" s="144"/>
    </row>
    <row r="968" spans="1:26" x14ac:dyDescent="0.3">
      <c r="A968" s="144"/>
      <c r="B968" s="144"/>
      <c r="C968" s="144"/>
      <c r="D968" s="144"/>
      <c r="E968" s="144"/>
      <c r="F968" s="52"/>
      <c r="G968" s="52"/>
      <c r="H968" s="52"/>
      <c r="I968" s="52"/>
      <c r="J968" s="52"/>
      <c r="K968" s="144"/>
      <c r="L968" s="144"/>
      <c r="M968" s="144"/>
      <c r="N968" s="144"/>
      <c r="O968" s="144"/>
      <c r="P968" s="144"/>
      <c r="Q968" s="144"/>
      <c r="R968" s="144"/>
      <c r="S968" s="144"/>
      <c r="T968" s="144"/>
      <c r="U968" s="144"/>
      <c r="V968" s="144"/>
      <c r="W968" s="144"/>
      <c r="X968" s="144"/>
      <c r="Y968" s="144"/>
      <c r="Z968" s="144"/>
    </row>
    <row r="969" spans="1:26" x14ac:dyDescent="0.3">
      <c r="A969" s="144"/>
      <c r="B969" s="144"/>
      <c r="C969" s="144"/>
      <c r="D969" s="144"/>
      <c r="E969" s="144"/>
      <c r="F969" s="52"/>
      <c r="G969" s="52"/>
      <c r="H969" s="52"/>
      <c r="I969" s="52"/>
      <c r="J969" s="52"/>
      <c r="K969" s="144"/>
      <c r="L969" s="144"/>
      <c r="M969" s="144"/>
      <c r="N969" s="144"/>
      <c r="O969" s="144"/>
      <c r="P969" s="144"/>
      <c r="Q969" s="144"/>
      <c r="R969" s="144"/>
      <c r="S969" s="144"/>
      <c r="T969" s="144"/>
      <c r="U969" s="144"/>
      <c r="V969" s="144"/>
      <c r="W969" s="144"/>
      <c r="X969" s="144"/>
      <c r="Y969" s="144"/>
      <c r="Z969" s="144"/>
    </row>
    <row r="970" spans="1:26" x14ac:dyDescent="0.3">
      <c r="A970" s="144"/>
      <c r="B970" s="144"/>
      <c r="C970" s="144"/>
      <c r="D970" s="144"/>
      <c r="E970" s="144"/>
      <c r="F970" s="52"/>
      <c r="G970" s="52"/>
      <c r="H970" s="52"/>
      <c r="I970" s="52"/>
      <c r="J970" s="52"/>
      <c r="K970" s="144"/>
      <c r="L970" s="144"/>
      <c r="M970" s="144"/>
      <c r="N970" s="144"/>
      <c r="O970" s="144"/>
      <c r="P970" s="144"/>
      <c r="Q970" s="144"/>
      <c r="R970" s="144"/>
      <c r="S970" s="144"/>
      <c r="T970" s="144"/>
      <c r="U970" s="144"/>
      <c r="V970" s="144"/>
      <c r="W970" s="144"/>
      <c r="X970" s="144"/>
      <c r="Y970" s="144"/>
      <c r="Z970" s="144"/>
    </row>
    <row r="971" spans="1:26" x14ac:dyDescent="0.3">
      <c r="A971" s="144"/>
      <c r="B971" s="144"/>
      <c r="C971" s="144"/>
      <c r="D971" s="144"/>
      <c r="E971" s="144"/>
      <c r="F971" s="52"/>
      <c r="G971" s="52"/>
      <c r="H971" s="52"/>
      <c r="I971" s="52"/>
      <c r="J971" s="52"/>
      <c r="K971" s="144"/>
      <c r="L971" s="144"/>
      <c r="M971" s="144"/>
      <c r="N971" s="144"/>
      <c r="O971" s="144"/>
      <c r="P971" s="144"/>
      <c r="Q971" s="144"/>
      <c r="R971" s="144"/>
      <c r="S971" s="144"/>
      <c r="T971" s="144"/>
      <c r="U971" s="144"/>
      <c r="V971" s="144"/>
      <c r="W971" s="144"/>
      <c r="X971" s="144"/>
      <c r="Y971" s="144"/>
      <c r="Z971" s="144"/>
    </row>
    <row r="972" spans="1:26" x14ac:dyDescent="0.3">
      <c r="A972" s="144"/>
      <c r="B972" s="144"/>
      <c r="C972" s="144"/>
      <c r="D972" s="144"/>
      <c r="E972" s="144"/>
      <c r="F972" s="52"/>
      <c r="G972" s="52"/>
      <c r="H972" s="52"/>
      <c r="I972" s="52"/>
      <c r="J972" s="52"/>
      <c r="K972" s="144"/>
      <c r="L972" s="144"/>
      <c r="M972" s="144"/>
      <c r="N972" s="144"/>
      <c r="O972" s="144"/>
      <c r="P972" s="144"/>
      <c r="Q972" s="144"/>
      <c r="R972" s="144"/>
      <c r="S972" s="144"/>
      <c r="T972" s="144"/>
      <c r="U972" s="144"/>
      <c r="V972" s="144"/>
      <c r="W972" s="144"/>
      <c r="X972" s="144"/>
      <c r="Y972" s="144"/>
      <c r="Z972" s="144"/>
    </row>
    <row r="973" spans="1:26" x14ac:dyDescent="0.3">
      <c r="A973" s="144"/>
      <c r="B973" s="144"/>
      <c r="C973" s="144"/>
      <c r="D973" s="144"/>
      <c r="E973" s="144"/>
      <c r="F973" s="52"/>
      <c r="G973" s="52"/>
      <c r="H973" s="52"/>
      <c r="I973" s="52"/>
      <c r="J973" s="52"/>
      <c r="K973" s="144"/>
      <c r="L973" s="144"/>
      <c r="M973" s="144"/>
      <c r="N973" s="144"/>
      <c r="O973" s="144"/>
      <c r="P973" s="144"/>
      <c r="Q973" s="144"/>
      <c r="R973" s="144"/>
      <c r="S973" s="144"/>
      <c r="T973" s="144"/>
      <c r="U973" s="144"/>
      <c r="V973" s="144"/>
      <c r="W973" s="144"/>
      <c r="X973" s="144"/>
      <c r="Y973" s="144"/>
      <c r="Z973" s="144"/>
    </row>
    <row r="974" spans="1:26" x14ac:dyDescent="0.3">
      <c r="A974" s="144"/>
      <c r="B974" s="144"/>
      <c r="C974" s="144"/>
      <c r="D974" s="144"/>
      <c r="E974" s="144"/>
      <c r="F974" s="52"/>
      <c r="G974" s="52"/>
      <c r="H974" s="52"/>
      <c r="I974" s="52"/>
      <c r="J974" s="52"/>
      <c r="K974" s="144"/>
      <c r="L974" s="144"/>
      <c r="M974" s="144"/>
      <c r="N974" s="144"/>
      <c r="O974" s="144"/>
      <c r="P974" s="144"/>
      <c r="Q974" s="144"/>
      <c r="R974" s="144"/>
      <c r="S974" s="144"/>
      <c r="T974" s="144"/>
      <c r="U974" s="144"/>
      <c r="V974" s="144"/>
      <c r="W974" s="144"/>
      <c r="X974" s="144"/>
      <c r="Y974" s="144"/>
      <c r="Z974" s="144"/>
    </row>
    <row r="975" spans="1:26" x14ac:dyDescent="0.3">
      <c r="A975" s="144"/>
      <c r="B975" s="144"/>
      <c r="C975" s="144"/>
      <c r="D975" s="144"/>
      <c r="E975" s="144"/>
      <c r="F975" s="52"/>
      <c r="G975" s="52"/>
      <c r="H975" s="52"/>
      <c r="I975" s="52"/>
      <c r="J975" s="52"/>
      <c r="K975" s="144"/>
      <c r="L975" s="144"/>
      <c r="M975" s="144"/>
      <c r="N975" s="144"/>
      <c r="O975" s="144"/>
      <c r="P975" s="144"/>
      <c r="Q975" s="144"/>
      <c r="R975" s="144"/>
      <c r="S975" s="144"/>
      <c r="T975" s="144"/>
      <c r="U975" s="144"/>
      <c r="V975" s="144"/>
      <c r="W975" s="144"/>
      <c r="X975" s="144"/>
      <c r="Y975" s="144"/>
      <c r="Z975" s="144"/>
    </row>
    <row r="976" spans="1:26" x14ac:dyDescent="0.3">
      <c r="A976" s="144"/>
      <c r="B976" s="144"/>
      <c r="C976" s="144"/>
      <c r="D976" s="144"/>
      <c r="E976" s="144"/>
      <c r="F976" s="52"/>
      <c r="G976" s="52"/>
      <c r="H976" s="52"/>
      <c r="I976" s="52"/>
      <c r="J976" s="52"/>
      <c r="K976" s="144"/>
      <c r="L976" s="144"/>
      <c r="M976" s="144"/>
      <c r="N976" s="144"/>
      <c r="O976" s="144"/>
      <c r="P976" s="144"/>
      <c r="Q976" s="144"/>
      <c r="R976" s="144"/>
      <c r="S976" s="144"/>
      <c r="T976" s="144"/>
      <c r="U976" s="144"/>
      <c r="V976" s="144"/>
      <c r="W976" s="144"/>
      <c r="X976" s="144"/>
      <c r="Y976" s="144"/>
      <c r="Z976" s="144"/>
    </row>
    <row r="977" spans="1:26" x14ac:dyDescent="0.3">
      <c r="A977" s="144"/>
      <c r="B977" s="144"/>
      <c r="C977" s="144"/>
      <c r="D977" s="144"/>
      <c r="E977" s="144"/>
      <c r="F977" s="52"/>
      <c r="G977" s="52"/>
      <c r="H977" s="52"/>
      <c r="I977" s="52"/>
      <c r="J977" s="52"/>
      <c r="K977" s="144"/>
      <c r="L977" s="144"/>
      <c r="M977" s="144"/>
      <c r="N977" s="144"/>
      <c r="O977" s="144"/>
      <c r="P977" s="144"/>
      <c r="Q977" s="144"/>
      <c r="R977" s="144"/>
      <c r="S977" s="144"/>
      <c r="T977" s="144"/>
      <c r="U977" s="144"/>
      <c r="V977" s="144"/>
      <c r="W977" s="144"/>
      <c r="X977" s="144"/>
      <c r="Y977" s="144"/>
      <c r="Z977" s="144"/>
    </row>
    <row r="978" spans="1:26" x14ac:dyDescent="0.3">
      <c r="A978" s="144"/>
      <c r="B978" s="144"/>
      <c r="C978" s="144"/>
      <c r="D978" s="144"/>
      <c r="E978" s="144"/>
      <c r="F978" s="52"/>
      <c r="G978" s="52"/>
      <c r="H978" s="52"/>
      <c r="I978" s="52"/>
      <c r="J978" s="52"/>
      <c r="K978" s="144"/>
      <c r="L978" s="144"/>
      <c r="M978" s="144"/>
      <c r="N978" s="144"/>
      <c r="O978" s="144"/>
      <c r="P978" s="144"/>
      <c r="Q978" s="144"/>
      <c r="R978" s="144"/>
      <c r="S978" s="144"/>
      <c r="T978" s="144"/>
      <c r="U978" s="144"/>
      <c r="V978" s="144"/>
      <c r="W978" s="144"/>
      <c r="X978" s="144"/>
      <c r="Y978" s="144"/>
      <c r="Z978" s="144"/>
    </row>
    <row r="979" spans="1:26" x14ac:dyDescent="0.3">
      <c r="A979" s="144"/>
      <c r="B979" s="144"/>
      <c r="C979" s="144"/>
      <c r="D979" s="144"/>
      <c r="E979" s="144"/>
      <c r="F979" s="52"/>
      <c r="G979" s="52"/>
      <c r="H979" s="52"/>
      <c r="I979" s="52"/>
      <c r="J979" s="52"/>
      <c r="K979" s="144"/>
      <c r="L979" s="144"/>
      <c r="M979" s="144"/>
      <c r="N979" s="144"/>
      <c r="O979" s="144"/>
      <c r="P979" s="144"/>
      <c r="Q979" s="144"/>
      <c r="R979" s="144"/>
      <c r="S979" s="144"/>
      <c r="T979" s="144"/>
      <c r="U979" s="144"/>
      <c r="V979" s="144"/>
      <c r="W979" s="144"/>
      <c r="X979" s="144"/>
      <c r="Y979" s="144"/>
      <c r="Z979" s="144"/>
    </row>
    <row r="980" spans="1:26" x14ac:dyDescent="0.3">
      <c r="A980" s="144"/>
      <c r="B980" s="144"/>
      <c r="C980" s="144"/>
      <c r="D980" s="144"/>
      <c r="E980" s="144"/>
      <c r="F980" s="52"/>
      <c r="G980" s="52"/>
      <c r="H980" s="52"/>
      <c r="I980" s="52"/>
      <c r="J980" s="52"/>
      <c r="K980" s="144"/>
      <c r="L980" s="144"/>
      <c r="M980" s="144"/>
      <c r="N980" s="144"/>
      <c r="O980" s="144"/>
      <c r="P980" s="144"/>
      <c r="Q980" s="144"/>
      <c r="R980" s="144"/>
      <c r="S980" s="144"/>
      <c r="T980" s="144"/>
      <c r="U980" s="144"/>
      <c r="V980" s="144"/>
      <c r="W980" s="144"/>
      <c r="X980" s="144"/>
      <c r="Y980" s="144"/>
      <c r="Z980" s="144"/>
    </row>
    <row r="981" spans="1:26" x14ac:dyDescent="0.3">
      <c r="A981" s="144"/>
      <c r="B981" s="144"/>
      <c r="C981" s="144"/>
      <c r="D981" s="144"/>
      <c r="E981" s="144"/>
      <c r="F981" s="52"/>
      <c r="G981" s="52"/>
      <c r="H981" s="52"/>
      <c r="I981" s="52"/>
      <c r="J981" s="52"/>
      <c r="K981" s="144"/>
      <c r="L981" s="144"/>
      <c r="M981" s="144"/>
      <c r="N981" s="144"/>
      <c r="O981" s="144"/>
      <c r="P981" s="144"/>
      <c r="Q981" s="144"/>
      <c r="R981" s="144"/>
      <c r="S981" s="144"/>
      <c r="T981" s="144"/>
      <c r="U981" s="144"/>
      <c r="V981" s="144"/>
      <c r="W981" s="144"/>
      <c r="X981" s="144"/>
      <c r="Y981" s="144"/>
      <c r="Z981" s="144"/>
    </row>
    <row r="982" spans="1:26" x14ac:dyDescent="0.3">
      <c r="A982" s="144"/>
      <c r="B982" s="144"/>
      <c r="C982" s="144"/>
      <c r="D982" s="144"/>
      <c r="E982" s="144"/>
      <c r="F982" s="52"/>
      <c r="G982" s="52"/>
      <c r="H982" s="52"/>
      <c r="I982" s="52"/>
      <c r="J982" s="52"/>
      <c r="K982" s="144"/>
      <c r="L982" s="144"/>
      <c r="M982" s="144"/>
      <c r="N982" s="144"/>
      <c r="O982" s="144"/>
      <c r="P982" s="144"/>
      <c r="Q982" s="144"/>
      <c r="R982" s="144"/>
      <c r="S982" s="144"/>
      <c r="T982" s="144"/>
      <c r="U982" s="144"/>
      <c r="V982" s="144"/>
      <c r="W982" s="144"/>
      <c r="X982" s="144"/>
      <c r="Y982" s="144"/>
      <c r="Z982" s="144"/>
    </row>
    <row r="983" spans="1:26" x14ac:dyDescent="0.3">
      <c r="A983" s="144"/>
      <c r="B983" s="144"/>
      <c r="C983" s="144"/>
      <c r="D983" s="144"/>
      <c r="E983" s="144"/>
      <c r="F983" s="52"/>
      <c r="G983" s="52"/>
      <c r="H983" s="52"/>
      <c r="I983" s="52"/>
      <c r="J983" s="52"/>
      <c r="K983" s="144"/>
      <c r="L983" s="144"/>
      <c r="M983" s="144"/>
      <c r="N983" s="144"/>
      <c r="O983" s="144"/>
      <c r="P983" s="144"/>
      <c r="Q983" s="144"/>
      <c r="R983" s="144"/>
      <c r="S983" s="144"/>
      <c r="T983" s="144"/>
      <c r="U983" s="144"/>
      <c r="V983" s="144"/>
      <c r="W983" s="144"/>
      <c r="X983" s="144"/>
      <c r="Y983" s="144"/>
      <c r="Z983" s="144"/>
    </row>
    <row r="984" spans="1:26" x14ac:dyDescent="0.3">
      <c r="A984" s="144"/>
      <c r="B984" s="144"/>
      <c r="C984" s="144"/>
      <c r="D984" s="144"/>
      <c r="E984" s="144"/>
      <c r="F984" s="52"/>
      <c r="G984" s="52"/>
      <c r="H984" s="52"/>
      <c r="I984" s="52"/>
      <c r="J984" s="52"/>
      <c r="K984" s="144"/>
      <c r="L984" s="144"/>
      <c r="M984" s="144"/>
      <c r="N984" s="144"/>
      <c r="O984" s="144"/>
      <c r="P984" s="144"/>
      <c r="Q984" s="144"/>
      <c r="R984" s="144"/>
      <c r="S984" s="144"/>
      <c r="T984" s="144"/>
      <c r="U984" s="144"/>
      <c r="V984" s="144"/>
      <c r="W984" s="144"/>
      <c r="X984" s="144"/>
      <c r="Y984" s="144"/>
      <c r="Z984" s="144"/>
    </row>
    <row r="985" spans="1:26" x14ac:dyDescent="0.3">
      <c r="A985" s="144"/>
      <c r="B985" s="144"/>
      <c r="C985" s="144"/>
      <c r="D985" s="144"/>
      <c r="E985" s="144"/>
      <c r="F985" s="52"/>
      <c r="G985" s="52"/>
      <c r="H985" s="52"/>
      <c r="I985" s="52"/>
      <c r="J985" s="52"/>
      <c r="K985" s="144"/>
      <c r="L985" s="144"/>
      <c r="M985" s="144"/>
      <c r="N985" s="144"/>
      <c r="O985" s="144"/>
      <c r="P985" s="144"/>
      <c r="Q985" s="144"/>
      <c r="R985" s="144"/>
      <c r="S985" s="144"/>
      <c r="T985" s="144"/>
      <c r="U985" s="144"/>
      <c r="V985" s="144"/>
      <c r="W985" s="144"/>
      <c r="X985" s="144"/>
      <c r="Y985" s="144"/>
      <c r="Z985" s="144"/>
    </row>
    <row r="986" spans="1:26" x14ac:dyDescent="0.3">
      <c r="A986" s="144"/>
      <c r="B986" s="144"/>
      <c r="C986" s="144"/>
      <c r="D986" s="144"/>
      <c r="E986" s="144"/>
      <c r="F986" s="52"/>
      <c r="G986" s="52"/>
      <c r="H986" s="52"/>
      <c r="I986" s="52"/>
      <c r="J986" s="52"/>
      <c r="K986" s="144"/>
      <c r="L986" s="144"/>
      <c r="M986" s="144"/>
      <c r="N986" s="144"/>
      <c r="O986" s="144"/>
      <c r="P986" s="144"/>
      <c r="Q986" s="144"/>
      <c r="R986" s="144"/>
      <c r="S986" s="144"/>
      <c r="T986" s="144"/>
      <c r="U986" s="144"/>
      <c r="V986" s="144"/>
      <c r="W986" s="144"/>
      <c r="X986" s="144"/>
      <c r="Y986" s="144"/>
      <c r="Z986" s="144"/>
    </row>
    <row r="987" spans="1:26" x14ac:dyDescent="0.3">
      <c r="A987" s="144"/>
      <c r="B987" s="144"/>
      <c r="C987" s="144"/>
      <c r="D987" s="144"/>
      <c r="E987" s="144"/>
      <c r="F987" s="52"/>
      <c r="G987" s="52"/>
      <c r="H987" s="52"/>
      <c r="I987" s="52"/>
      <c r="J987" s="52"/>
      <c r="K987" s="144"/>
      <c r="L987" s="144"/>
      <c r="M987" s="144"/>
      <c r="N987" s="144"/>
      <c r="O987" s="144"/>
      <c r="P987" s="144"/>
      <c r="Q987" s="144"/>
      <c r="R987" s="144"/>
      <c r="S987" s="144"/>
      <c r="T987" s="144"/>
      <c r="U987" s="144"/>
      <c r="V987" s="144"/>
      <c r="W987" s="144"/>
      <c r="X987" s="144"/>
      <c r="Y987" s="144"/>
      <c r="Z987" s="144"/>
    </row>
    <row r="988" spans="1:26" x14ac:dyDescent="0.3">
      <c r="A988" s="144"/>
      <c r="B988" s="144"/>
      <c r="C988" s="144"/>
      <c r="D988" s="144"/>
      <c r="E988" s="144"/>
      <c r="F988" s="52"/>
      <c r="G988" s="52"/>
      <c r="H988" s="52"/>
      <c r="I988" s="52"/>
      <c r="J988" s="52"/>
      <c r="K988" s="144"/>
      <c r="L988" s="144"/>
      <c r="M988" s="144"/>
      <c r="N988" s="144"/>
      <c r="O988" s="144"/>
      <c r="P988" s="144"/>
      <c r="Q988" s="144"/>
      <c r="R988" s="144"/>
      <c r="S988" s="144"/>
      <c r="T988" s="144"/>
      <c r="U988" s="144"/>
      <c r="V988" s="144"/>
      <c r="W988" s="144"/>
      <c r="X988" s="144"/>
      <c r="Y988" s="144"/>
      <c r="Z988" s="144"/>
    </row>
    <row r="989" spans="1:26" x14ac:dyDescent="0.3">
      <c r="A989" s="144"/>
      <c r="B989" s="144"/>
      <c r="C989" s="144"/>
      <c r="D989" s="144"/>
      <c r="E989" s="144"/>
      <c r="F989" s="52"/>
      <c r="G989" s="52"/>
      <c r="H989" s="52"/>
      <c r="I989" s="52"/>
      <c r="J989" s="52"/>
      <c r="K989" s="144"/>
      <c r="L989" s="144"/>
      <c r="M989" s="144"/>
      <c r="N989" s="144"/>
      <c r="O989" s="144"/>
      <c r="P989" s="144"/>
      <c r="Q989" s="144"/>
      <c r="R989" s="144"/>
      <c r="S989" s="144"/>
      <c r="T989" s="144"/>
      <c r="U989" s="144"/>
      <c r="V989" s="144"/>
      <c r="W989" s="144"/>
      <c r="X989" s="144"/>
      <c r="Y989" s="144"/>
      <c r="Z989" s="144"/>
    </row>
    <row r="990" spans="1:26" x14ac:dyDescent="0.3">
      <c r="A990" s="144"/>
      <c r="B990" s="144"/>
      <c r="C990" s="144"/>
      <c r="D990" s="144"/>
      <c r="E990" s="144"/>
      <c r="F990" s="52"/>
      <c r="G990" s="52"/>
      <c r="H990" s="52"/>
      <c r="I990" s="52"/>
      <c r="J990" s="52"/>
      <c r="K990" s="144"/>
      <c r="L990" s="144"/>
      <c r="M990" s="144"/>
      <c r="N990" s="144"/>
      <c r="O990" s="144"/>
      <c r="P990" s="144"/>
      <c r="Q990" s="144"/>
      <c r="R990" s="144"/>
      <c r="S990" s="144"/>
      <c r="T990" s="144"/>
      <c r="U990" s="144"/>
      <c r="V990" s="144"/>
      <c r="W990" s="144"/>
      <c r="X990" s="144"/>
      <c r="Y990" s="144"/>
      <c r="Z990" s="144"/>
    </row>
    <row r="991" spans="1:26" x14ac:dyDescent="0.3">
      <c r="A991" s="144"/>
      <c r="B991" s="144"/>
      <c r="C991" s="144"/>
      <c r="D991" s="144"/>
      <c r="E991" s="144"/>
      <c r="F991" s="52"/>
      <c r="G991" s="52"/>
      <c r="H991" s="52"/>
      <c r="I991" s="52"/>
      <c r="J991" s="52"/>
      <c r="K991" s="144"/>
      <c r="L991" s="144"/>
      <c r="M991" s="144"/>
      <c r="N991" s="144"/>
      <c r="O991" s="144"/>
      <c r="P991" s="144"/>
      <c r="Q991" s="144"/>
      <c r="R991" s="144"/>
      <c r="S991" s="144"/>
      <c r="T991" s="144"/>
      <c r="U991" s="144"/>
      <c r="V991" s="144"/>
      <c r="W991" s="144"/>
      <c r="X991" s="144"/>
      <c r="Y991" s="144"/>
      <c r="Z991" s="144"/>
    </row>
    <row r="992" spans="1:26" x14ac:dyDescent="0.3">
      <c r="A992" s="144"/>
      <c r="B992" s="144"/>
      <c r="C992" s="144"/>
      <c r="D992" s="144"/>
      <c r="E992" s="144"/>
      <c r="F992" s="52"/>
      <c r="G992" s="52"/>
      <c r="H992" s="52"/>
      <c r="I992" s="52"/>
      <c r="J992" s="52"/>
      <c r="K992" s="144"/>
      <c r="L992" s="144"/>
      <c r="M992" s="144"/>
      <c r="N992" s="144"/>
      <c r="O992" s="144"/>
      <c r="P992" s="144"/>
      <c r="Q992" s="144"/>
      <c r="R992" s="144"/>
      <c r="S992" s="144"/>
      <c r="T992" s="144"/>
      <c r="U992" s="144"/>
      <c r="V992" s="144"/>
      <c r="W992" s="144"/>
      <c r="X992" s="144"/>
      <c r="Y992" s="144"/>
      <c r="Z992" s="144"/>
    </row>
    <row r="993" spans="1:26" x14ac:dyDescent="0.3">
      <c r="A993" s="144"/>
      <c r="B993" s="144"/>
      <c r="C993" s="144"/>
      <c r="D993" s="144"/>
      <c r="E993" s="144"/>
      <c r="F993" s="52"/>
      <c r="G993" s="52"/>
      <c r="H993" s="52"/>
      <c r="I993" s="52"/>
      <c r="J993" s="52"/>
      <c r="K993" s="144"/>
      <c r="L993" s="144"/>
      <c r="M993" s="144"/>
      <c r="N993" s="144"/>
      <c r="O993" s="144"/>
      <c r="P993" s="144"/>
      <c r="Q993" s="144"/>
      <c r="R993" s="144"/>
      <c r="S993" s="144"/>
      <c r="T993" s="144"/>
      <c r="U993" s="144"/>
      <c r="V993" s="144"/>
      <c r="W993" s="144"/>
      <c r="X993" s="144"/>
      <c r="Y993" s="144"/>
      <c r="Z993" s="144"/>
    </row>
    <row r="994" spans="1:26" x14ac:dyDescent="0.3">
      <c r="A994" s="144"/>
      <c r="B994" s="144"/>
      <c r="C994" s="144"/>
      <c r="D994" s="144"/>
      <c r="E994" s="144"/>
      <c r="F994" s="52"/>
      <c r="G994" s="52"/>
      <c r="H994" s="52"/>
      <c r="I994" s="52"/>
      <c r="J994" s="52"/>
      <c r="K994" s="144"/>
      <c r="L994" s="144"/>
      <c r="M994" s="144"/>
      <c r="N994" s="144"/>
      <c r="O994" s="144"/>
      <c r="P994" s="144"/>
      <c r="Q994" s="144"/>
      <c r="R994" s="144"/>
      <c r="S994" s="144"/>
      <c r="T994" s="144"/>
      <c r="U994" s="144"/>
      <c r="V994" s="144"/>
      <c r="W994" s="144"/>
      <c r="X994" s="144"/>
      <c r="Y994" s="144"/>
      <c r="Z994" s="144"/>
    </row>
    <row r="995" spans="1:26" x14ac:dyDescent="0.3">
      <c r="A995" s="144"/>
      <c r="B995" s="144"/>
      <c r="C995" s="144"/>
      <c r="D995" s="144"/>
      <c r="E995" s="144"/>
      <c r="F995" s="52"/>
      <c r="G995" s="52"/>
      <c r="H995" s="52"/>
      <c r="I995" s="52"/>
      <c r="J995" s="52"/>
      <c r="K995" s="144"/>
      <c r="L995" s="144"/>
      <c r="M995" s="144"/>
      <c r="N995" s="144"/>
      <c r="O995" s="144"/>
      <c r="P995" s="144"/>
      <c r="Q995" s="144"/>
      <c r="R995" s="144"/>
      <c r="S995" s="144"/>
      <c r="T995" s="144"/>
      <c r="U995" s="144"/>
      <c r="V995" s="144"/>
      <c r="W995" s="144"/>
      <c r="X995" s="144"/>
      <c r="Y995" s="144"/>
      <c r="Z995" s="144"/>
    </row>
    <row r="996" spans="1:26" x14ac:dyDescent="0.3">
      <c r="A996" s="144"/>
      <c r="B996" s="144"/>
      <c r="C996" s="144"/>
      <c r="D996" s="144"/>
      <c r="E996" s="144"/>
      <c r="F996" s="52"/>
      <c r="G996" s="52"/>
      <c r="H996" s="52"/>
      <c r="I996" s="52"/>
      <c r="J996" s="52"/>
      <c r="K996" s="144"/>
      <c r="L996" s="144"/>
      <c r="M996" s="144"/>
      <c r="N996" s="144"/>
      <c r="O996" s="144"/>
      <c r="P996" s="144"/>
      <c r="Q996" s="144"/>
      <c r="R996" s="144"/>
      <c r="S996" s="144"/>
      <c r="T996" s="144"/>
      <c r="U996" s="144"/>
      <c r="V996" s="144"/>
      <c r="W996" s="144"/>
      <c r="X996" s="144"/>
      <c r="Y996" s="144"/>
      <c r="Z996" s="144"/>
    </row>
    <row r="997" spans="1:26" x14ac:dyDescent="0.3">
      <c r="A997" s="144"/>
      <c r="B997" s="144"/>
      <c r="C997" s="144"/>
      <c r="D997" s="144"/>
      <c r="E997" s="144"/>
      <c r="F997" s="52"/>
      <c r="G997" s="52"/>
      <c r="H997" s="52"/>
      <c r="I997" s="52"/>
      <c r="J997" s="52"/>
      <c r="K997" s="144"/>
      <c r="L997" s="144"/>
      <c r="M997" s="144"/>
      <c r="N997" s="144"/>
      <c r="O997" s="144"/>
      <c r="P997" s="144"/>
      <c r="Q997" s="144"/>
      <c r="R997" s="144"/>
      <c r="S997" s="144"/>
      <c r="T997" s="144"/>
      <c r="U997" s="144"/>
      <c r="V997" s="144"/>
      <c r="W997" s="144"/>
      <c r="X997" s="144"/>
      <c r="Y997" s="144"/>
      <c r="Z997" s="144"/>
    </row>
    <row r="998" spans="1:26" x14ac:dyDescent="0.3">
      <c r="A998" s="144"/>
      <c r="B998" s="144"/>
      <c r="C998" s="144"/>
      <c r="D998" s="144"/>
      <c r="E998" s="144"/>
      <c r="F998" s="52"/>
      <c r="G998" s="52"/>
      <c r="H998" s="52"/>
      <c r="I998" s="52"/>
      <c r="J998" s="52"/>
      <c r="K998" s="144"/>
      <c r="L998" s="144"/>
      <c r="M998" s="144"/>
      <c r="N998" s="144"/>
      <c r="O998" s="144"/>
      <c r="P998" s="144"/>
      <c r="Q998" s="144"/>
      <c r="R998" s="144"/>
      <c r="S998" s="144"/>
      <c r="T998" s="144"/>
      <c r="U998" s="144"/>
      <c r="V998" s="144"/>
      <c r="W998" s="144"/>
      <c r="X998" s="144"/>
      <c r="Y998" s="144"/>
      <c r="Z998" s="144"/>
    </row>
    <row r="999" spans="1:26" x14ac:dyDescent="0.3">
      <c r="A999" s="144"/>
      <c r="B999" s="144"/>
      <c r="C999" s="144"/>
      <c r="D999" s="144"/>
      <c r="E999" s="144"/>
      <c r="F999" s="52"/>
      <c r="G999" s="52"/>
      <c r="H999" s="52"/>
      <c r="I999" s="52"/>
      <c r="J999" s="52"/>
      <c r="K999" s="144"/>
      <c r="L999" s="144"/>
      <c r="M999" s="144"/>
      <c r="N999" s="144"/>
      <c r="O999" s="144"/>
      <c r="P999" s="144"/>
      <c r="Q999" s="144"/>
      <c r="R999" s="144"/>
      <c r="S999" s="144"/>
      <c r="T999" s="144"/>
      <c r="U999" s="144"/>
      <c r="V999" s="144"/>
      <c r="W999" s="144"/>
      <c r="X999" s="144"/>
      <c r="Y999" s="144"/>
      <c r="Z999" s="144"/>
    </row>
    <row r="1000" spans="1:26" x14ac:dyDescent="0.3">
      <c r="A1000" s="144"/>
      <c r="B1000" s="144"/>
      <c r="C1000" s="144"/>
      <c r="D1000" s="144"/>
      <c r="E1000" s="144"/>
      <c r="F1000" s="52"/>
      <c r="G1000" s="52"/>
      <c r="H1000" s="52"/>
      <c r="I1000" s="52"/>
      <c r="J1000" s="52"/>
      <c r="K1000" s="144"/>
      <c r="L1000" s="144"/>
      <c r="M1000" s="144"/>
      <c r="N1000" s="144"/>
      <c r="O1000" s="144"/>
      <c r="P1000" s="144"/>
      <c r="Q1000" s="144"/>
      <c r="R1000" s="144"/>
      <c r="S1000" s="144"/>
      <c r="T1000" s="144"/>
      <c r="U1000" s="144"/>
      <c r="V1000" s="144"/>
      <c r="W1000" s="144"/>
      <c r="X1000" s="144"/>
      <c r="Y1000" s="144"/>
      <c r="Z1000" s="144"/>
    </row>
  </sheetData>
  <mergeCells count="11">
    <mergeCell ref="F2:G2"/>
    <mergeCell ref="C28:G28"/>
    <mergeCell ref="C29:E29"/>
    <mergeCell ref="H29:I29"/>
    <mergeCell ref="A1:I1"/>
    <mergeCell ref="A2:A3"/>
    <mergeCell ref="B2:B3"/>
    <mergeCell ref="C2:C3"/>
    <mergeCell ref="D2:D3"/>
    <mergeCell ref="E2:E3"/>
    <mergeCell ref="H2:I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0"/>
  <sheetViews>
    <sheetView workbookViewId="0"/>
  </sheetViews>
  <sheetFormatPr defaultColWidth="14.3984375" defaultRowHeight="15" customHeight="1" x14ac:dyDescent="0.3"/>
  <cols>
    <col min="1" max="1" width="4.69921875" customWidth="1"/>
    <col min="2" max="2" width="8" customWidth="1"/>
    <col min="3" max="3" width="73.09765625" customWidth="1"/>
    <col min="4" max="5" width="6.8984375" customWidth="1"/>
    <col min="6" max="6" width="11.296875" customWidth="1"/>
    <col min="7" max="7" width="16" customWidth="1"/>
    <col min="8" max="8" width="14.8984375" customWidth="1"/>
    <col min="9" max="9" width="17.8984375" customWidth="1"/>
    <col min="10" max="26" width="8.69921875" customWidth="1"/>
  </cols>
  <sheetData>
    <row r="1" spans="1:9" ht="9" customHeight="1" x14ac:dyDescent="0.3">
      <c r="A1" s="254" t="s">
        <v>3879</v>
      </c>
      <c r="B1" s="213"/>
      <c r="C1" s="213"/>
      <c r="D1" s="213"/>
      <c r="E1" s="213"/>
      <c r="F1" s="213"/>
      <c r="G1" s="213"/>
      <c r="H1" s="213"/>
      <c r="I1" s="213"/>
    </row>
    <row r="2" spans="1:9" ht="18.75" customHeight="1" x14ac:dyDescent="0.3">
      <c r="A2" s="255" t="s">
        <v>3880</v>
      </c>
      <c r="B2" s="213"/>
      <c r="C2" s="213"/>
      <c r="D2" s="213"/>
      <c r="E2" s="213"/>
      <c r="F2" s="213"/>
      <c r="G2" s="213"/>
      <c r="H2" s="213"/>
      <c r="I2" s="213"/>
    </row>
    <row r="3" spans="1:9" ht="9" customHeight="1" x14ac:dyDescent="0.3">
      <c r="A3" s="256" t="s">
        <v>3881</v>
      </c>
      <c r="B3" s="215"/>
      <c r="C3" s="215"/>
      <c r="D3" s="215"/>
      <c r="E3" s="215"/>
      <c r="F3" s="215"/>
      <c r="G3" s="215"/>
      <c r="H3" s="215"/>
      <c r="I3" s="215"/>
    </row>
    <row r="4" spans="1:9" ht="15" customHeight="1" x14ac:dyDescent="0.3">
      <c r="A4" s="257" t="s">
        <v>3882</v>
      </c>
      <c r="B4" s="251" t="s">
        <v>3883</v>
      </c>
      <c r="C4" s="258" t="s">
        <v>3884</v>
      </c>
      <c r="D4" s="251" t="s">
        <v>3885</v>
      </c>
      <c r="E4" s="251" t="s">
        <v>3886</v>
      </c>
      <c r="F4" s="252" t="s">
        <v>3887</v>
      </c>
      <c r="G4" s="221"/>
      <c r="H4" s="252" t="s">
        <v>3888</v>
      </c>
      <c r="I4" s="221"/>
    </row>
    <row r="5" spans="1:9" ht="15" customHeight="1" x14ac:dyDescent="0.3">
      <c r="A5" s="217"/>
      <c r="B5" s="217"/>
      <c r="C5" s="217"/>
      <c r="D5" s="217"/>
      <c r="E5" s="217"/>
      <c r="F5" s="160" t="s">
        <v>3889</v>
      </c>
      <c r="G5" s="161" t="s">
        <v>3890</v>
      </c>
      <c r="H5" s="161" t="s">
        <v>3891</v>
      </c>
      <c r="I5" s="161" t="s">
        <v>3892</v>
      </c>
    </row>
    <row r="6" spans="1:9" ht="9" customHeight="1" x14ac:dyDescent="0.3">
      <c r="A6" s="162" t="s">
        <v>3893</v>
      </c>
      <c r="B6" s="11"/>
      <c r="C6" s="163" t="s">
        <v>3894</v>
      </c>
      <c r="D6" s="11"/>
      <c r="E6" s="11"/>
      <c r="F6" s="11"/>
      <c r="G6" s="11"/>
      <c r="H6" s="11"/>
      <c r="I6" s="11"/>
    </row>
    <row r="7" spans="1:9" ht="191.25" customHeight="1" x14ac:dyDescent="0.3">
      <c r="A7" s="164">
        <v>1</v>
      </c>
      <c r="B7" s="165" t="s">
        <v>3895</v>
      </c>
      <c r="C7" s="166" t="s">
        <v>3896</v>
      </c>
      <c r="D7" s="165" t="s">
        <v>3897</v>
      </c>
      <c r="E7" s="164">
        <v>1</v>
      </c>
      <c r="F7" s="9"/>
      <c r="G7" s="167"/>
      <c r="H7" s="9"/>
      <c r="I7" s="167"/>
    </row>
    <row r="8" spans="1:9" ht="43.5" customHeight="1" x14ac:dyDescent="0.3">
      <c r="A8" s="164">
        <v>2</v>
      </c>
      <c r="B8" s="165" t="s">
        <v>3898</v>
      </c>
      <c r="C8" s="166" t="s">
        <v>3899</v>
      </c>
      <c r="D8" s="165" t="s">
        <v>3900</v>
      </c>
      <c r="E8" s="164">
        <v>740</v>
      </c>
      <c r="F8" s="9"/>
      <c r="G8" s="167"/>
      <c r="H8" s="9"/>
      <c r="I8" s="167"/>
    </row>
    <row r="9" spans="1:9" ht="34.5" customHeight="1" x14ac:dyDescent="0.3">
      <c r="A9" s="168">
        <v>3</v>
      </c>
      <c r="B9" s="169" t="s">
        <v>3901</v>
      </c>
      <c r="C9" s="166" t="s">
        <v>3902</v>
      </c>
      <c r="D9" s="169" t="s">
        <v>3903</v>
      </c>
      <c r="E9" s="168">
        <v>155</v>
      </c>
      <c r="F9" s="9"/>
      <c r="G9" s="170"/>
      <c r="H9" s="9"/>
      <c r="I9" s="170"/>
    </row>
    <row r="10" spans="1:9" ht="51.75" customHeight="1" x14ac:dyDescent="0.3">
      <c r="A10" s="164">
        <v>4</v>
      </c>
      <c r="B10" s="165" t="s">
        <v>3904</v>
      </c>
      <c r="C10" s="9" t="s">
        <v>3905</v>
      </c>
      <c r="D10" s="165" t="s">
        <v>3906</v>
      </c>
      <c r="E10" s="164">
        <v>47</v>
      </c>
      <c r="F10" s="9"/>
      <c r="G10" s="167"/>
      <c r="H10" s="9"/>
      <c r="I10" s="167"/>
    </row>
    <row r="11" spans="1:9" ht="51.75" customHeight="1" x14ac:dyDescent="0.3">
      <c r="A11" s="164">
        <v>5</v>
      </c>
      <c r="B11" s="165" t="s">
        <v>3907</v>
      </c>
      <c r="C11" s="9" t="s">
        <v>3908</v>
      </c>
      <c r="D11" s="165" t="s">
        <v>3909</v>
      </c>
      <c r="E11" s="164">
        <v>1</v>
      </c>
      <c r="F11" s="9"/>
      <c r="G11" s="167"/>
      <c r="H11" s="9"/>
      <c r="I11" s="167"/>
    </row>
    <row r="12" spans="1:9" ht="9" customHeight="1" x14ac:dyDescent="0.3">
      <c r="A12" s="11"/>
      <c r="B12" s="11"/>
      <c r="C12" s="253" t="s">
        <v>3910</v>
      </c>
      <c r="D12" s="220"/>
      <c r="E12" s="220"/>
      <c r="F12" s="220"/>
      <c r="G12" s="221"/>
      <c r="H12" s="11"/>
      <c r="I12" s="171"/>
    </row>
    <row r="13" spans="1:9" ht="12.75" customHeight="1" x14ac:dyDescent="0.3"/>
    <row r="14" spans="1:9" ht="12.75" customHeight="1" x14ac:dyDescent="0.3"/>
    <row r="15" spans="1:9" ht="12.75" customHeight="1" x14ac:dyDescent="0.3"/>
    <row r="16" spans="1:9" ht="12.75" customHeight="1" x14ac:dyDescent="0.3"/>
    <row r="17" ht="12.75" customHeight="1" x14ac:dyDescent="0.3"/>
    <row r="18" ht="12.75" customHeight="1" x14ac:dyDescent="0.3"/>
    <row r="19" ht="12.75" customHeight="1" x14ac:dyDescent="0.3"/>
    <row r="20" ht="12.75" customHeight="1" x14ac:dyDescent="0.3"/>
    <row r="21" ht="12.75" customHeight="1" x14ac:dyDescent="0.3"/>
    <row r="22" ht="12.75" customHeight="1" x14ac:dyDescent="0.3"/>
    <row r="23" ht="12.75" customHeight="1" x14ac:dyDescent="0.3"/>
    <row r="24" ht="12.75" customHeight="1" x14ac:dyDescent="0.3"/>
    <row r="25" ht="12.75" customHeight="1" x14ac:dyDescent="0.3"/>
    <row r="26" ht="12.75" customHeight="1" x14ac:dyDescent="0.3"/>
    <row r="27" ht="12.75" customHeight="1" x14ac:dyDescent="0.3"/>
    <row r="28" ht="12.75" customHeight="1" x14ac:dyDescent="0.3"/>
    <row r="29" ht="12.75" customHeight="1" x14ac:dyDescent="0.3"/>
    <row r="30" ht="12.75" customHeight="1" x14ac:dyDescent="0.3"/>
    <row r="31" ht="12.75" customHeight="1" x14ac:dyDescent="0.3"/>
    <row r="32"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11">
    <mergeCell ref="E4:E5"/>
    <mergeCell ref="F4:G4"/>
    <mergeCell ref="C12:G12"/>
    <mergeCell ref="A1:I1"/>
    <mergeCell ref="A2:I2"/>
    <mergeCell ref="A3:I3"/>
    <mergeCell ref="A4:A5"/>
    <mergeCell ref="B4:B5"/>
    <mergeCell ref="C4:C5"/>
    <mergeCell ref="D4:D5"/>
    <mergeCell ref="H4:I4"/>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00"/>
  <sheetViews>
    <sheetView workbookViewId="0"/>
  </sheetViews>
  <sheetFormatPr defaultColWidth="14.3984375" defaultRowHeight="15" customHeight="1" x14ac:dyDescent="0.3"/>
  <cols>
    <col min="1" max="1" width="8.8984375" customWidth="1"/>
    <col min="2" max="2" width="40.69921875" customWidth="1"/>
    <col min="3" max="3" width="7.8984375" customWidth="1"/>
    <col min="4" max="4" width="8" customWidth="1"/>
    <col min="5" max="7" width="7.8984375" customWidth="1"/>
    <col min="8" max="8" width="8" customWidth="1"/>
    <col min="9" max="10" width="7.8984375" customWidth="1"/>
    <col min="11" max="11" width="6" customWidth="1"/>
    <col min="12" max="12" width="15.09765625" customWidth="1"/>
    <col min="13" max="13" width="22.296875" customWidth="1"/>
    <col min="14" max="26" width="8.69921875" customWidth="1"/>
  </cols>
  <sheetData>
    <row r="1" spans="1:13" ht="18.75" customHeight="1" x14ac:dyDescent="0.3">
      <c r="A1" s="259" t="s">
        <v>3911</v>
      </c>
      <c r="B1" s="213"/>
      <c r="C1" s="213"/>
      <c r="D1" s="213"/>
      <c r="E1" s="213"/>
      <c r="F1" s="213"/>
      <c r="G1" s="213"/>
      <c r="H1" s="213"/>
      <c r="I1" s="213"/>
      <c r="J1" s="213"/>
      <c r="K1" s="213"/>
      <c r="L1" s="213"/>
      <c r="M1" s="213"/>
    </row>
    <row r="2" spans="1:13" ht="12.75" customHeight="1" x14ac:dyDescent="0.3">
      <c r="A2" s="260" t="s">
        <v>3912</v>
      </c>
      <c r="B2" s="215"/>
      <c r="C2" s="215"/>
      <c r="D2" s="215"/>
      <c r="E2" s="215"/>
      <c r="F2" s="215"/>
      <c r="G2" s="215"/>
      <c r="H2" s="215"/>
      <c r="I2" s="215"/>
      <c r="J2" s="215"/>
      <c r="K2" s="215"/>
      <c r="L2" s="215"/>
      <c r="M2" s="215"/>
    </row>
    <row r="3" spans="1:13" ht="21" customHeight="1" x14ac:dyDescent="0.3">
      <c r="A3" s="172" t="s">
        <v>3913</v>
      </c>
      <c r="B3" s="173" t="s">
        <v>3914</v>
      </c>
      <c r="C3" s="174" t="s">
        <v>3915</v>
      </c>
      <c r="D3" s="174" t="s">
        <v>3916</v>
      </c>
      <c r="E3" s="174" t="s">
        <v>3917</v>
      </c>
      <c r="F3" s="175" t="s">
        <v>3918</v>
      </c>
      <c r="G3" s="174" t="s">
        <v>3919</v>
      </c>
      <c r="H3" s="174" t="s">
        <v>3920</v>
      </c>
      <c r="I3" s="174" t="s">
        <v>3921</v>
      </c>
      <c r="J3" s="174" t="s">
        <v>3922</v>
      </c>
      <c r="K3" s="173" t="s">
        <v>3923</v>
      </c>
      <c r="L3" s="174" t="s">
        <v>3924</v>
      </c>
      <c r="M3" s="174" t="s">
        <v>3925</v>
      </c>
    </row>
    <row r="4" spans="1:13" ht="9" customHeight="1" x14ac:dyDescent="0.3">
      <c r="A4" s="11"/>
      <c r="B4" s="176" t="s">
        <v>3926</v>
      </c>
      <c r="C4" s="11"/>
      <c r="D4" s="11"/>
      <c r="E4" s="11"/>
      <c r="F4" s="11"/>
      <c r="G4" s="11"/>
      <c r="H4" s="11"/>
      <c r="I4" s="11"/>
      <c r="J4" s="11"/>
      <c r="K4" s="11"/>
      <c r="L4" s="11"/>
      <c r="M4" s="11"/>
    </row>
    <row r="5" spans="1:13" ht="16.5" customHeight="1" x14ac:dyDescent="0.3">
      <c r="A5" s="177">
        <v>1</v>
      </c>
      <c r="B5" s="178" t="s">
        <v>3927</v>
      </c>
      <c r="C5" s="177">
        <v>1</v>
      </c>
      <c r="D5" s="10"/>
      <c r="E5" s="10"/>
      <c r="F5" s="10"/>
      <c r="G5" s="10"/>
      <c r="H5" s="10"/>
      <c r="I5" s="10"/>
      <c r="J5" s="10"/>
      <c r="K5" s="177">
        <v>1</v>
      </c>
      <c r="L5" s="179"/>
      <c r="M5" s="179"/>
    </row>
    <row r="6" spans="1:13" ht="16.5" customHeight="1" x14ac:dyDescent="0.3">
      <c r="A6" s="177">
        <v>2</v>
      </c>
      <c r="B6" s="178" t="s">
        <v>3928</v>
      </c>
      <c r="C6" s="177">
        <v>1</v>
      </c>
      <c r="D6" s="10"/>
      <c r="E6" s="10"/>
      <c r="F6" s="10"/>
      <c r="G6" s="10"/>
      <c r="H6" s="10"/>
      <c r="I6" s="10"/>
      <c r="J6" s="10"/>
      <c r="K6" s="177">
        <v>1</v>
      </c>
      <c r="L6" s="179"/>
      <c r="M6" s="179"/>
    </row>
    <row r="7" spans="1:13" ht="18" customHeight="1" x14ac:dyDescent="0.3">
      <c r="A7" s="177">
        <v>3</v>
      </c>
      <c r="B7" s="178" t="s">
        <v>3929</v>
      </c>
      <c r="C7" s="177">
        <v>2</v>
      </c>
      <c r="D7" s="10"/>
      <c r="E7" s="10"/>
      <c r="F7" s="10"/>
      <c r="G7" s="10"/>
      <c r="H7" s="10"/>
      <c r="I7" s="10"/>
      <c r="J7" s="10"/>
      <c r="K7" s="177">
        <v>2</v>
      </c>
      <c r="L7" s="180"/>
      <c r="M7" s="179"/>
    </row>
    <row r="8" spans="1:13" ht="16.5" customHeight="1" x14ac:dyDescent="0.3">
      <c r="A8" s="177">
        <v>4</v>
      </c>
      <c r="B8" s="178" t="s">
        <v>3930</v>
      </c>
      <c r="C8" s="10"/>
      <c r="D8" s="177">
        <v>2</v>
      </c>
      <c r="E8" s="10"/>
      <c r="F8" s="10"/>
      <c r="G8" s="10"/>
      <c r="H8" s="10"/>
      <c r="I8" s="10"/>
      <c r="J8" s="10"/>
      <c r="K8" s="177">
        <v>2</v>
      </c>
      <c r="L8" s="179"/>
      <c r="M8" s="179"/>
    </row>
    <row r="9" spans="1:13" ht="16.5" customHeight="1" x14ac:dyDescent="0.3">
      <c r="A9" s="177">
        <v>5</v>
      </c>
      <c r="B9" s="178" t="s">
        <v>3931</v>
      </c>
      <c r="C9" s="177">
        <v>5</v>
      </c>
      <c r="D9" s="10"/>
      <c r="E9" s="10"/>
      <c r="F9" s="10"/>
      <c r="G9" s="177">
        <v>1</v>
      </c>
      <c r="H9" s="10"/>
      <c r="I9" s="10"/>
      <c r="J9" s="10"/>
      <c r="K9" s="177">
        <v>6</v>
      </c>
      <c r="L9" s="179"/>
      <c r="M9" s="179"/>
    </row>
    <row r="10" spans="1:13" ht="16.5" customHeight="1" x14ac:dyDescent="0.3">
      <c r="A10" s="177">
        <v>6</v>
      </c>
      <c r="B10" s="178" t="s">
        <v>3932</v>
      </c>
      <c r="C10" s="10"/>
      <c r="D10" s="177">
        <v>1</v>
      </c>
      <c r="E10" s="10"/>
      <c r="F10" s="10"/>
      <c r="G10" s="10"/>
      <c r="H10" s="10"/>
      <c r="I10" s="10"/>
      <c r="J10" s="10"/>
      <c r="K10" s="177">
        <v>1</v>
      </c>
      <c r="L10" s="179"/>
      <c r="M10" s="179"/>
    </row>
    <row r="11" spans="1:13" ht="16.5" customHeight="1" x14ac:dyDescent="0.3">
      <c r="A11" s="177">
        <v>7</v>
      </c>
      <c r="B11" s="178" t="s">
        <v>3933</v>
      </c>
      <c r="C11" s="10"/>
      <c r="D11" s="10"/>
      <c r="E11" s="177">
        <v>1</v>
      </c>
      <c r="F11" s="177">
        <v>1</v>
      </c>
      <c r="G11" s="10"/>
      <c r="H11" s="10"/>
      <c r="I11" s="177">
        <v>1</v>
      </c>
      <c r="J11" s="10"/>
      <c r="K11" s="177">
        <v>5</v>
      </c>
      <c r="L11" s="179"/>
      <c r="M11" s="179"/>
    </row>
    <row r="12" spans="1:13" ht="16.5" customHeight="1" x14ac:dyDescent="0.3">
      <c r="A12" s="177">
        <v>8</v>
      </c>
      <c r="B12" s="178" t="s">
        <v>3934</v>
      </c>
      <c r="C12" s="10"/>
      <c r="D12" s="177">
        <v>1</v>
      </c>
      <c r="E12" s="10"/>
      <c r="F12" s="10"/>
      <c r="G12" s="10"/>
      <c r="H12" s="10"/>
      <c r="I12" s="10"/>
      <c r="J12" s="10"/>
      <c r="K12" s="177">
        <v>1</v>
      </c>
      <c r="L12" s="179"/>
      <c r="M12" s="179"/>
    </row>
    <row r="13" spans="1:13" ht="16.5" customHeight="1" x14ac:dyDescent="0.3">
      <c r="A13" s="177">
        <v>9</v>
      </c>
      <c r="B13" s="178" t="s">
        <v>3935</v>
      </c>
      <c r="C13" s="10"/>
      <c r="D13" s="10"/>
      <c r="E13" s="177">
        <v>1</v>
      </c>
      <c r="F13" s="10"/>
      <c r="G13" s="10"/>
      <c r="H13" s="10"/>
      <c r="I13" s="10"/>
      <c r="J13" s="10"/>
      <c r="K13" s="177">
        <v>1</v>
      </c>
      <c r="L13" s="179"/>
      <c r="M13" s="179"/>
    </row>
    <row r="14" spans="1:13" ht="16.5" customHeight="1" x14ac:dyDescent="0.3">
      <c r="A14" s="177">
        <v>10</v>
      </c>
      <c r="B14" s="178" t="s">
        <v>3936</v>
      </c>
      <c r="C14" s="10"/>
      <c r="D14" s="10"/>
      <c r="E14" s="177">
        <v>1</v>
      </c>
      <c r="F14" s="177">
        <v>1</v>
      </c>
      <c r="G14" s="177">
        <v>1</v>
      </c>
      <c r="H14" s="10"/>
      <c r="I14" s="177">
        <v>1</v>
      </c>
      <c r="J14" s="10"/>
      <c r="K14" s="177">
        <v>6</v>
      </c>
      <c r="L14" s="179"/>
      <c r="M14" s="179"/>
    </row>
    <row r="15" spans="1:13" ht="18" customHeight="1" x14ac:dyDescent="0.3">
      <c r="A15" s="177">
        <v>11</v>
      </c>
      <c r="B15" s="9" t="s">
        <v>3937</v>
      </c>
      <c r="C15" s="10"/>
      <c r="D15" s="10"/>
      <c r="E15" s="10"/>
      <c r="F15" s="10"/>
      <c r="G15" s="10"/>
      <c r="H15" s="10"/>
      <c r="I15" s="10"/>
      <c r="J15" s="177">
        <v>1</v>
      </c>
      <c r="K15" s="177">
        <v>1</v>
      </c>
      <c r="L15" s="179"/>
      <c r="M15" s="179"/>
    </row>
    <row r="16" spans="1:13" ht="16.5" customHeight="1" x14ac:dyDescent="0.3">
      <c r="A16" s="177">
        <v>12</v>
      </c>
      <c r="B16" s="178" t="s">
        <v>3938</v>
      </c>
      <c r="C16" s="177">
        <v>1</v>
      </c>
      <c r="D16" s="10"/>
      <c r="E16" s="10"/>
      <c r="F16" s="10"/>
      <c r="G16" s="10"/>
      <c r="H16" s="10"/>
      <c r="I16" s="10"/>
      <c r="J16" s="10"/>
      <c r="K16" s="177">
        <v>1</v>
      </c>
      <c r="L16" s="179"/>
      <c r="M16" s="179"/>
    </row>
    <row r="17" spans="1:13" ht="16.5" customHeight="1" x14ac:dyDescent="0.3">
      <c r="A17" s="177">
        <v>13</v>
      </c>
      <c r="B17" s="178" t="s">
        <v>3939</v>
      </c>
      <c r="C17" s="177">
        <v>1</v>
      </c>
      <c r="D17" s="10"/>
      <c r="E17" s="10"/>
      <c r="F17" s="10"/>
      <c r="G17" s="10"/>
      <c r="H17" s="10"/>
      <c r="I17" s="10"/>
      <c r="J17" s="10"/>
      <c r="K17" s="177">
        <v>1</v>
      </c>
      <c r="L17" s="179"/>
      <c r="M17" s="179"/>
    </row>
    <row r="18" spans="1:13" ht="16.5" customHeight="1" x14ac:dyDescent="0.3">
      <c r="A18" s="177">
        <v>14</v>
      </c>
      <c r="B18" s="178" t="s">
        <v>3940</v>
      </c>
      <c r="C18" s="10"/>
      <c r="D18" s="177">
        <v>1</v>
      </c>
      <c r="E18" s="10"/>
      <c r="F18" s="10"/>
      <c r="G18" s="10"/>
      <c r="H18" s="10"/>
      <c r="I18" s="10"/>
      <c r="J18" s="10"/>
      <c r="K18" s="177">
        <v>1</v>
      </c>
      <c r="L18" s="179"/>
      <c r="M18" s="179"/>
    </row>
    <row r="19" spans="1:13" ht="16.5" customHeight="1" x14ac:dyDescent="0.3">
      <c r="A19" s="177">
        <v>16</v>
      </c>
      <c r="B19" s="178" t="s">
        <v>3941</v>
      </c>
      <c r="C19" s="10"/>
      <c r="D19" s="10"/>
      <c r="E19" s="10"/>
      <c r="F19" s="10"/>
      <c r="G19" s="177">
        <v>1</v>
      </c>
      <c r="H19" s="10"/>
      <c r="I19" s="10"/>
      <c r="J19" s="10"/>
      <c r="K19" s="177">
        <v>1</v>
      </c>
      <c r="L19" s="179"/>
      <c r="M19" s="179"/>
    </row>
    <row r="20" spans="1:13" ht="16.5" customHeight="1" x14ac:dyDescent="0.3">
      <c r="A20" s="177">
        <v>18</v>
      </c>
      <c r="B20" s="178" t="s">
        <v>3942</v>
      </c>
      <c r="C20" s="10"/>
      <c r="D20" s="177">
        <v>1</v>
      </c>
      <c r="E20" s="10"/>
      <c r="F20" s="10"/>
      <c r="G20" s="10"/>
      <c r="H20" s="10"/>
      <c r="I20" s="10"/>
      <c r="J20" s="10"/>
      <c r="K20" s="177">
        <v>1</v>
      </c>
      <c r="L20" s="179"/>
      <c r="M20" s="179"/>
    </row>
    <row r="21" spans="1:13" ht="16.5" customHeight="1" x14ac:dyDescent="0.3">
      <c r="A21" s="177">
        <v>19</v>
      </c>
      <c r="B21" s="178" t="s">
        <v>3943</v>
      </c>
      <c r="C21" s="10"/>
      <c r="D21" s="177">
        <v>1</v>
      </c>
      <c r="E21" s="10"/>
      <c r="F21" s="10"/>
      <c r="G21" s="10"/>
      <c r="H21" s="10"/>
      <c r="I21" s="10"/>
      <c r="J21" s="10"/>
      <c r="K21" s="177">
        <v>1</v>
      </c>
      <c r="L21" s="179"/>
      <c r="M21" s="179"/>
    </row>
    <row r="22" spans="1:13" ht="16.5" customHeight="1" x14ac:dyDescent="0.3">
      <c r="A22" s="177">
        <v>20</v>
      </c>
      <c r="B22" s="178" t="s">
        <v>3944</v>
      </c>
      <c r="C22" s="10"/>
      <c r="D22" s="177">
        <v>1</v>
      </c>
      <c r="E22" s="10"/>
      <c r="F22" s="10"/>
      <c r="G22" s="10"/>
      <c r="H22" s="10"/>
      <c r="I22" s="10"/>
      <c r="J22" s="10"/>
      <c r="K22" s="177">
        <v>1</v>
      </c>
      <c r="L22" s="179"/>
      <c r="M22" s="179"/>
    </row>
    <row r="23" spans="1:13" ht="16.5" customHeight="1" x14ac:dyDescent="0.3">
      <c r="A23" s="177">
        <v>21</v>
      </c>
      <c r="B23" s="178" t="s">
        <v>3945</v>
      </c>
      <c r="C23" s="10"/>
      <c r="D23" s="10"/>
      <c r="E23" s="177">
        <v>3</v>
      </c>
      <c r="F23" s="177">
        <v>4</v>
      </c>
      <c r="G23" s="177">
        <v>4</v>
      </c>
      <c r="H23" s="10"/>
      <c r="I23" s="177">
        <v>4</v>
      </c>
      <c r="J23" s="10"/>
      <c r="K23" s="177">
        <v>23</v>
      </c>
      <c r="L23" s="179"/>
      <c r="M23" s="179"/>
    </row>
    <row r="24" spans="1:13" ht="16.5" customHeight="1" x14ac:dyDescent="0.3">
      <c r="A24" s="177">
        <v>22</v>
      </c>
      <c r="B24" s="178" t="s">
        <v>3946</v>
      </c>
      <c r="C24" s="10"/>
      <c r="D24" s="10"/>
      <c r="E24" s="177">
        <v>1</v>
      </c>
      <c r="F24" s="177">
        <v>1</v>
      </c>
      <c r="G24" s="177">
        <v>1</v>
      </c>
      <c r="H24" s="177">
        <v>1</v>
      </c>
      <c r="I24" s="177">
        <v>1</v>
      </c>
      <c r="J24" s="177">
        <v>1</v>
      </c>
      <c r="K24" s="177">
        <v>8</v>
      </c>
      <c r="L24" s="179"/>
      <c r="M24" s="179"/>
    </row>
    <row r="25" spans="1:13" ht="16.5" customHeight="1" x14ac:dyDescent="0.3">
      <c r="A25" s="177">
        <v>23</v>
      </c>
      <c r="B25" s="178" t="s">
        <v>3947</v>
      </c>
      <c r="C25" s="10"/>
      <c r="D25" s="10"/>
      <c r="E25" s="10"/>
      <c r="F25" s="10"/>
      <c r="G25" s="10"/>
      <c r="H25" s="177">
        <v>1</v>
      </c>
      <c r="I25" s="10"/>
      <c r="J25" s="10"/>
      <c r="K25" s="177">
        <v>1</v>
      </c>
      <c r="L25" s="179"/>
      <c r="M25" s="179"/>
    </row>
    <row r="26" spans="1:13" ht="16.5" customHeight="1" x14ac:dyDescent="0.3">
      <c r="A26" s="177">
        <v>24</v>
      </c>
      <c r="B26" s="178" t="s">
        <v>3948</v>
      </c>
      <c r="C26" s="10"/>
      <c r="D26" s="177">
        <v>1</v>
      </c>
      <c r="E26" s="10"/>
      <c r="F26" s="10"/>
      <c r="G26" s="10"/>
      <c r="H26" s="10"/>
      <c r="I26" s="10"/>
      <c r="J26" s="10"/>
      <c r="K26" s="177">
        <v>1</v>
      </c>
      <c r="L26" s="179"/>
      <c r="M26" s="179"/>
    </row>
    <row r="27" spans="1:13" ht="16.5" customHeight="1" x14ac:dyDescent="0.3">
      <c r="A27" s="177">
        <v>25</v>
      </c>
      <c r="B27" s="178" t="s">
        <v>3949</v>
      </c>
      <c r="C27" s="10"/>
      <c r="D27" s="177">
        <v>1</v>
      </c>
      <c r="E27" s="10"/>
      <c r="F27" s="10"/>
      <c r="G27" s="10"/>
      <c r="H27" s="10"/>
      <c r="I27" s="10"/>
      <c r="J27" s="10"/>
      <c r="K27" s="177">
        <v>1</v>
      </c>
      <c r="L27" s="179"/>
      <c r="M27" s="179"/>
    </row>
    <row r="28" spans="1:13" ht="16.5" customHeight="1" x14ac:dyDescent="0.3">
      <c r="A28" s="177">
        <v>26</v>
      </c>
      <c r="B28" s="178" t="s">
        <v>3950</v>
      </c>
      <c r="C28" s="10"/>
      <c r="D28" s="10"/>
      <c r="E28" s="10"/>
      <c r="F28" s="10"/>
      <c r="G28" s="10"/>
      <c r="H28" s="177">
        <v>1</v>
      </c>
      <c r="I28" s="10"/>
      <c r="J28" s="10"/>
      <c r="K28" s="177">
        <v>1</v>
      </c>
      <c r="L28" s="179"/>
      <c r="M28" s="179"/>
    </row>
    <row r="29" spans="1:13" ht="16.5" customHeight="1" x14ac:dyDescent="0.3">
      <c r="A29" s="177">
        <v>27</v>
      </c>
      <c r="B29" s="178" t="s">
        <v>3951</v>
      </c>
      <c r="C29" s="10"/>
      <c r="D29" s="10"/>
      <c r="E29" s="10"/>
      <c r="F29" s="10"/>
      <c r="G29" s="10"/>
      <c r="H29" s="177">
        <v>1</v>
      </c>
      <c r="I29" s="10"/>
      <c r="J29" s="10"/>
      <c r="K29" s="177">
        <v>1</v>
      </c>
      <c r="L29" s="179"/>
      <c r="M29" s="179"/>
    </row>
    <row r="30" spans="1:13" ht="16.5" customHeight="1" x14ac:dyDescent="0.3">
      <c r="A30" s="177">
        <v>28</v>
      </c>
      <c r="B30" s="178" t="s">
        <v>3952</v>
      </c>
      <c r="C30" s="10"/>
      <c r="D30" s="10"/>
      <c r="E30" s="10"/>
      <c r="F30" s="10"/>
      <c r="G30" s="10"/>
      <c r="H30" s="10"/>
      <c r="I30" s="10"/>
      <c r="J30" s="177">
        <v>1</v>
      </c>
      <c r="K30" s="177">
        <v>1</v>
      </c>
      <c r="L30" s="179"/>
      <c r="M30" s="179"/>
    </row>
    <row r="31" spans="1:13" ht="16.5" customHeight="1" x14ac:dyDescent="0.3">
      <c r="A31" s="177">
        <v>29</v>
      </c>
      <c r="B31" s="178" t="s">
        <v>3953</v>
      </c>
      <c r="C31" s="10"/>
      <c r="D31" s="10"/>
      <c r="E31" s="10"/>
      <c r="F31" s="10"/>
      <c r="G31" s="10"/>
      <c r="H31" s="10"/>
      <c r="I31" s="10"/>
      <c r="J31" s="177">
        <v>3</v>
      </c>
      <c r="K31" s="177">
        <v>3</v>
      </c>
      <c r="L31" s="179"/>
      <c r="M31" s="179"/>
    </row>
    <row r="32" spans="1:13" ht="16.5" customHeight="1" x14ac:dyDescent="0.3">
      <c r="A32" s="177">
        <v>30</v>
      </c>
      <c r="B32" s="178" t="s">
        <v>3954</v>
      </c>
      <c r="C32" s="10"/>
      <c r="D32" s="10"/>
      <c r="E32" s="10"/>
      <c r="F32" s="10"/>
      <c r="G32" s="10"/>
      <c r="H32" s="10"/>
      <c r="I32" s="10"/>
      <c r="J32" s="177">
        <v>1</v>
      </c>
      <c r="K32" s="177">
        <v>1</v>
      </c>
      <c r="L32" s="179"/>
      <c r="M32" s="179"/>
    </row>
    <row r="33" spans="1:13" ht="16.5" customHeight="1" x14ac:dyDescent="0.3">
      <c r="A33" s="177">
        <v>31</v>
      </c>
      <c r="B33" s="178" t="s">
        <v>3955</v>
      </c>
      <c r="C33" s="10"/>
      <c r="D33" s="10"/>
      <c r="E33" s="10"/>
      <c r="F33" s="10"/>
      <c r="G33" s="10"/>
      <c r="H33" s="10"/>
      <c r="I33" s="10"/>
      <c r="J33" s="177">
        <v>1</v>
      </c>
      <c r="K33" s="177">
        <v>1</v>
      </c>
      <c r="L33" s="179"/>
      <c r="M33" s="179"/>
    </row>
    <row r="34" spans="1:13" ht="16.5" customHeight="1" x14ac:dyDescent="0.3">
      <c r="A34" s="177">
        <v>32</v>
      </c>
      <c r="B34" s="178" t="s">
        <v>3956</v>
      </c>
      <c r="C34" s="10"/>
      <c r="D34" s="10"/>
      <c r="E34" s="10"/>
      <c r="F34" s="10"/>
      <c r="G34" s="10"/>
      <c r="H34" s="10"/>
      <c r="I34" s="10"/>
      <c r="J34" s="177">
        <v>2</v>
      </c>
      <c r="K34" s="177">
        <v>2</v>
      </c>
      <c r="L34" s="179"/>
      <c r="M34" s="179"/>
    </row>
    <row r="35" spans="1:13" ht="16.5" customHeight="1" x14ac:dyDescent="0.3">
      <c r="A35" s="177">
        <v>33</v>
      </c>
      <c r="B35" s="178" t="s">
        <v>3957</v>
      </c>
      <c r="C35" s="10"/>
      <c r="D35" s="177">
        <v>1</v>
      </c>
      <c r="E35" s="10"/>
      <c r="F35" s="10"/>
      <c r="G35" s="10"/>
      <c r="H35" s="10"/>
      <c r="I35" s="10"/>
      <c r="J35" s="177">
        <v>2</v>
      </c>
      <c r="K35" s="177">
        <v>3</v>
      </c>
      <c r="L35" s="179"/>
      <c r="M35" s="179"/>
    </row>
    <row r="36" spans="1:13" ht="16.5" customHeight="1" x14ac:dyDescent="0.3">
      <c r="A36" s="177">
        <v>34</v>
      </c>
      <c r="B36" s="178" t="s">
        <v>3958</v>
      </c>
      <c r="C36" s="10"/>
      <c r="D36" s="10"/>
      <c r="E36" s="10"/>
      <c r="F36" s="10"/>
      <c r="G36" s="10"/>
      <c r="H36" s="10"/>
      <c r="I36" s="10"/>
      <c r="J36" s="177">
        <v>1</v>
      </c>
      <c r="K36" s="177">
        <v>1</v>
      </c>
      <c r="L36" s="179"/>
      <c r="M36" s="179"/>
    </row>
    <row r="37" spans="1:13" ht="16.5" customHeight="1" x14ac:dyDescent="0.3">
      <c r="A37" s="177">
        <v>35</v>
      </c>
      <c r="B37" s="178" t="s">
        <v>3959</v>
      </c>
      <c r="C37" s="177">
        <v>1</v>
      </c>
      <c r="D37" s="10"/>
      <c r="E37" s="10"/>
      <c r="F37" s="10"/>
      <c r="G37" s="10"/>
      <c r="H37" s="10"/>
      <c r="I37" s="10"/>
      <c r="J37" s="10"/>
      <c r="K37" s="177">
        <v>1</v>
      </c>
      <c r="L37" s="179"/>
      <c r="M37" s="179"/>
    </row>
    <row r="38" spans="1:13" ht="16.5" customHeight="1" x14ac:dyDescent="0.3">
      <c r="A38" s="177">
        <v>36</v>
      </c>
      <c r="B38" s="178" t="s">
        <v>3960</v>
      </c>
      <c r="C38" s="177">
        <v>1</v>
      </c>
      <c r="D38" s="10"/>
      <c r="E38" s="10"/>
      <c r="F38" s="10"/>
      <c r="G38" s="10"/>
      <c r="H38" s="10"/>
      <c r="I38" s="10"/>
      <c r="J38" s="10"/>
      <c r="K38" s="177">
        <v>1</v>
      </c>
      <c r="L38" s="179"/>
      <c r="M38" s="179"/>
    </row>
    <row r="39" spans="1:13" ht="16.5" customHeight="1" x14ac:dyDescent="0.3">
      <c r="A39" s="177">
        <v>37</v>
      </c>
      <c r="B39" s="178" t="s">
        <v>3961</v>
      </c>
      <c r="C39" s="10"/>
      <c r="D39" s="10"/>
      <c r="E39" s="10"/>
      <c r="F39" s="10"/>
      <c r="G39" s="10"/>
      <c r="H39" s="177">
        <v>1</v>
      </c>
      <c r="I39" s="10"/>
      <c r="J39" s="10"/>
      <c r="K39" s="177">
        <v>1</v>
      </c>
      <c r="L39" s="179"/>
      <c r="M39" s="179"/>
    </row>
    <row r="40" spans="1:13" ht="16.5" customHeight="1" x14ac:dyDescent="0.3">
      <c r="A40" s="177">
        <v>38</v>
      </c>
      <c r="B40" s="178" t="s">
        <v>3962</v>
      </c>
      <c r="C40" s="10"/>
      <c r="D40" s="10"/>
      <c r="E40" s="177">
        <v>2</v>
      </c>
      <c r="F40" s="177">
        <v>2</v>
      </c>
      <c r="G40" s="177">
        <v>2</v>
      </c>
      <c r="H40" s="177">
        <v>2</v>
      </c>
      <c r="I40" s="177">
        <v>2</v>
      </c>
      <c r="J40" s="177">
        <v>2</v>
      </c>
      <c r="K40" s="177">
        <v>16</v>
      </c>
      <c r="L40" s="179"/>
      <c r="M40" s="179"/>
    </row>
    <row r="41" spans="1:13" ht="16.5" customHeight="1" x14ac:dyDescent="0.3">
      <c r="A41" s="177">
        <v>39</v>
      </c>
      <c r="B41" s="178" t="s">
        <v>3963</v>
      </c>
      <c r="C41" s="10"/>
      <c r="D41" s="177">
        <v>2</v>
      </c>
      <c r="E41" s="177">
        <v>4</v>
      </c>
      <c r="F41" s="177">
        <v>4</v>
      </c>
      <c r="G41" s="177">
        <v>4</v>
      </c>
      <c r="H41" s="10"/>
      <c r="I41" s="177">
        <v>4</v>
      </c>
      <c r="J41" s="10"/>
      <c r="K41" s="177">
        <v>26</v>
      </c>
      <c r="L41" s="179"/>
      <c r="M41" s="179"/>
    </row>
    <row r="42" spans="1:13" ht="16.5" customHeight="1" x14ac:dyDescent="0.3">
      <c r="A42" s="177">
        <v>40</v>
      </c>
      <c r="B42" s="178" t="s">
        <v>3964</v>
      </c>
      <c r="C42" s="177">
        <v>1</v>
      </c>
      <c r="D42" s="10"/>
      <c r="E42" s="10"/>
      <c r="F42" s="10"/>
      <c r="G42" s="10"/>
      <c r="H42" s="10"/>
      <c r="I42" s="10"/>
      <c r="J42" s="10"/>
      <c r="K42" s="177">
        <v>1</v>
      </c>
      <c r="L42" s="179"/>
      <c r="M42" s="179"/>
    </row>
    <row r="43" spans="1:13" ht="18" customHeight="1" x14ac:dyDescent="0.3">
      <c r="A43" s="10"/>
      <c r="B43" s="176" t="s">
        <v>3965</v>
      </c>
      <c r="C43" s="10"/>
      <c r="D43" s="10"/>
      <c r="E43" s="10"/>
      <c r="F43" s="10"/>
      <c r="G43" s="10"/>
      <c r="H43" s="10"/>
      <c r="I43" s="10"/>
      <c r="J43" s="10"/>
      <c r="K43" s="10"/>
      <c r="L43" s="10"/>
      <c r="M43" s="181"/>
    </row>
    <row r="44" spans="1:13" ht="12.75" customHeight="1" x14ac:dyDescent="0.3"/>
    <row r="45" spans="1:13" ht="12.75" customHeight="1" x14ac:dyDescent="0.3"/>
    <row r="46" spans="1:13" ht="12.75" customHeight="1" x14ac:dyDescent="0.3"/>
    <row r="47" spans="1:13" ht="12.75" customHeight="1" x14ac:dyDescent="0.3"/>
    <row r="48" spans="1:13"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2">
    <mergeCell ref="A1:M1"/>
    <mergeCell ref="A2:M2"/>
  </mergeCells>
  <hyperlinks>
    <hyperlink ref="A3" r:id="rId1"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workbookViewId="0"/>
  </sheetViews>
  <sheetFormatPr defaultColWidth="14.3984375" defaultRowHeight="15" customHeight="1" x14ac:dyDescent="0.3"/>
  <cols>
    <col min="1" max="1" width="7.09765625" customWidth="1"/>
    <col min="2" max="2" width="93.296875" customWidth="1"/>
    <col min="3" max="3" width="11.296875" customWidth="1"/>
    <col min="4" max="4" width="6.09765625" customWidth="1"/>
    <col min="5" max="5" width="18.09765625" customWidth="1"/>
    <col min="6" max="6" width="23.69921875" customWidth="1"/>
    <col min="7" max="7" width="18.69921875" customWidth="1"/>
    <col min="8" max="26" width="8.69921875" customWidth="1"/>
  </cols>
  <sheetData>
    <row r="1" spans="1:7" ht="12" customHeight="1" x14ac:dyDescent="0.3">
      <c r="A1" s="261" t="s">
        <v>3966</v>
      </c>
      <c r="B1" s="213"/>
      <c r="C1" s="213"/>
      <c r="D1" s="213"/>
      <c r="E1" s="213"/>
      <c r="F1" s="213"/>
      <c r="G1" s="213"/>
    </row>
    <row r="2" spans="1:7" ht="24" customHeight="1" x14ac:dyDescent="0.3">
      <c r="A2" s="233" t="s">
        <v>3967</v>
      </c>
      <c r="B2" s="213"/>
      <c r="C2" s="213"/>
      <c r="D2" s="213"/>
      <c r="E2" s="213"/>
      <c r="F2" s="213"/>
      <c r="G2" s="213"/>
    </row>
    <row r="3" spans="1:7" ht="12" customHeight="1" x14ac:dyDescent="0.3">
      <c r="A3" s="262" t="s">
        <v>3968</v>
      </c>
      <c r="B3" s="215"/>
      <c r="C3" s="215"/>
      <c r="D3" s="215"/>
      <c r="E3" s="215"/>
      <c r="F3" s="215"/>
    </row>
    <row r="4" spans="1:7" ht="15.75" customHeight="1" x14ac:dyDescent="0.3">
      <c r="A4" s="65" t="s">
        <v>3969</v>
      </c>
      <c r="B4" s="65" t="s">
        <v>3970</v>
      </c>
      <c r="C4" s="65" t="s">
        <v>3971</v>
      </c>
      <c r="D4" s="65" t="s">
        <v>3972</v>
      </c>
      <c r="E4" s="65" t="s">
        <v>3973</v>
      </c>
      <c r="F4" s="65" t="s">
        <v>3974</v>
      </c>
    </row>
    <row r="5" spans="1:7" ht="12" customHeight="1" x14ac:dyDescent="0.3">
      <c r="A5" s="11"/>
      <c r="B5" s="182" t="s">
        <v>3975</v>
      </c>
      <c r="C5" s="11"/>
      <c r="D5" s="11"/>
      <c r="E5" s="11"/>
      <c r="F5" s="11"/>
    </row>
    <row r="6" spans="1:7" ht="12" customHeight="1" x14ac:dyDescent="0.3">
      <c r="A6" s="182" t="s">
        <v>3976</v>
      </c>
      <c r="B6" s="88" t="s">
        <v>3977</v>
      </c>
      <c r="C6" s="11"/>
      <c r="D6" s="11"/>
      <c r="E6" s="11"/>
      <c r="F6" s="11"/>
    </row>
    <row r="7" spans="1:7" ht="51" customHeight="1" x14ac:dyDescent="0.3">
      <c r="A7" s="83">
        <v>1</v>
      </c>
      <c r="B7" s="166" t="s">
        <v>3978</v>
      </c>
      <c r="C7" s="82" t="s">
        <v>3979</v>
      </c>
      <c r="D7" s="83">
        <v>1</v>
      </c>
      <c r="E7" s="183"/>
      <c r="F7" s="183"/>
    </row>
    <row r="8" spans="1:7" ht="30.75" customHeight="1" x14ac:dyDescent="0.3">
      <c r="A8" s="83">
        <v>2</v>
      </c>
      <c r="B8" s="166" t="s">
        <v>3980</v>
      </c>
      <c r="C8" s="82" t="s">
        <v>3981</v>
      </c>
      <c r="D8" s="83">
        <v>2</v>
      </c>
      <c r="E8" s="183"/>
      <c r="F8" s="183"/>
    </row>
    <row r="9" spans="1:7" ht="42.75" customHeight="1" x14ac:dyDescent="0.3">
      <c r="A9" s="68">
        <v>3</v>
      </c>
      <c r="B9" s="9" t="s">
        <v>3982</v>
      </c>
      <c r="C9" s="72" t="s">
        <v>3983</v>
      </c>
      <c r="D9" s="68">
        <v>2</v>
      </c>
      <c r="E9" s="184"/>
      <c r="F9" s="184"/>
    </row>
    <row r="10" spans="1:7" ht="12" customHeight="1" x14ac:dyDescent="0.3">
      <c r="A10" s="182" t="s">
        <v>3984</v>
      </c>
      <c r="B10" s="163" t="s">
        <v>3985</v>
      </c>
      <c r="C10" s="11"/>
      <c r="D10" s="11"/>
      <c r="E10" s="11"/>
      <c r="F10" s="11"/>
    </row>
    <row r="11" spans="1:7" ht="33.75" customHeight="1" x14ac:dyDescent="0.3">
      <c r="A11" s="68">
        <v>1</v>
      </c>
      <c r="B11" s="166" t="s">
        <v>3986</v>
      </c>
      <c r="C11" s="72" t="s">
        <v>3987</v>
      </c>
      <c r="D11" s="68">
        <v>16</v>
      </c>
      <c r="E11" s="184"/>
      <c r="F11" s="184"/>
    </row>
    <row r="12" spans="1:7" ht="42.75" customHeight="1" x14ac:dyDescent="0.3">
      <c r="A12" s="68">
        <v>2</v>
      </c>
      <c r="B12" s="9" t="s">
        <v>3988</v>
      </c>
      <c r="C12" s="72" t="s">
        <v>3989</v>
      </c>
      <c r="D12" s="68">
        <v>2</v>
      </c>
      <c r="E12" s="184"/>
      <c r="F12" s="184"/>
    </row>
    <row r="13" spans="1:7" ht="12" customHeight="1" x14ac:dyDescent="0.3">
      <c r="A13" s="182" t="s">
        <v>3990</v>
      </c>
      <c r="B13" s="163" t="s">
        <v>3991</v>
      </c>
      <c r="C13" s="11"/>
      <c r="D13" s="11"/>
      <c r="E13" s="11"/>
      <c r="F13" s="11"/>
    </row>
    <row r="14" spans="1:7" ht="30.75" customHeight="1" x14ac:dyDescent="0.3">
      <c r="A14" s="83">
        <v>1</v>
      </c>
      <c r="B14" s="166" t="s">
        <v>3992</v>
      </c>
      <c r="C14" s="82" t="s">
        <v>3993</v>
      </c>
      <c r="D14" s="83">
        <v>3</v>
      </c>
      <c r="E14" s="183"/>
      <c r="F14" s="183"/>
    </row>
    <row r="15" spans="1:7" ht="33.75" customHeight="1" x14ac:dyDescent="0.3">
      <c r="A15" s="68">
        <v>2</v>
      </c>
      <c r="B15" s="9" t="s">
        <v>3994</v>
      </c>
      <c r="C15" s="72" t="s">
        <v>3995</v>
      </c>
      <c r="D15" s="68">
        <v>1</v>
      </c>
      <c r="E15" s="184"/>
      <c r="F15" s="184"/>
    </row>
    <row r="16" spans="1:7" ht="33.75" customHeight="1" x14ac:dyDescent="0.3">
      <c r="A16" s="68">
        <v>3</v>
      </c>
      <c r="B16" s="9" t="s">
        <v>3996</v>
      </c>
      <c r="C16" s="72" t="s">
        <v>3997</v>
      </c>
      <c r="D16" s="68">
        <v>1</v>
      </c>
      <c r="E16" s="184"/>
      <c r="F16" s="184"/>
    </row>
    <row r="17" spans="1:6" ht="18" customHeight="1" x14ac:dyDescent="0.3">
      <c r="A17" s="68">
        <v>4</v>
      </c>
      <c r="B17" s="9" t="s">
        <v>3998</v>
      </c>
      <c r="C17" s="72" t="s">
        <v>3999</v>
      </c>
      <c r="D17" s="68">
        <v>1</v>
      </c>
      <c r="E17" s="184"/>
      <c r="F17" s="184"/>
    </row>
    <row r="18" spans="1:6" ht="30.75" customHeight="1" x14ac:dyDescent="0.3">
      <c r="A18" s="83">
        <v>5</v>
      </c>
      <c r="B18" s="9" t="s">
        <v>4000</v>
      </c>
      <c r="C18" s="82" t="s">
        <v>4001</v>
      </c>
      <c r="D18" s="83">
        <v>1</v>
      </c>
      <c r="E18" s="183"/>
      <c r="F18" s="183"/>
    </row>
    <row r="19" spans="1:6" ht="30.75" customHeight="1" x14ac:dyDescent="0.3">
      <c r="A19" s="83">
        <v>6</v>
      </c>
      <c r="B19" s="9" t="s">
        <v>4002</v>
      </c>
      <c r="C19" s="82" t="s">
        <v>4003</v>
      </c>
      <c r="D19" s="83">
        <v>1</v>
      </c>
      <c r="E19" s="183"/>
      <c r="F19" s="183"/>
    </row>
    <row r="20" spans="1:6" ht="12" customHeight="1" x14ac:dyDescent="0.3">
      <c r="A20" s="182" t="s">
        <v>4004</v>
      </c>
      <c r="B20" s="163" t="s">
        <v>4005</v>
      </c>
      <c r="C20" s="11"/>
      <c r="D20" s="11"/>
      <c r="E20" s="11"/>
      <c r="F20" s="11"/>
    </row>
    <row r="21" spans="1:6" ht="30.75" customHeight="1" x14ac:dyDescent="0.3">
      <c r="A21" s="83">
        <v>1</v>
      </c>
      <c r="B21" s="166" t="s">
        <v>4006</v>
      </c>
      <c r="C21" s="82" t="s">
        <v>4007</v>
      </c>
      <c r="D21" s="83">
        <v>1</v>
      </c>
      <c r="E21" s="183"/>
      <c r="F21" s="183"/>
    </row>
    <row r="22" spans="1:6" ht="30.75" customHeight="1" x14ac:dyDescent="0.3">
      <c r="A22" s="83">
        <v>2</v>
      </c>
      <c r="B22" s="166" t="s">
        <v>4008</v>
      </c>
      <c r="C22" s="82" t="s">
        <v>4009</v>
      </c>
      <c r="D22" s="83">
        <v>200</v>
      </c>
      <c r="E22" s="185"/>
      <c r="F22" s="183"/>
    </row>
    <row r="23" spans="1:6" ht="30.75" customHeight="1" x14ac:dyDescent="0.3">
      <c r="A23" s="83">
        <v>3</v>
      </c>
      <c r="B23" s="166" t="s">
        <v>4010</v>
      </c>
      <c r="C23" s="82" t="s">
        <v>4011</v>
      </c>
      <c r="D23" s="83">
        <v>2</v>
      </c>
      <c r="E23" s="183"/>
      <c r="F23" s="183"/>
    </row>
    <row r="24" spans="1:6" ht="30.75" customHeight="1" x14ac:dyDescent="0.3">
      <c r="A24" s="83">
        <v>4</v>
      </c>
      <c r="B24" s="166" t="s">
        <v>4012</v>
      </c>
      <c r="C24" s="82" t="s">
        <v>4013</v>
      </c>
      <c r="D24" s="83">
        <v>100</v>
      </c>
      <c r="E24" s="185"/>
      <c r="F24" s="183"/>
    </row>
    <row r="25" spans="1:6" ht="30.75" customHeight="1" x14ac:dyDescent="0.3">
      <c r="A25" s="83">
        <v>5</v>
      </c>
      <c r="B25" s="166" t="s">
        <v>4014</v>
      </c>
      <c r="C25" s="82" t="s">
        <v>4015</v>
      </c>
      <c r="D25" s="83">
        <v>120</v>
      </c>
      <c r="E25" s="185"/>
      <c r="F25" s="183"/>
    </row>
    <row r="26" spans="1:6" ht="33.75" customHeight="1" x14ac:dyDescent="0.3">
      <c r="A26" s="68">
        <v>6</v>
      </c>
      <c r="B26" s="166" t="s">
        <v>4016</v>
      </c>
      <c r="C26" s="72" t="s">
        <v>4017</v>
      </c>
      <c r="D26" s="68">
        <v>1</v>
      </c>
      <c r="E26" s="184"/>
      <c r="F26" s="184"/>
    </row>
    <row r="27" spans="1:6" ht="12" customHeight="1" x14ac:dyDescent="0.3">
      <c r="A27" s="11"/>
      <c r="B27" s="186" t="s">
        <v>4018</v>
      </c>
      <c r="C27" s="11"/>
      <c r="D27" s="11"/>
      <c r="E27" s="11"/>
      <c r="F27" s="187"/>
    </row>
    <row r="28" spans="1:6" ht="9.75" customHeight="1" x14ac:dyDescent="0.3">
      <c r="A28" s="11"/>
      <c r="B28" s="11"/>
      <c r="C28" s="229"/>
      <c r="D28" s="220"/>
      <c r="E28" s="220"/>
      <c r="F28" s="220"/>
    </row>
    <row r="29" spans="1:6" ht="9.75" customHeight="1" x14ac:dyDescent="0.3">
      <c r="A29" s="11"/>
      <c r="B29" s="186" t="s">
        <v>4019</v>
      </c>
      <c r="C29" s="11"/>
      <c r="D29" s="11"/>
      <c r="E29" s="11"/>
      <c r="F29" s="11"/>
    </row>
    <row r="30" spans="1:6" ht="12" customHeight="1" x14ac:dyDescent="0.3">
      <c r="A30" s="182" t="s">
        <v>4020</v>
      </c>
      <c r="B30" s="163" t="s">
        <v>4021</v>
      </c>
      <c r="C30" s="11"/>
      <c r="D30" s="11"/>
      <c r="E30" s="11"/>
      <c r="F30" s="11"/>
    </row>
    <row r="31" spans="1:6" ht="85.5" customHeight="1" x14ac:dyDescent="0.3">
      <c r="A31" s="83">
        <v>1</v>
      </c>
      <c r="B31" s="9" t="s">
        <v>4022</v>
      </c>
      <c r="C31" s="82" t="s">
        <v>4023</v>
      </c>
      <c r="D31" s="83">
        <v>1</v>
      </c>
      <c r="E31" s="183"/>
      <c r="F31" s="183"/>
    </row>
    <row r="32" spans="1:6" ht="30.75" customHeight="1" x14ac:dyDescent="0.3">
      <c r="A32" s="83">
        <v>2</v>
      </c>
      <c r="B32" s="166" t="s">
        <v>4024</v>
      </c>
      <c r="C32" s="82" t="s">
        <v>4025</v>
      </c>
      <c r="D32" s="83">
        <v>1</v>
      </c>
      <c r="E32" s="183"/>
      <c r="F32" s="183"/>
    </row>
    <row r="33" spans="1:6" ht="12" customHeight="1" x14ac:dyDescent="0.3">
      <c r="A33" s="182" t="s">
        <v>4026</v>
      </c>
      <c r="B33" s="163" t="s">
        <v>4027</v>
      </c>
      <c r="C33" s="11"/>
      <c r="D33" s="11"/>
      <c r="E33" s="11"/>
      <c r="F33" s="11"/>
    </row>
    <row r="34" spans="1:6" ht="68.25" customHeight="1" x14ac:dyDescent="0.3">
      <c r="A34" s="83">
        <v>1</v>
      </c>
      <c r="B34" s="166" t="s">
        <v>4028</v>
      </c>
      <c r="C34" s="82" t="s">
        <v>4029</v>
      </c>
      <c r="D34" s="83">
        <v>1</v>
      </c>
      <c r="E34" s="183"/>
      <c r="F34" s="183"/>
    </row>
    <row r="35" spans="1:6" ht="68.25" customHeight="1" x14ac:dyDescent="0.3">
      <c r="A35" s="83">
        <v>2</v>
      </c>
      <c r="B35" s="166" t="s">
        <v>4030</v>
      </c>
      <c r="C35" s="82" t="s">
        <v>4031</v>
      </c>
      <c r="D35" s="83">
        <v>1</v>
      </c>
      <c r="E35" s="183"/>
      <c r="F35" s="183"/>
    </row>
    <row r="36" spans="1:6" ht="33.75" customHeight="1" x14ac:dyDescent="0.3">
      <c r="A36" s="68">
        <v>3</v>
      </c>
      <c r="B36" s="166" t="s">
        <v>4032</v>
      </c>
      <c r="C36" s="72" t="s">
        <v>4033</v>
      </c>
      <c r="D36" s="68">
        <v>8</v>
      </c>
      <c r="E36" s="184"/>
      <c r="F36" s="184"/>
    </row>
    <row r="37" spans="1:6" ht="20.25" customHeight="1" x14ac:dyDescent="0.3">
      <c r="A37" s="68">
        <v>4</v>
      </c>
      <c r="B37" s="166" t="s">
        <v>4034</v>
      </c>
      <c r="C37" s="72" t="s">
        <v>4035</v>
      </c>
      <c r="D37" s="68">
        <v>1</v>
      </c>
      <c r="E37" s="184"/>
      <c r="F37" s="184"/>
    </row>
    <row r="38" spans="1:6" ht="12" customHeight="1" x14ac:dyDescent="0.3">
      <c r="A38" s="182" t="s">
        <v>4036</v>
      </c>
      <c r="B38" s="163" t="s">
        <v>4037</v>
      </c>
      <c r="C38" s="11"/>
      <c r="D38" s="11"/>
      <c r="E38" s="11"/>
      <c r="F38" s="11"/>
    </row>
    <row r="39" spans="1:6" ht="25.5" customHeight="1" x14ac:dyDescent="0.3">
      <c r="A39" s="68">
        <v>1</v>
      </c>
      <c r="B39" s="166" t="s">
        <v>4038</v>
      </c>
      <c r="C39" s="72" t="s">
        <v>4039</v>
      </c>
      <c r="D39" s="68">
        <v>1</v>
      </c>
      <c r="E39" s="184"/>
      <c r="F39" s="184"/>
    </row>
    <row r="40" spans="1:6" ht="18" customHeight="1" x14ac:dyDescent="0.3">
      <c r="A40" s="68">
        <v>2</v>
      </c>
      <c r="B40" s="9" t="s">
        <v>4040</v>
      </c>
      <c r="C40" s="72" t="s">
        <v>4041</v>
      </c>
      <c r="D40" s="68">
        <v>1</v>
      </c>
      <c r="E40" s="184"/>
      <c r="F40" s="184"/>
    </row>
    <row r="41" spans="1:6" ht="30.75" customHeight="1" x14ac:dyDescent="0.3">
      <c r="A41" s="83">
        <v>3</v>
      </c>
      <c r="B41" s="166" t="s">
        <v>4042</v>
      </c>
      <c r="C41" s="82" t="s">
        <v>4043</v>
      </c>
      <c r="D41" s="83">
        <v>1</v>
      </c>
      <c r="E41" s="183"/>
      <c r="F41" s="183"/>
    </row>
    <row r="42" spans="1:6" ht="30.75" customHeight="1" x14ac:dyDescent="0.3">
      <c r="A42" s="83">
        <v>4</v>
      </c>
      <c r="B42" s="9" t="s">
        <v>4044</v>
      </c>
      <c r="C42" s="82" t="s">
        <v>4045</v>
      </c>
      <c r="D42" s="83">
        <v>2</v>
      </c>
      <c r="E42" s="183"/>
      <c r="F42" s="183"/>
    </row>
    <row r="43" spans="1:6" ht="30.75" customHeight="1" x14ac:dyDescent="0.3">
      <c r="A43" s="83">
        <v>5</v>
      </c>
      <c r="B43" s="9" t="s">
        <v>4046</v>
      </c>
      <c r="C43" s="82" t="s">
        <v>4047</v>
      </c>
      <c r="D43" s="83">
        <v>3</v>
      </c>
      <c r="E43" s="183"/>
      <c r="F43" s="183"/>
    </row>
    <row r="44" spans="1:6" ht="30.75" customHeight="1" x14ac:dyDescent="0.3">
      <c r="A44" s="83">
        <v>6</v>
      </c>
      <c r="B44" s="9" t="s">
        <v>4048</v>
      </c>
      <c r="C44" s="82" t="s">
        <v>4049</v>
      </c>
      <c r="D44" s="83">
        <v>4</v>
      </c>
      <c r="E44" s="183"/>
      <c r="F44" s="183"/>
    </row>
    <row r="45" spans="1:6" ht="12" customHeight="1" x14ac:dyDescent="0.3">
      <c r="A45" s="182" t="s">
        <v>4050</v>
      </c>
      <c r="B45" s="163" t="s">
        <v>4051</v>
      </c>
      <c r="C45" s="11"/>
      <c r="D45" s="11"/>
      <c r="E45" s="11"/>
      <c r="F45" s="11"/>
    </row>
    <row r="46" spans="1:6" ht="30.75" customHeight="1" x14ac:dyDescent="0.3">
      <c r="A46" s="83">
        <v>1</v>
      </c>
      <c r="B46" s="166" t="s">
        <v>4052</v>
      </c>
      <c r="C46" s="82" t="s">
        <v>4053</v>
      </c>
      <c r="D46" s="83">
        <v>1</v>
      </c>
      <c r="E46" s="183"/>
      <c r="F46" s="183"/>
    </row>
    <row r="47" spans="1:6" ht="30.75" customHeight="1" x14ac:dyDescent="0.3">
      <c r="A47" s="83">
        <v>2</v>
      </c>
      <c r="B47" s="166" t="s">
        <v>4054</v>
      </c>
      <c r="C47" s="82" t="s">
        <v>4055</v>
      </c>
      <c r="D47" s="83">
        <v>150</v>
      </c>
      <c r="E47" s="185"/>
      <c r="F47" s="183"/>
    </row>
    <row r="48" spans="1:6" ht="30.75" customHeight="1" x14ac:dyDescent="0.3">
      <c r="A48" s="83">
        <v>3</v>
      </c>
      <c r="B48" s="166" t="s">
        <v>4056</v>
      </c>
      <c r="C48" s="82" t="s">
        <v>4057</v>
      </c>
      <c r="D48" s="83">
        <v>4</v>
      </c>
      <c r="E48" s="183"/>
      <c r="F48" s="183"/>
    </row>
    <row r="49" spans="1:6" ht="30.75" customHeight="1" x14ac:dyDescent="0.3">
      <c r="A49" s="83">
        <v>4</v>
      </c>
      <c r="B49" s="166" t="s">
        <v>4058</v>
      </c>
      <c r="C49" s="82" t="s">
        <v>4059</v>
      </c>
      <c r="D49" s="83">
        <v>2</v>
      </c>
      <c r="E49" s="183"/>
      <c r="F49" s="183"/>
    </row>
    <row r="50" spans="1:6" ht="30.75" customHeight="1" x14ac:dyDescent="0.3">
      <c r="A50" s="83">
        <v>5</v>
      </c>
      <c r="B50" s="166" t="s">
        <v>4060</v>
      </c>
      <c r="C50" s="82" t="s">
        <v>4061</v>
      </c>
      <c r="D50" s="83">
        <v>2</v>
      </c>
      <c r="E50" s="183"/>
      <c r="F50" s="183"/>
    </row>
    <row r="51" spans="1:6" ht="30.75" customHeight="1" x14ac:dyDescent="0.3">
      <c r="A51" s="83">
        <v>6</v>
      </c>
      <c r="B51" s="166" t="s">
        <v>4062</v>
      </c>
      <c r="C51" s="82" t="s">
        <v>4063</v>
      </c>
      <c r="D51" s="83">
        <v>100</v>
      </c>
      <c r="E51" s="185"/>
      <c r="F51" s="183"/>
    </row>
    <row r="52" spans="1:6" ht="30.75" customHeight="1" x14ac:dyDescent="0.3">
      <c r="A52" s="188">
        <v>7</v>
      </c>
      <c r="B52" s="189" t="s">
        <v>4064</v>
      </c>
      <c r="C52" s="190" t="s">
        <v>4065</v>
      </c>
      <c r="D52" s="188">
        <v>150</v>
      </c>
      <c r="E52" s="191"/>
      <c r="F52" s="192"/>
    </row>
    <row r="53" spans="1:6" ht="30.75" customHeight="1" x14ac:dyDescent="0.3">
      <c r="A53" s="83">
        <v>8</v>
      </c>
      <c r="B53" s="166" t="s">
        <v>4066</v>
      </c>
      <c r="C53" s="82" t="s">
        <v>4067</v>
      </c>
      <c r="D53" s="83">
        <v>1</v>
      </c>
      <c r="E53" s="183"/>
      <c r="F53" s="183"/>
    </row>
    <row r="54" spans="1:6" ht="12" customHeight="1" x14ac:dyDescent="0.3">
      <c r="A54" s="11"/>
      <c r="B54" s="162" t="s">
        <v>4068</v>
      </c>
      <c r="C54" s="11"/>
      <c r="D54" s="11"/>
      <c r="E54" s="11"/>
      <c r="F54" s="187"/>
    </row>
    <row r="55" spans="1:6" ht="9.75" customHeight="1" x14ac:dyDescent="0.3">
      <c r="A55" s="11"/>
      <c r="B55" s="11"/>
      <c r="C55" s="11"/>
      <c r="D55" s="11"/>
      <c r="E55" s="11"/>
      <c r="F55" s="11"/>
    </row>
    <row r="56" spans="1:6" ht="9.75" customHeight="1" x14ac:dyDescent="0.3">
      <c r="A56" s="11"/>
      <c r="B56" s="162" t="s">
        <v>4069</v>
      </c>
      <c r="C56" s="11"/>
      <c r="D56" s="11"/>
      <c r="E56" s="11"/>
      <c r="F56" s="11"/>
    </row>
    <row r="57" spans="1:6" ht="12" customHeight="1" x14ac:dyDescent="0.3">
      <c r="A57" s="182" t="s">
        <v>4070</v>
      </c>
      <c r="B57" s="163" t="s">
        <v>4071</v>
      </c>
      <c r="C57" s="11"/>
      <c r="D57" s="11"/>
      <c r="E57" s="11"/>
      <c r="F57" s="11"/>
    </row>
    <row r="58" spans="1:6" ht="51" customHeight="1" x14ac:dyDescent="0.3">
      <c r="A58" s="83">
        <v>1</v>
      </c>
      <c r="B58" s="9" t="s">
        <v>4072</v>
      </c>
      <c r="C58" s="82" t="s">
        <v>4073</v>
      </c>
      <c r="D58" s="83">
        <v>2</v>
      </c>
      <c r="E58" s="183"/>
      <c r="F58" s="183"/>
    </row>
    <row r="59" spans="1:6" ht="38.25" customHeight="1" x14ac:dyDescent="0.3">
      <c r="A59" s="68">
        <v>2</v>
      </c>
      <c r="B59" s="166" t="s">
        <v>4074</v>
      </c>
      <c r="C59" s="72" t="s">
        <v>4075</v>
      </c>
      <c r="D59" s="68">
        <v>1</v>
      </c>
      <c r="E59" s="184"/>
      <c r="F59" s="184"/>
    </row>
    <row r="60" spans="1:6" ht="38.25" customHeight="1" x14ac:dyDescent="0.3">
      <c r="A60" s="68">
        <v>3</v>
      </c>
      <c r="B60" s="166" t="s">
        <v>4076</v>
      </c>
      <c r="C60" s="72" t="s">
        <v>4077</v>
      </c>
      <c r="D60" s="68">
        <v>1</v>
      </c>
      <c r="E60" s="184"/>
      <c r="F60" s="184"/>
    </row>
    <row r="61" spans="1:6" ht="20.25" customHeight="1" x14ac:dyDescent="0.3">
      <c r="A61" s="68">
        <v>4</v>
      </c>
      <c r="B61" s="166" t="s">
        <v>4078</v>
      </c>
      <c r="C61" s="72" t="s">
        <v>4079</v>
      </c>
      <c r="D61" s="68">
        <v>1</v>
      </c>
      <c r="E61" s="184"/>
      <c r="F61" s="184"/>
    </row>
    <row r="62" spans="1:6" ht="20.25" customHeight="1" x14ac:dyDescent="0.3">
      <c r="A62" s="68">
        <v>5</v>
      </c>
      <c r="B62" s="166" t="s">
        <v>4080</v>
      </c>
      <c r="C62" s="72" t="s">
        <v>4081</v>
      </c>
      <c r="D62" s="68">
        <v>2</v>
      </c>
      <c r="E62" s="184"/>
      <c r="F62" s="184"/>
    </row>
    <row r="63" spans="1:6" ht="12" customHeight="1" x14ac:dyDescent="0.3">
      <c r="A63" s="182" t="s">
        <v>4082</v>
      </c>
      <c r="B63" s="163" t="s">
        <v>4083</v>
      </c>
      <c r="C63" s="11"/>
      <c r="D63" s="11"/>
      <c r="E63" s="11"/>
      <c r="F63" s="11"/>
    </row>
    <row r="64" spans="1:6" ht="33.75" customHeight="1" x14ac:dyDescent="0.3">
      <c r="A64" s="68">
        <v>1</v>
      </c>
      <c r="B64" s="166" t="s">
        <v>4084</v>
      </c>
      <c r="C64" s="72" t="s">
        <v>4085</v>
      </c>
      <c r="D64" s="68">
        <v>6</v>
      </c>
      <c r="E64" s="184"/>
      <c r="F64" s="184"/>
    </row>
    <row r="65" spans="1:6" ht="42.75" customHeight="1" x14ac:dyDescent="0.3">
      <c r="A65" s="68">
        <v>2</v>
      </c>
      <c r="B65" s="9" t="s">
        <v>4086</v>
      </c>
      <c r="C65" s="72" t="s">
        <v>4087</v>
      </c>
      <c r="D65" s="68">
        <v>1</v>
      </c>
      <c r="E65" s="184"/>
      <c r="F65" s="184"/>
    </row>
    <row r="66" spans="1:6" ht="12" customHeight="1" x14ac:dyDescent="0.3">
      <c r="A66" s="182" t="s">
        <v>4088</v>
      </c>
      <c r="B66" s="163" t="s">
        <v>4089</v>
      </c>
      <c r="C66" s="11"/>
      <c r="D66" s="11"/>
      <c r="E66" s="11"/>
      <c r="F66" s="11"/>
    </row>
    <row r="67" spans="1:6" ht="18" customHeight="1" x14ac:dyDescent="0.3">
      <c r="A67" s="68">
        <v>1</v>
      </c>
      <c r="B67" s="9" t="s">
        <v>4090</v>
      </c>
      <c r="C67" s="72" t="s">
        <v>4091</v>
      </c>
      <c r="D67" s="68">
        <v>1</v>
      </c>
      <c r="E67" s="184"/>
      <c r="F67" s="184"/>
    </row>
    <row r="68" spans="1:6" ht="33.75" customHeight="1" x14ac:dyDescent="0.3">
      <c r="A68" s="68">
        <v>2</v>
      </c>
      <c r="B68" s="9" t="s">
        <v>4092</v>
      </c>
      <c r="C68" s="72" t="s">
        <v>4093</v>
      </c>
      <c r="D68" s="68">
        <v>1</v>
      </c>
      <c r="E68" s="184"/>
      <c r="F68" s="184"/>
    </row>
    <row r="69" spans="1:6" ht="30.75" customHeight="1" x14ac:dyDescent="0.3">
      <c r="A69" s="83">
        <v>3</v>
      </c>
      <c r="B69" s="9" t="s">
        <v>4094</v>
      </c>
      <c r="C69" s="82" t="s">
        <v>4095</v>
      </c>
      <c r="D69" s="83">
        <v>1</v>
      </c>
      <c r="E69" s="183"/>
      <c r="F69" s="183"/>
    </row>
    <row r="70" spans="1:6" ht="30.75" customHeight="1" x14ac:dyDescent="0.3">
      <c r="A70" s="83">
        <v>4</v>
      </c>
      <c r="B70" s="166" t="s">
        <v>4096</v>
      </c>
      <c r="C70" s="82" t="s">
        <v>4097</v>
      </c>
      <c r="D70" s="83">
        <v>1</v>
      </c>
      <c r="E70" s="183"/>
      <c r="F70" s="183"/>
    </row>
    <row r="71" spans="1:6" ht="30.75" customHeight="1" x14ac:dyDescent="0.3">
      <c r="A71" s="83">
        <v>5</v>
      </c>
      <c r="B71" s="9" t="s">
        <v>4098</v>
      </c>
      <c r="C71" s="82" t="s">
        <v>4099</v>
      </c>
      <c r="D71" s="83">
        <v>2</v>
      </c>
      <c r="E71" s="183"/>
      <c r="F71" s="183"/>
    </row>
    <row r="72" spans="1:6" ht="22.5" customHeight="1" x14ac:dyDescent="0.3">
      <c r="A72" s="68">
        <v>6</v>
      </c>
      <c r="B72" s="9" t="s">
        <v>4100</v>
      </c>
      <c r="C72" s="72" t="s">
        <v>4101</v>
      </c>
      <c r="D72" s="68">
        <v>3</v>
      </c>
      <c r="E72" s="10"/>
      <c r="F72" s="193"/>
    </row>
    <row r="73" spans="1:6" ht="60" customHeight="1" x14ac:dyDescent="0.3">
      <c r="A73" s="194">
        <v>7</v>
      </c>
      <c r="B73" s="166" t="s">
        <v>4102</v>
      </c>
      <c r="C73" s="82" t="s">
        <v>4103</v>
      </c>
      <c r="D73" s="83">
        <v>1</v>
      </c>
      <c r="E73" s="183"/>
      <c r="F73" s="183"/>
    </row>
    <row r="74" spans="1:6" ht="9.75" customHeight="1" x14ac:dyDescent="0.3">
      <c r="A74" s="11"/>
      <c r="B74" s="11"/>
      <c r="C74" s="11"/>
      <c r="D74" s="11"/>
      <c r="E74" s="11"/>
      <c r="F74" s="11"/>
    </row>
    <row r="75" spans="1:6" ht="12" customHeight="1" x14ac:dyDescent="0.3">
      <c r="A75" s="182" t="s">
        <v>4104</v>
      </c>
      <c r="B75" s="163" t="s">
        <v>4105</v>
      </c>
      <c r="C75" s="11"/>
      <c r="D75" s="11"/>
      <c r="E75" s="11"/>
      <c r="F75" s="11"/>
    </row>
    <row r="76" spans="1:6" ht="30.75" customHeight="1" x14ac:dyDescent="0.3">
      <c r="A76" s="83">
        <v>1</v>
      </c>
      <c r="B76" s="166" t="s">
        <v>4106</v>
      </c>
      <c r="C76" s="82" t="s">
        <v>4107</v>
      </c>
      <c r="D76" s="83">
        <v>2</v>
      </c>
      <c r="E76" s="183"/>
      <c r="F76" s="183"/>
    </row>
    <row r="77" spans="1:6" ht="30.75" customHeight="1" x14ac:dyDescent="0.3">
      <c r="A77" s="83">
        <v>2</v>
      </c>
      <c r="B77" s="166" t="s">
        <v>4108</v>
      </c>
      <c r="C77" s="82" t="s">
        <v>4109</v>
      </c>
      <c r="D77" s="83">
        <v>150</v>
      </c>
      <c r="E77" s="185"/>
      <c r="F77" s="183"/>
    </row>
    <row r="78" spans="1:6" ht="30.75" customHeight="1" x14ac:dyDescent="0.3">
      <c r="A78" s="83">
        <v>3</v>
      </c>
      <c r="B78" s="166" t="s">
        <v>4110</v>
      </c>
      <c r="C78" s="82" t="s">
        <v>4111</v>
      </c>
      <c r="D78" s="83">
        <v>6</v>
      </c>
      <c r="E78" s="183"/>
      <c r="F78" s="183"/>
    </row>
    <row r="79" spans="1:6" ht="30.75" customHeight="1" x14ac:dyDescent="0.3">
      <c r="A79" s="83">
        <v>4</v>
      </c>
      <c r="B79" s="166" t="s">
        <v>4112</v>
      </c>
      <c r="C79" s="82" t="s">
        <v>4113</v>
      </c>
      <c r="D79" s="83">
        <v>2</v>
      </c>
      <c r="E79" s="183"/>
      <c r="F79" s="183"/>
    </row>
    <row r="80" spans="1:6" ht="30.75" customHeight="1" x14ac:dyDescent="0.3">
      <c r="A80" s="83">
        <v>5</v>
      </c>
      <c r="B80" s="166" t="s">
        <v>4114</v>
      </c>
      <c r="C80" s="82" t="s">
        <v>4115</v>
      </c>
      <c r="D80" s="83">
        <v>2</v>
      </c>
      <c r="E80" s="183"/>
      <c r="F80" s="183"/>
    </row>
    <row r="81" spans="1:6" ht="30.75" customHeight="1" x14ac:dyDescent="0.3">
      <c r="A81" s="83">
        <v>6</v>
      </c>
      <c r="B81" s="166" t="s">
        <v>4116</v>
      </c>
      <c r="C81" s="82" t="s">
        <v>4117</v>
      </c>
      <c r="D81" s="83">
        <v>100</v>
      </c>
      <c r="E81" s="185"/>
      <c r="F81" s="183"/>
    </row>
    <row r="82" spans="1:6" ht="30.75" customHeight="1" x14ac:dyDescent="0.3">
      <c r="A82" s="83">
        <v>7</v>
      </c>
      <c r="B82" s="166" t="s">
        <v>4118</v>
      </c>
      <c r="C82" s="82" t="s">
        <v>4119</v>
      </c>
      <c r="D82" s="83">
        <v>150</v>
      </c>
      <c r="E82" s="185"/>
      <c r="F82" s="183"/>
    </row>
    <row r="83" spans="1:6" ht="33.75" customHeight="1" x14ac:dyDescent="0.3">
      <c r="A83" s="68">
        <v>8</v>
      </c>
      <c r="B83" s="166" t="s">
        <v>4120</v>
      </c>
      <c r="C83" s="72" t="s">
        <v>4121</v>
      </c>
      <c r="D83" s="68">
        <v>1</v>
      </c>
      <c r="E83" s="184"/>
      <c r="F83" s="184"/>
    </row>
    <row r="84" spans="1:6" ht="12" customHeight="1" x14ac:dyDescent="0.3">
      <c r="A84" s="11"/>
      <c r="B84" s="162" t="s">
        <v>4122</v>
      </c>
      <c r="C84" s="11"/>
      <c r="D84" s="11"/>
      <c r="E84" s="11"/>
      <c r="F84" s="187"/>
    </row>
    <row r="85" spans="1:6" ht="9.75" customHeight="1" x14ac:dyDescent="0.3">
      <c r="A85" s="11"/>
      <c r="B85" s="162" t="s">
        <v>4123</v>
      </c>
      <c r="C85" s="11"/>
      <c r="D85" s="11"/>
      <c r="E85" s="11"/>
      <c r="F85" s="11"/>
    </row>
    <row r="86" spans="1:6" ht="12" customHeight="1" x14ac:dyDescent="0.3">
      <c r="A86" s="182" t="s">
        <v>4124</v>
      </c>
      <c r="B86" s="163" t="s">
        <v>4125</v>
      </c>
      <c r="C86" s="11"/>
      <c r="D86" s="11"/>
      <c r="E86" s="11"/>
      <c r="F86" s="11"/>
    </row>
    <row r="87" spans="1:6" ht="30.75" customHeight="1" x14ac:dyDescent="0.3">
      <c r="A87" s="83">
        <v>1</v>
      </c>
      <c r="B87" s="166" t="s">
        <v>4126</v>
      </c>
      <c r="C87" s="82" t="s">
        <v>4127</v>
      </c>
      <c r="D87" s="83">
        <v>1</v>
      </c>
      <c r="E87" s="183"/>
      <c r="F87" s="183"/>
    </row>
    <row r="88" spans="1:6" ht="42.75" customHeight="1" x14ac:dyDescent="0.3">
      <c r="A88" s="68">
        <v>2</v>
      </c>
      <c r="B88" s="166" t="s">
        <v>4128</v>
      </c>
      <c r="C88" s="72" t="s">
        <v>4129</v>
      </c>
      <c r="D88" s="68">
        <v>1</v>
      </c>
      <c r="E88" s="184"/>
      <c r="F88" s="184"/>
    </row>
    <row r="89" spans="1:6" ht="12" customHeight="1" x14ac:dyDescent="0.3">
      <c r="A89" s="182" t="s">
        <v>4130</v>
      </c>
      <c r="B89" s="163" t="s">
        <v>4131</v>
      </c>
      <c r="C89" s="11"/>
      <c r="D89" s="11"/>
      <c r="E89" s="11"/>
      <c r="F89" s="11"/>
    </row>
    <row r="90" spans="1:6" ht="30.75" customHeight="1" x14ac:dyDescent="0.3">
      <c r="A90" s="83">
        <v>1</v>
      </c>
      <c r="B90" s="166" t="s">
        <v>4132</v>
      </c>
      <c r="C90" s="82" t="s">
        <v>4133</v>
      </c>
      <c r="D90" s="83">
        <v>1</v>
      </c>
      <c r="E90" s="183"/>
      <c r="F90" s="183"/>
    </row>
    <row r="91" spans="1:6" ht="12" customHeight="1" x14ac:dyDescent="0.3">
      <c r="A91" s="182" t="s">
        <v>4134</v>
      </c>
      <c r="B91" s="163" t="s">
        <v>4135</v>
      </c>
      <c r="C91" s="11"/>
      <c r="D91" s="11"/>
      <c r="E91" s="11"/>
      <c r="F91" s="11"/>
    </row>
    <row r="92" spans="1:6" ht="30.75" customHeight="1" x14ac:dyDescent="0.3">
      <c r="A92" s="83">
        <v>1</v>
      </c>
      <c r="B92" s="166" t="s">
        <v>4136</v>
      </c>
      <c r="C92" s="82" t="s">
        <v>4137</v>
      </c>
      <c r="D92" s="83">
        <v>1</v>
      </c>
      <c r="E92" s="183"/>
      <c r="F92" s="183"/>
    </row>
    <row r="93" spans="1:6" ht="25.5" customHeight="1" x14ac:dyDescent="0.3">
      <c r="A93" s="68">
        <v>2</v>
      </c>
      <c r="B93" s="166" t="s">
        <v>4138</v>
      </c>
      <c r="C93" s="72" t="s">
        <v>4139</v>
      </c>
      <c r="D93" s="68">
        <v>1</v>
      </c>
      <c r="E93" s="184"/>
      <c r="F93" s="184"/>
    </row>
    <row r="94" spans="1:6" ht="30.75" customHeight="1" x14ac:dyDescent="0.3">
      <c r="A94" s="83">
        <v>3</v>
      </c>
      <c r="B94" s="166" t="s">
        <v>4140</v>
      </c>
      <c r="C94" s="82" t="s">
        <v>4141</v>
      </c>
      <c r="D94" s="83">
        <v>1</v>
      </c>
      <c r="E94" s="183"/>
      <c r="F94" s="183"/>
    </row>
    <row r="95" spans="1:6" ht="12" customHeight="1" x14ac:dyDescent="0.3">
      <c r="A95" s="182" t="s">
        <v>4142</v>
      </c>
      <c r="B95" s="163" t="s">
        <v>4143</v>
      </c>
      <c r="C95" s="11"/>
      <c r="D95" s="11"/>
      <c r="E95" s="11"/>
      <c r="F95" s="11"/>
    </row>
    <row r="96" spans="1:6" ht="30.75" customHeight="1" x14ac:dyDescent="0.3">
      <c r="A96" s="83">
        <v>1</v>
      </c>
      <c r="B96" s="166" t="s">
        <v>4144</v>
      </c>
      <c r="C96" s="82" t="s">
        <v>4145</v>
      </c>
      <c r="D96" s="83">
        <v>2</v>
      </c>
      <c r="E96" s="183"/>
      <c r="F96" s="183"/>
    </row>
    <row r="97" spans="1:6" ht="30.75" customHeight="1" x14ac:dyDescent="0.3">
      <c r="A97" s="83">
        <v>2</v>
      </c>
      <c r="B97" s="166" t="s">
        <v>4146</v>
      </c>
      <c r="C97" s="82" t="s">
        <v>4147</v>
      </c>
      <c r="D97" s="83">
        <v>3</v>
      </c>
      <c r="E97" s="183"/>
      <c r="F97" s="183"/>
    </row>
    <row r="98" spans="1:6" ht="30.75" customHeight="1" x14ac:dyDescent="0.3">
      <c r="A98" s="83">
        <v>3</v>
      </c>
      <c r="B98" s="166" t="s">
        <v>4148</v>
      </c>
      <c r="C98" s="82" t="s">
        <v>4149</v>
      </c>
      <c r="D98" s="83">
        <v>2</v>
      </c>
      <c r="E98" s="183"/>
      <c r="F98" s="183"/>
    </row>
    <row r="99" spans="1:6" ht="30.75" customHeight="1" x14ac:dyDescent="0.3">
      <c r="A99" s="83">
        <v>4</v>
      </c>
      <c r="B99" s="166" t="s">
        <v>4150</v>
      </c>
      <c r="C99" s="82" t="s">
        <v>4151</v>
      </c>
      <c r="D99" s="83">
        <v>2</v>
      </c>
      <c r="E99" s="183"/>
      <c r="F99" s="183"/>
    </row>
    <row r="100" spans="1:6" ht="30.75" customHeight="1" x14ac:dyDescent="0.3">
      <c r="A100" s="83">
        <v>5</v>
      </c>
      <c r="B100" s="166" t="s">
        <v>4152</v>
      </c>
      <c r="C100" s="82" t="s">
        <v>4153</v>
      </c>
      <c r="D100" s="83">
        <v>20</v>
      </c>
      <c r="E100" s="185"/>
      <c r="F100" s="183"/>
    </row>
    <row r="101" spans="1:6" ht="12" customHeight="1" x14ac:dyDescent="0.3">
      <c r="A101" s="11"/>
      <c r="B101" s="162" t="s">
        <v>4154</v>
      </c>
      <c r="C101" s="11"/>
      <c r="D101" s="11"/>
      <c r="E101" s="11"/>
      <c r="F101" s="187"/>
    </row>
    <row r="102" spans="1:6" ht="9.75" customHeight="1" x14ac:dyDescent="0.3">
      <c r="A102" s="11"/>
      <c r="B102" s="162" t="s">
        <v>4155</v>
      </c>
      <c r="C102" s="11"/>
      <c r="D102" s="11"/>
      <c r="E102" s="11"/>
      <c r="F102" s="11"/>
    </row>
    <row r="103" spans="1:6" ht="12" customHeight="1" x14ac:dyDescent="0.3">
      <c r="A103" s="182" t="s">
        <v>4156</v>
      </c>
      <c r="B103" s="163" t="s">
        <v>4157</v>
      </c>
      <c r="C103" s="11"/>
      <c r="D103" s="11"/>
      <c r="E103" s="11"/>
      <c r="F103" s="11"/>
    </row>
    <row r="104" spans="1:6" ht="30.75" customHeight="1" x14ac:dyDescent="0.3">
      <c r="A104" s="83">
        <v>1</v>
      </c>
      <c r="B104" s="166" t="s">
        <v>4158</v>
      </c>
      <c r="C104" s="82" t="s">
        <v>4159</v>
      </c>
      <c r="D104" s="83">
        <v>1</v>
      </c>
      <c r="E104" s="183"/>
      <c r="F104" s="183"/>
    </row>
    <row r="105" spans="1:6" ht="42.75" customHeight="1" x14ac:dyDescent="0.3">
      <c r="A105" s="68">
        <v>2</v>
      </c>
      <c r="B105" s="166" t="s">
        <v>4160</v>
      </c>
      <c r="C105" s="72" t="s">
        <v>4161</v>
      </c>
      <c r="D105" s="68">
        <v>1</v>
      </c>
      <c r="E105" s="184"/>
      <c r="F105" s="184"/>
    </row>
    <row r="106" spans="1:6" ht="12" customHeight="1" x14ac:dyDescent="0.3">
      <c r="A106" s="182" t="s">
        <v>4162</v>
      </c>
      <c r="B106" s="163" t="s">
        <v>4163</v>
      </c>
      <c r="C106" s="11"/>
      <c r="D106" s="11"/>
      <c r="E106" s="11"/>
      <c r="F106" s="11"/>
    </row>
    <row r="107" spans="1:6" ht="33.75" customHeight="1" x14ac:dyDescent="0.3">
      <c r="A107" s="68">
        <v>1</v>
      </c>
      <c r="B107" s="166" t="s">
        <v>4164</v>
      </c>
      <c r="C107" s="72" t="s">
        <v>4165</v>
      </c>
      <c r="D107" s="68">
        <v>1</v>
      </c>
      <c r="E107" s="184"/>
      <c r="F107" s="184"/>
    </row>
    <row r="108" spans="1:6" ht="17.25" customHeight="1" x14ac:dyDescent="0.3">
      <c r="A108" s="68">
        <v>2</v>
      </c>
      <c r="B108" s="166" t="s">
        <v>4166</v>
      </c>
      <c r="C108" s="72" t="s">
        <v>4167</v>
      </c>
      <c r="D108" s="68">
        <v>1</v>
      </c>
      <c r="E108" s="184"/>
      <c r="F108" s="184"/>
    </row>
    <row r="109" spans="1:6" ht="12" customHeight="1" x14ac:dyDescent="0.3">
      <c r="A109" s="182" t="s">
        <v>4168</v>
      </c>
      <c r="B109" s="163" t="s">
        <v>4169</v>
      </c>
      <c r="C109" s="11"/>
      <c r="D109" s="11"/>
      <c r="E109" s="11"/>
      <c r="F109" s="11"/>
    </row>
    <row r="110" spans="1:6" ht="68.25" customHeight="1" x14ac:dyDescent="0.3">
      <c r="A110" s="83">
        <v>1</v>
      </c>
      <c r="B110" s="166" t="s">
        <v>4170</v>
      </c>
      <c r="C110" s="82" t="s">
        <v>4171</v>
      </c>
      <c r="D110" s="83">
        <v>1</v>
      </c>
      <c r="E110" s="183"/>
      <c r="F110" s="183"/>
    </row>
    <row r="111" spans="1:6" ht="68.25" customHeight="1" x14ac:dyDescent="0.3">
      <c r="A111" s="83">
        <v>2</v>
      </c>
      <c r="B111" s="166" t="s">
        <v>4172</v>
      </c>
      <c r="C111" s="82" t="s">
        <v>4173</v>
      </c>
      <c r="D111" s="83">
        <v>1</v>
      </c>
      <c r="E111" s="183"/>
      <c r="F111" s="183"/>
    </row>
    <row r="112" spans="1:6" ht="33.75" customHeight="1" x14ac:dyDescent="0.3">
      <c r="A112" s="68">
        <v>3</v>
      </c>
      <c r="B112" s="166" t="s">
        <v>4174</v>
      </c>
      <c r="C112" s="72" t="s">
        <v>4175</v>
      </c>
      <c r="D112" s="68">
        <v>4</v>
      </c>
      <c r="E112" s="184"/>
      <c r="F112" s="184"/>
    </row>
    <row r="113" spans="1:6" ht="20.25" customHeight="1" x14ac:dyDescent="0.3">
      <c r="A113" s="68">
        <v>4</v>
      </c>
      <c r="B113" s="166" t="s">
        <v>4176</v>
      </c>
      <c r="C113" s="72" t="s">
        <v>4177</v>
      </c>
      <c r="D113" s="68">
        <v>1</v>
      </c>
      <c r="E113" s="184"/>
      <c r="F113" s="184"/>
    </row>
    <row r="114" spans="1:6" ht="12" customHeight="1" x14ac:dyDescent="0.3">
      <c r="A114" s="182" t="s">
        <v>4178</v>
      </c>
      <c r="B114" s="163" t="s">
        <v>4179</v>
      </c>
      <c r="C114" s="11"/>
      <c r="D114" s="11"/>
      <c r="E114" s="11"/>
      <c r="F114" s="11"/>
    </row>
    <row r="115" spans="1:6" ht="18" customHeight="1" x14ac:dyDescent="0.3">
      <c r="A115" s="68">
        <v>1</v>
      </c>
      <c r="B115" s="9" t="s">
        <v>4180</v>
      </c>
      <c r="C115" s="72" t="s">
        <v>4181</v>
      </c>
      <c r="D115" s="68">
        <v>1</v>
      </c>
      <c r="E115" s="184"/>
      <c r="F115" s="184"/>
    </row>
    <row r="116" spans="1:6" ht="25.5" customHeight="1" x14ac:dyDescent="0.3">
      <c r="A116" s="68">
        <v>2</v>
      </c>
      <c r="B116" s="9" t="s">
        <v>4182</v>
      </c>
      <c r="C116" s="72" t="s">
        <v>4183</v>
      </c>
      <c r="D116" s="68">
        <v>1</v>
      </c>
      <c r="E116" s="184"/>
      <c r="F116" s="184"/>
    </row>
    <row r="117" spans="1:6" ht="30.75" customHeight="1" x14ac:dyDescent="0.3">
      <c r="A117" s="83">
        <v>3</v>
      </c>
      <c r="B117" s="166" t="s">
        <v>4184</v>
      </c>
      <c r="C117" s="82" t="s">
        <v>4185</v>
      </c>
      <c r="D117" s="83">
        <v>1</v>
      </c>
      <c r="E117" s="183"/>
      <c r="F117" s="183"/>
    </row>
    <row r="118" spans="1:6" ht="12" customHeight="1" x14ac:dyDescent="0.3">
      <c r="A118" s="182" t="s">
        <v>4186</v>
      </c>
      <c r="B118" s="163" t="s">
        <v>4187</v>
      </c>
      <c r="C118" s="11"/>
      <c r="D118" s="11"/>
      <c r="E118" s="11"/>
      <c r="F118" s="11"/>
    </row>
    <row r="119" spans="1:6" ht="33.75" customHeight="1" x14ac:dyDescent="0.3">
      <c r="A119" s="68">
        <v>1</v>
      </c>
      <c r="B119" s="166" t="s">
        <v>4188</v>
      </c>
      <c r="C119" s="72" t="s">
        <v>4189</v>
      </c>
      <c r="D119" s="68">
        <v>1</v>
      </c>
      <c r="E119" s="184"/>
      <c r="F119" s="184"/>
    </row>
    <row r="120" spans="1:6" ht="12" customHeight="1" x14ac:dyDescent="0.3">
      <c r="A120" s="182" t="s">
        <v>4190</v>
      </c>
      <c r="B120" s="163" t="s">
        <v>4191</v>
      </c>
      <c r="C120" s="11"/>
      <c r="D120" s="11"/>
      <c r="E120" s="11"/>
      <c r="F120" s="11"/>
    </row>
    <row r="121" spans="1:6" ht="30.75" customHeight="1" x14ac:dyDescent="0.3">
      <c r="A121" s="83">
        <v>1</v>
      </c>
      <c r="B121" s="166" t="s">
        <v>4192</v>
      </c>
      <c r="C121" s="82" t="s">
        <v>4193</v>
      </c>
      <c r="D121" s="83">
        <v>2</v>
      </c>
      <c r="E121" s="183"/>
      <c r="F121" s="183"/>
    </row>
    <row r="122" spans="1:6" ht="30.75" customHeight="1" x14ac:dyDescent="0.3">
      <c r="A122" s="83">
        <v>2</v>
      </c>
      <c r="B122" s="166" t="s">
        <v>4194</v>
      </c>
      <c r="C122" s="82" t="s">
        <v>4195</v>
      </c>
      <c r="D122" s="83">
        <v>150</v>
      </c>
      <c r="E122" s="185"/>
      <c r="F122" s="183"/>
    </row>
    <row r="123" spans="1:6" ht="30.75" customHeight="1" x14ac:dyDescent="0.3">
      <c r="A123" s="83">
        <v>3</v>
      </c>
      <c r="B123" s="166" t="s">
        <v>4196</v>
      </c>
      <c r="C123" s="82" t="s">
        <v>4197</v>
      </c>
      <c r="D123" s="83">
        <v>2</v>
      </c>
      <c r="E123" s="183"/>
      <c r="F123" s="183"/>
    </row>
    <row r="124" spans="1:6" ht="30.75" customHeight="1" x14ac:dyDescent="0.3">
      <c r="A124" s="83">
        <v>4</v>
      </c>
      <c r="B124" s="166" t="s">
        <v>4198</v>
      </c>
      <c r="C124" s="82" t="s">
        <v>4199</v>
      </c>
      <c r="D124" s="83">
        <v>2</v>
      </c>
      <c r="E124" s="183"/>
      <c r="F124" s="183"/>
    </row>
    <row r="125" spans="1:6" ht="30.75" customHeight="1" x14ac:dyDescent="0.3">
      <c r="A125" s="83">
        <v>5</v>
      </c>
      <c r="B125" s="166" t="s">
        <v>4200</v>
      </c>
      <c r="C125" s="82" t="s">
        <v>4201</v>
      </c>
      <c r="D125" s="83">
        <v>2</v>
      </c>
      <c r="E125" s="183"/>
      <c r="F125" s="183"/>
    </row>
    <row r="126" spans="1:6" ht="30.75" customHeight="1" x14ac:dyDescent="0.3">
      <c r="A126" s="83">
        <v>6</v>
      </c>
      <c r="B126" s="166" t="s">
        <v>4202</v>
      </c>
      <c r="C126" s="82" t="s">
        <v>4203</v>
      </c>
      <c r="D126" s="83">
        <v>50</v>
      </c>
      <c r="E126" s="185"/>
      <c r="F126" s="183"/>
    </row>
    <row r="127" spans="1:6" ht="30.75" customHeight="1" x14ac:dyDescent="0.3">
      <c r="A127" s="83">
        <v>7</v>
      </c>
      <c r="B127" s="166" t="s">
        <v>4204</v>
      </c>
      <c r="C127" s="82" t="s">
        <v>4205</v>
      </c>
      <c r="D127" s="83">
        <v>20</v>
      </c>
      <c r="E127" s="185"/>
      <c r="F127" s="183"/>
    </row>
    <row r="128" spans="1:6" ht="33.75" customHeight="1" x14ac:dyDescent="0.3">
      <c r="A128" s="68">
        <v>8</v>
      </c>
      <c r="B128" s="166" t="s">
        <v>4206</v>
      </c>
      <c r="C128" s="72" t="s">
        <v>4207</v>
      </c>
      <c r="D128" s="68">
        <v>1</v>
      </c>
      <c r="E128" s="184"/>
      <c r="F128" s="184"/>
    </row>
    <row r="129" spans="1:6" ht="12" customHeight="1" x14ac:dyDescent="0.3">
      <c r="A129" s="11"/>
      <c r="B129" s="162" t="s">
        <v>4208</v>
      </c>
      <c r="C129" s="11"/>
      <c r="D129" s="11"/>
      <c r="E129" s="11"/>
      <c r="F129" s="187"/>
    </row>
    <row r="130" spans="1:6" ht="9.75" customHeight="1" x14ac:dyDescent="0.3">
      <c r="A130" s="11"/>
      <c r="B130" s="162" t="s">
        <v>4209</v>
      </c>
      <c r="C130" s="11"/>
      <c r="D130" s="11"/>
      <c r="E130" s="11"/>
      <c r="F130" s="11"/>
    </row>
    <row r="131" spans="1:6" ht="12" customHeight="1" x14ac:dyDescent="0.3">
      <c r="A131" s="182" t="s">
        <v>4210</v>
      </c>
      <c r="B131" s="163" t="s">
        <v>4211</v>
      </c>
      <c r="C131" s="11"/>
      <c r="D131" s="11"/>
      <c r="E131" s="11"/>
      <c r="F131" s="11"/>
    </row>
    <row r="132" spans="1:6" ht="30.75" customHeight="1" x14ac:dyDescent="0.3">
      <c r="A132" s="83">
        <v>1</v>
      </c>
      <c r="B132" s="166" t="s">
        <v>4212</v>
      </c>
      <c r="C132" s="82" t="s">
        <v>4213</v>
      </c>
      <c r="D132" s="83">
        <v>1</v>
      </c>
      <c r="E132" s="183"/>
      <c r="F132" s="183"/>
    </row>
    <row r="133" spans="1:6" ht="42.75" customHeight="1" x14ac:dyDescent="0.3">
      <c r="A133" s="68">
        <v>2</v>
      </c>
      <c r="B133" s="166" t="s">
        <v>4214</v>
      </c>
      <c r="C133" s="72" t="s">
        <v>4215</v>
      </c>
      <c r="D133" s="68">
        <v>1</v>
      </c>
      <c r="E133" s="184"/>
      <c r="F133" s="184"/>
    </row>
    <row r="134" spans="1:6" ht="12" customHeight="1" x14ac:dyDescent="0.3">
      <c r="A134" s="182" t="s">
        <v>4216</v>
      </c>
      <c r="B134" s="163" t="s">
        <v>4217</v>
      </c>
      <c r="C134" s="11"/>
      <c r="D134" s="11"/>
      <c r="E134" s="11"/>
      <c r="F134" s="11"/>
    </row>
    <row r="135" spans="1:6" ht="33.75" customHeight="1" x14ac:dyDescent="0.3">
      <c r="A135" s="68">
        <v>1</v>
      </c>
      <c r="B135" s="166" t="s">
        <v>4218</v>
      </c>
      <c r="C135" s="72" t="s">
        <v>4219</v>
      </c>
      <c r="D135" s="68">
        <v>1</v>
      </c>
      <c r="E135" s="184"/>
      <c r="F135" s="184"/>
    </row>
    <row r="136" spans="1:6" ht="12" customHeight="1" x14ac:dyDescent="0.3">
      <c r="A136" s="182" t="s">
        <v>4220</v>
      </c>
      <c r="B136" s="163" t="s">
        <v>4221</v>
      </c>
      <c r="C136" s="11"/>
      <c r="D136" s="11"/>
      <c r="E136" s="11"/>
      <c r="F136" s="11"/>
    </row>
    <row r="137" spans="1:6" ht="18" customHeight="1" x14ac:dyDescent="0.3">
      <c r="A137" s="68">
        <v>1</v>
      </c>
      <c r="B137" s="9" t="s">
        <v>4222</v>
      </c>
      <c r="C137" s="72" t="s">
        <v>4223</v>
      </c>
      <c r="D137" s="68">
        <v>1</v>
      </c>
      <c r="E137" s="184"/>
      <c r="F137" s="184"/>
    </row>
    <row r="138" spans="1:6" ht="12" customHeight="1" x14ac:dyDescent="0.3">
      <c r="A138" s="182" t="s">
        <v>4224</v>
      </c>
      <c r="B138" s="163" t="s">
        <v>4225</v>
      </c>
      <c r="C138" s="11"/>
      <c r="D138" s="11"/>
      <c r="E138" s="11"/>
      <c r="F138" s="11"/>
    </row>
    <row r="139" spans="1:6" ht="33.75" customHeight="1" x14ac:dyDescent="0.3">
      <c r="A139" s="68">
        <v>1</v>
      </c>
      <c r="B139" s="166" t="s">
        <v>4226</v>
      </c>
      <c r="C139" s="72" t="s">
        <v>4227</v>
      </c>
      <c r="D139" s="68">
        <v>1</v>
      </c>
      <c r="E139" s="184"/>
      <c r="F139" s="184"/>
    </row>
    <row r="140" spans="1:6" ht="12" customHeight="1" x14ac:dyDescent="0.3">
      <c r="A140" s="182" t="s">
        <v>4228</v>
      </c>
      <c r="B140" s="163" t="s">
        <v>4229</v>
      </c>
      <c r="C140" s="11"/>
      <c r="D140" s="11"/>
      <c r="E140" s="11"/>
      <c r="F140" s="11"/>
    </row>
    <row r="141" spans="1:6" ht="30.75" customHeight="1" x14ac:dyDescent="0.3">
      <c r="A141" s="83">
        <v>1</v>
      </c>
      <c r="B141" s="166" t="s">
        <v>4230</v>
      </c>
      <c r="C141" s="82" t="s">
        <v>4231</v>
      </c>
      <c r="D141" s="83">
        <v>2</v>
      </c>
      <c r="E141" s="183"/>
      <c r="F141" s="183"/>
    </row>
    <row r="142" spans="1:6" ht="30.75" customHeight="1" x14ac:dyDescent="0.3">
      <c r="A142" s="83">
        <v>2</v>
      </c>
      <c r="B142" s="166" t="s">
        <v>4232</v>
      </c>
      <c r="C142" s="82" t="s">
        <v>4233</v>
      </c>
      <c r="D142" s="83">
        <v>2</v>
      </c>
      <c r="E142" s="183"/>
      <c r="F142" s="183"/>
    </row>
    <row r="143" spans="1:6" ht="30.75" customHeight="1" x14ac:dyDescent="0.3">
      <c r="A143" s="83">
        <v>3</v>
      </c>
      <c r="B143" s="166" t="s">
        <v>4234</v>
      </c>
      <c r="C143" s="82" t="s">
        <v>4235</v>
      </c>
      <c r="D143" s="83">
        <v>1</v>
      </c>
      <c r="E143" s="183"/>
      <c r="F143" s="183"/>
    </row>
    <row r="144" spans="1:6" ht="30.75" customHeight="1" x14ac:dyDescent="0.3">
      <c r="A144" s="83">
        <v>4</v>
      </c>
      <c r="B144" s="166" t="s">
        <v>4236</v>
      </c>
      <c r="C144" s="82" t="s">
        <v>4237</v>
      </c>
      <c r="D144" s="83">
        <v>20</v>
      </c>
      <c r="E144" s="185"/>
      <c r="F144" s="183"/>
    </row>
    <row r="145" spans="1:6" ht="12" customHeight="1" x14ac:dyDescent="0.3">
      <c r="A145" s="11"/>
      <c r="B145" s="162" t="s">
        <v>4238</v>
      </c>
      <c r="C145" s="11"/>
      <c r="D145" s="11"/>
      <c r="E145" s="11"/>
      <c r="F145" s="187"/>
    </row>
    <row r="146" spans="1:6" ht="9.75" customHeight="1" x14ac:dyDescent="0.3">
      <c r="A146" s="11"/>
      <c r="B146" s="162" t="s">
        <v>4239</v>
      </c>
      <c r="C146" s="11"/>
      <c r="D146" s="11"/>
      <c r="E146" s="11"/>
      <c r="F146" s="11"/>
    </row>
    <row r="147" spans="1:6" ht="12" customHeight="1" x14ac:dyDescent="0.3">
      <c r="A147" s="182" t="s">
        <v>4240</v>
      </c>
      <c r="B147" s="163" t="s">
        <v>4241</v>
      </c>
      <c r="C147" s="11"/>
      <c r="D147" s="11"/>
      <c r="E147" s="11"/>
      <c r="F147" s="11"/>
    </row>
    <row r="148" spans="1:6" ht="30.75" customHeight="1" x14ac:dyDescent="0.3">
      <c r="A148" s="83">
        <v>1</v>
      </c>
      <c r="B148" s="166" t="s">
        <v>4242</v>
      </c>
      <c r="C148" s="82" t="s">
        <v>4243</v>
      </c>
      <c r="D148" s="83">
        <v>1</v>
      </c>
      <c r="E148" s="183"/>
      <c r="F148" s="183"/>
    </row>
    <row r="149" spans="1:6" ht="42.75" customHeight="1" x14ac:dyDescent="0.3">
      <c r="A149" s="68">
        <v>2</v>
      </c>
      <c r="B149" s="166" t="s">
        <v>4244</v>
      </c>
      <c r="C149" s="72" t="s">
        <v>4245</v>
      </c>
      <c r="D149" s="68">
        <v>1</v>
      </c>
      <c r="E149" s="184"/>
      <c r="F149" s="184"/>
    </row>
    <row r="150" spans="1:6" ht="12" customHeight="1" x14ac:dyDescent="0.3">
      <c r="A150" s="182" t="s">
        <v>4246</v>
      </c>
      <c r="B150" s="163" t="s">
        <v>4247</v>
      </c>
      <c r="C150" s="11"/>
      <c r="D150" s="11"/>
      <c r="E150" s="11"/>
      <c r="F150" s="11"/>
    </row>
    <row r="151" spans="1:6" ht="42.75" customHeight="1" x14ac:dyDescent="0.3">
      <c r="A151" s="68">
        <v>1</v>
      </c>
      <c r="B151" s="166" t="s">
        <v>4248</v>
      </c>
      <c r="C151" s="72" t="s">
        <v>4249</v>
      </c>
      <c r="D151" s="68">
        <v>1</v>
      </c>
      <c r="E151" s="184"/>
      <c r="F151" s="184"/>
    </row>
    <row r="152" spans="1:6" ht="12" customHeight="1" x14ac:dyDescent="0.3">
      <c r="A152" s="182" t="s">
        <v>4250</v>
      </c>
      <c r="B152" s="163" t="s">
        <v>4251</v>
      </c>
      <c r="C152" s="11"/>
      <c r="D152" s="11"/>
      <c r="E152" s="11"/>
      <c r="F152" s="11"/>
    </row>
    <row r="153" spans="1:6" ht="18" customHeight="1" x14ac:dyDescent="0.3">
      <c r="A153" s="68">
        <v>1</v>
      </c>
      <c r="B153" s="9" t="s">
        <v>4252</v>
      </c>
      <c r="C153" s="72" t="s">
        <v>4253</v>
      </c>
      <c r="D153" s="68">
        <v>1</v>
      </c>
      <c r="E153" s="184"/>
      <c r="F153" s="184"/>
    </row>
    <row r="154" spans="1:6" ht="12" customHeight="1" x14ac:dyDescent="0.3">
      <c r="A154" s="182" t="s">
        <v>4254</v>
      </c>
      <c r="B154" s="163" t="s">
        <v>4255</v>
      </c>
      <c r="C154" s="11"/>
      <c r="D154" s="11"/>
      <c r="E154" s="11"/>
      <c r="F154" s="11"/>
    </row>
    <row r="155" spans="1:6" ht="33.75" customHeight="1" x14ac:dyDescent="0.3">
      <c r="A155" s="68">
        <v>1</v>
      </c>
      <c r="B155" s="166" t="s">
        <v>4256</v>
      </c>
      <c r="C155" s="72" t="s">
        <v>4257</v>
      </c>
      <c r="D155" s="68">
        <v>1</v>
      </c>
      <c r="E155" s="184"/>
      <c r="F155" s="184"/>
    </row>
    <row r="156" spans="1:6" ht="12" customHeight="1" x14ac:dyDescent="0.3">
      <c r="A156" s="182" t="s">
        <v>4258</v>
      </c>
      <c r="B156" s="163" t="s">
        <v>4259</v>
      </c>
      <c r="C156" s="11"/>
      <c r="D156" s="11"/>
      <c r="E156" s="11"/>
      <c r="F156" s="11"/>
    </row>
    <row r="157" spans="1:6" ht="30.75" customHeight="1" x14ac:dyDescent="0.3">
      <c r="A157" s="83">
        <v>1</v>
      </c>
      <c r="B157" s="166" t="s">
        <v>4260</v>
      </c>
      <c r="C157" s="82" t="s">
        <v>4261</v>
      </c>
      <c r="D157" s="83">
        <v>2</v>
      </c>
      <c r="E157" s="183"/>
      <c r="F157" s="183"/>
    </row>
    <row r="158" spans="1:6" ht="30.75" customHeight="1" x14ac:dyDescent="0.3">
      <c r="A158" s="83">
        <v>2</v>
      </c>
      <c r="B158" s="166" t="s">
        <v>4262</v>
      </c>
      <c r="C158" s="82" t="s">
        <v>4263</v>
      </c>
      <c r="D158" s="83">
        <v>2</v>
      </c>
      <c r="E158" s="183"/>
      <c r="F158" s="183"/>
    </row>
    <row r="159" spans="1:6" ht="30.75" customHeight="1" x14ac:dyDescent="0.3">
      <c r="A159" s="83">
        <v>3</v>
      </c>
      <c r="B159" s="166" t="s">
        <v>4264</v>
      </c>
      <c r="C159" s="82" t="s">
        <v>4265</v>
      </c>
      <c r="D159" s="83">
        <v>1</v>
      </c>
      <c r="E159" s="183"/>
      <c r="F159" s="183"/>
    </row>
    <row r="160" spans="1:6" ht="30.75" customHeight="1" x14ac:dyDescent="0.3">
      <c r="A160" s="83">
        <v>4</v>
      </c>
      <c r="B160" s="166" t="s">
        <v>4266</v>
      </c>
      <c r="C160" s="82" t="s">
        <v>4267</v>
      </c>
      <c r="D160" s="83">
        <v>20</v>
      </c>
      <c r="E160" s="185"/>
      <c r="F160" s="183"/>
    </row>
    <row r="161" spans="1:6" ht="12" customHeight="1" x14ac:dyDescent="0.3">
      <c r="A161" s="11"/>
      <c r="B161" s="162" t="s">
        <v>4268</v>
      </c>
      <c r="C161" s="11"/>
      <c r="D161" s="11"/>
      <c r="E161" s="11"/>
      <c r="F161" s="187"/>
    </row>
    <row r="162" spans="1:6" ht="9.75" customHeight="1" x14ac:dyDescent="0.3">
      <c r="A162" s="11"/>
      <c r="B162" s="162" t="s">
        <v>4269</v>
      </c>
      <c r="C162" s="11"/>
      <c r="D162" s="11"/>
      <c r="E162" s="11"/>
      <c r="F162" s="11"/>
    </row>
    <row r="163" spans="1:6" ht="12" customHeight="1" x14ac:dyDescent="0.3">
      <c r="A163" s="182" t="s">
        <v>4270</v>
      </c>
      <c r="B163" s="163" t="s">
        <v>4271</v>
      </c>
      <c r="C163" s="11"/>
      <c r="D163" s="11"/>
      <c r="E163" s="11"/>
      <c r="F163" s="11"/>
    </row>
    <row r="164" spans="1:6" ht="30.75" customHeight="1" x14ac:dyDescent="0.3">
      <c r="A164" s="83">
        <v>1</v>
      </c>
      <c r="B164" s="166" t="s">
        <v>4272</v>
      </c>
      <c r="C164" s="82" t="s">
        <v>4273</v>
      </c>
      <c r="D164" s="83">
        <v>1</v>
      </c>
      <c r="E164" s="183"/>
      <c r="F164" s="183"/>
    </row>
    <row r="165" spans="1:6" ht="42.75" customHeight="1" x14ac:dyDescent="0.3">
      <c r="A165" s="68">
        <v>2</v>
      </c>
      <c r="B165" s="166" t="s">
        <v>4274</v>
      </c>
      <c r="C165" s="72" t="s">
        <v>4275</v>
      </c>
      <c r="D165" s="68">
        <v>1</v>
      </c>
      <c r="E165" s="184"/>
      <c r="F165" s="184"/>
    </row>
    <row r="166" spans="1:6" ht="12" customHeight="1" x14ac:dyDescent="0.3">
      <c r="A166" s="182" t="s">
        <v>4276</v>
      </c>
      <c r="B166" s="163" t="s">
        <v>4277</v>
      </c>
      <c r="C166" s="11"/>
      <c r="D166" s="11"/>
      <c r="E166" s="11"/>
      <c r="F166" s="11"/>
    </row>
    <row r="167" spans="1:6" ht="42.75" customHeight="1" x14ac:dyDescent="0.3">
      <c r="A167" s="68">
        <v>1</v>
      </c>
      <c r="B167" s="166" t="s">
        <v>4278</v>
      </c>
      <c r="C167" s="72" t="s">
        <v>4279</v>
      </c>
      <c r="D167" s="68">
        <v>1</v>
      </c>
      <c r="E167" s="184"/>
      <c r="F167" s="184"/>
    </row>
    <row r="168" spans="1:6" ht="12" customHeight="1" x14ac:dyDescent="0.3">
      <c r="A168" s="182" t="s">
        <v>4280</v>
      </c>
      <c r="B168" s="163" t="s">
        <v>4281</v>
      </c>
      <c r="C168" s="11"/>
      <c r="D168" s="11"/>
      <c r="E168" s="11"/>
      <c r="F168" s="11"/>
    </row>
    <row r="169" spans="1:6" ht="18" customHeight="1" x14ac:dyDescent="0.3">
      <c r="A169" s="68">
        <v>1</v>
      </c>
      <c r="B169" s="9" t="s">
        <v>4282</v>
      </c>
      <c r="C169" s="72" t="s">
        <v>4283</v>
      </c>
      <c r="D169" s="68">
        <v>1</v>
      </c>
      <c r="E169" s="184"/>
      <c r="F169" s="184"/>
    </row>
    <row r="170" spans="1:6" ht="12" customHeight="1" x14ac:dyDescent="0.3">
      <c r="A170" s="182" t="s">
        <v>4284</v>
      </c>
      <c r="B170" s="163" t="s">
        <v>4285</v>
      </c>
      <c r="C170" s="11"/>
      <c r="D170" s="11"/>
      <c r="E170" s="11"/>
      <c r="F170" s="11"/>
    </row>
    <row r="171" spans="1:6" ht="33.75" customHeight="1" x14ac:dyDescent="0.3">
      <c r="A171" s="68">
        <v>1</v>
      </c>
      <c r="B171" s="166" t="s">
        <v>4286</v>
      </c>
      <c r="C171" s="72" t="s">
        <v>4287</v>
      </c>
      <c r="D171" s="68">
        <v>1</v>
      </c>
      <c r="E171" s="184"/>
      <c r="F171" s="184"/>
    </row>
    <row r="172" spans="1:6" ht="12" customHeight="1" x14ac:dyDescent="0.3">
      <c r="A172" s="182" t="s">
        <v>4288</v>
      </c>
      <c r="B172" s="163" t="s">
        <v>4289</v>
      </c>
      <c r="C172" s="11"/>
      <c r="D172" s="11"/>
      <c r="E172" s="11"/>
      <c r="F172" s="11"/>
    </row>
    <row r="173" spans="1:6" ht="30.75" customHeight="1" x14ac:dyDescent="0.3">
      <c r="A173" s="83">
        <v>1</v>
      </c>
      <c r="B173" s="166" t="s">
        <v>4290</v>
      </c>
      <c r="C173" s="82" t="s">
        <v>4291</v>
      </c>
      <c r="D173" s="83">
        <v>1</v>
      </c>
      <c r="E173" s="183"/>
      <c r="F173" s="183"/>
    </row>
    <row r="174" spans="1:6" ht="30.75" customHeight="1" x14ac:dyDescent="0.3">
      <c r="A174" s="83">
        <v>2</v>
      </c>
      <c r="B174" s="166" t="s">
        <v>4292</v>
      </c>
      <c r="C174" s="82" t="s">
        <v>4293</v>
      </c>
      <c r="D174" s="83">
        <v>2</v>
      </c>
      <c r="E174" s="183"/>
      <c r="F174" s="183"/>
    </row>
    <row r="175" spans="1:6" ht="30.75" customHeight="1" x14ac:dyDescent="0.3">
      <c r="A175" s="83">
        <v>3</v>
      </c>
      <c r="B175" s="166" t="s">
        <v>4294</v>
      </c>
      <c r="C175" s="82" t="s">
        <v>4295</v>
      </c>
      <c r="D175" s="83">
        <v>1</v>
      </c>
      <c r="E175" s="183"/>
      <c r="F175" s="183"/>
    </row>
    <row r="176" spans="1:6" ht="30.75" customHeight="1" x14ac:dyDescent="0.3">
      <c r="A176" s="83">
        <v>4</v>
      </c>
      <c r="B176" s="166" t="s">
        <v>4296</v>
      </c>
      <c r="C176" s="82" t="s">
        <v>4297</v>
      </c>
      <c r="D176" s="83">
        <v>20</v>
      </c>
      <c r="E176" s="185"/>
      <c r="F176" s="183"/>
    </row>
    <row r="177" spans="1:6" ht="12" customHeight="1" x14ac:dyDescent="0.3">
      <c r="A177" s="11"/>
      <c r="B177" s="162" t="s">
        <v>4298</v>
      </c>
      <c r="C177" s="11"/>
      <c r="D177" s="11"/>
      <c r="E177" s="11"/>
      <c r="F177" s="187"/>
    </row>
    <row r="178" spans="1:6" ht="9.75" customHeight="1" x14ac:dyDescent="0.3">
      <c r="A178" s="11"/>
      <c r="B178" s="162" t="s">
        <v>4299</v>
      </c>
      <c r="C178" s="11"/>
      <c r="D178" s="11"/>
      <c r="E178" s="11"/>
      <c r="F178" s="11"/>
    </row>
    <row r="179" spans="1:6" ht="12" customHeight="1" x14ac:dyDescent="0.3">
      <c r="A179" s="182" t="s">
        <v>4300</v>
      </c>
      <c r="B179" s="163" t="s">
        <v>4301</v>
      </c>
      <c r="C179" s="11"/>
      <c r="D179" s="11"/>
      <c r="E179" s="11"/>
      <c r="F179" s="11"/>
    </row>
    <row r="180" spans="1:6" ht="30.75" customHeight="1" x14ac:dyDescent="0.3">
      <c r="A180" s="83">
        <v>1</v>
      </c>
      <c r="B180" s="166" t="s">
        <v>4302</v>
      </c>
      <c r="C180" s="82" t="s">
        <v>4303</v>
      </c>
      <c r="D180" s="83">
        <v>1</v>
      </c>
      <c r="E180" s="183"/>
      <c r="F180" s="183"/>
    </row>
    <row r="181" spans="1:6" ht="42.75" customHeight="1" x14ac:dyDescent="0.3">
      <c r="A181" s="68">
        <v>2</v>
      </c>
      <c r="B181" s="166" t="s">
        <v>4304</v>
      </c>
      <c r="C181" s="72" t="s">
        <v>4305</v>
      </c>
      <c r="D181" s="68">
        <v>1</v>
      </c>
      <c r="E181" s="184"/>
      <c r="F181" s="184"/>
    </row>
    <row r="182" spans="1:6" ht="12" customHeight="1" x14ac:dyDescent="0.3">
      <c r="A182" s="182" t="s">
        <v>4306</v>
      </c>
      <c r="B182" s="163" t="s">
        <v>4307</v>
      </c>
      <c r="C182" s="11"/>
      <c r="D182" s="11"/>
      <c r="E182" s="11"/>
      <c r="F182" s="11"/>
    </row>
    <row r="183" spans="1:6" ht="42.75" customHeight="1" x14ac:dyDescent="0.3">
      <c r="A183" s="68">
        <v>1</v>
      </c>
      <c r="B183" s="166" t="s">
        <v>4308</v>
      </c>
      <c r="C183" s="72" t="s">
        <v>4309</v>
      </c>
      <c r="D183" s="68">
        <v>1</v>
      </c>
      <c r="E183" s="184"/>
      <c r="F183" s="184"/>
    </row>
    <row r="184" spans="1:6" ht="12" customHeight="1" x14ac:dyDescent="0.3">
      <c r="A184" s="182" t="s">
        <v>4310</v>
      </c>
      <c r="B184" s="163" t="s">
        <v>4311</v>
      </c>
      <c r="C184" s="11"/>
      <c r="D184" s="11"/>
      <c r="E184" s="11"/>
      <c r="F184" s="11"/>
    </row>
    <row r="185" spans="1:6" ht="18" customHeight="1" x14ac:dyDescent="0.3">
      <c r="A185" s="68">
        <v>1</v>
      </c>
      <c r="B185" s="9" t="s">
        <v>4312</v>
      </c>
      <c r="C185" s="72" t="s">
        <v>4313</v>
      </c>
      <c r="D185" s="68">
        <v>1</v>
      </c>
      <c r="E185" s="184"/>
      <c r="F185" s="184"/>
    </row>
    <row r="186" spans="1:6" ht="25.5" customHeight="1" x14ac:dyDescent="0.3">
      <c r="A186" s="68">
        <v>2</v>
      </c>
      <c r="B186" s="166" t="s">
        <v>4314</v>
      </c>
      <c r="C186" s="72" t="s">
        <v>4315</v>
      </c>
      <c r="D186" s="68">
        <v>1</v>
      </c>
      <c r="E186" s="184"/>
      <c r="F186" s="184"/>
    </row>
    <row r="187" spans="1:6" ht="30.75" customHeight="1" x14ac:dyDescent="0.3">
      <c r="A187" s="83">
        <v>3</v>
      </c>
      <c r="B187" s="166" t="s">
        <v>4316</v>
      </c>
      <c r="C187" s="82" t="s">
        <v>4317</v>
      </c>
      <c r="D187" s="83">
        <v>1</v>
      </c>
      <c r="E187" s="183"/>
      <c r="F187" s="183"/>
    </row>
    <row r="188" spans="1:6" ht="12" customHeight="1" x14ac:dyDescent="0.3">
      <c r="A188" s="182" t="s">
        <v>4318</v>
      </c>
      <c r="B188" s="163" t="s">
        <v>4319</v>
      </c>
      <c r="C188" s="11"/>
      <c r="D188" s="11"/>
      <c r="E188" s="11"/>
      <c r="F188" s="11"/>
    </row>
    <row r="189" spans="1:6" ht="33.75" customHeight="1" x14ac:dyDescent="0.3">
      <c r="A189" s="68">
        <v>1</v>
      </c>
      <c r="B189" s="166" t="s">
        <v>4320</v>
      </c>
      <c r="C189" s="72" t="s">
        <v>4321</v>
      </c>
      <c r="D189" s="68">
        <v>1</v>
      </c>
      <c r="E189" s="184"/>
      <c r="F189" s="184"/>
    </row>
    <row r="190" spans="1:6" ht="12" customHeight="1" x14ac:dyDescent="0.3">
      <c r="A190" s="182" t="s">
        <v>4322</v>
      </c>
      <c r="B190" s="163" t="s">
        <v>4323</v>
      </c>
      <c r="C190" s="11"/>
      <c r="D190" s="11"/>
      <c r="E190" s="11"/>
      <c r="F190" s="11"/>
    </row>
    <row r="191" spans="1:6" ht="30.75" customHeight="1" x14ac:dyDescent="0.3">
      <c r="A191" s="83">
        <v>1</v>
      </c>
      <c r="B191" s="166" t="s">
        <v>4324</v>
      </c>
      <c r="C191" s="82" t="s">
        <v>4325</v>
      </c>
      <c r="D191" s="83">
        <v>1</v>
      </c>
      <c r="E191" s="183"/>
      <c r="F191" s="183"/>
    </row>
    <row r="192" spans="1:6" ht="30.75" customHeight="1" x14ac:dyDescent="0.3">
      <c r="A192" s="83">
        <v>2</v>
      </c>
      <c r="B192" s="166" t="s">
        <v>4326</v>
      </c>
      <c r="C192" s="82" t="s">
        <v>4327</v>
      </c>
      <c r="D192" s="83">
        <v>3</v>
      </c>
      <c r="E192" s="183"/>
      <c r="F192" s="183"/>
    </row>
    <row r="193" spans="1:6" ht="30.75" customHeight="1" x14ac:dyDescent="0.3">
      <c r="A193" s="83">
        <v>3</v>
      </c>
      <c r="B193" s="166" t="s">
        <v>4328</v>
      </c>
      <c r="C193" s="82" t="s">
        <v>4329</v>
      </c>
      <c r="D193" s="83">
        <v>1</v>
      </c>
      <c r="E193" s="183"/>
      <c r="F193" s="183"/>
    </row>
    <row r="194" spans="1:6" ht="30.75" customHeight="1" x14ac:dyDescent="0.3">
      <c r="A194" s="83">
        <v>4</v>
      </c>
      <c r="B194" s="166" t="s">
        <v>4330</v>
      </c>
      <c r="C194" s="82" t="s">
        <v>4331</v>
      </c>
      <c r="D194" s="83">
        <v>1</v>
      </c>
      <c r="E194" s="183"/>
      <c r="F194" s="183"/>
    </row>
    <row r="195" spans="1:6" ht="30.75" customHeight="1" x14ac:dyDescent="0.3">
      <c r="A195" s="83">
        <v>5</v>
      </c>
      <c r="B195" s="166" t="s">
        <v>4332</v>
      </c>
      <c r="C195" s="82" t="s">
        <v>4333</v>
      </c>
      <c r="D195" s="83">
        <v>20</v>
      </c>
      <c r="E195" s="185"/>
      <c r="F195" s="183"/>
    </row>
    <row r="196" spans="1:6" ht="12" customHeight="1" x14ac:dyDescent="0.3">
      <c r="A196" s="11"/>
      <c r="B196" s="162" t="s">
        <v>4334</v>
      </c>
      <c r="C196" s="11"/>
      <c r="D196" s="11"/>
      <c r="E196" s="11"/>
      <c r="F196" s="187"/>
    </row>
    <row r="197" spans="1:6" ht="9.75" customHeight="1" x14ac:dyDescent="0.3">
      <c r="A197" s="11"/>
      <c r="B197" s="162" t="s">
        <v>4335</v>
      </c>
      <c r="C197" s="11"/>
      <c r="D197" s="11"/>
      <c r="E197" s="11"/>
      <c r="F197" s="11"/>
    </row>
    <row r="198" spans="1:6" ht="12" customHeight="1" x14ac:dyDescent="0.3">
      <c r="A198" s="182" t="s">
        <v>4336</v>
      </c>
      <c r="B198" s="163" t="s">
        <v>4337</v>
      </c>
      <c r="C198" s="11"/>
      <c r="D198" s="11"/>
      <c r="E198" s="11"/>
      <c r="F198" s="11"/>
    </row>
    <row r="199" spans="1:6" ht="30.75" customHeight="1" x14ac:dyDescent="0.3">
      <c r="A199" s="83">
        <v>1</v>
      </c>
      <c r="B199" s="9" t="s">
        <v>4338</v>
      </c>
      <c r="C199" s="82" t="s">
        <v>4339</v>
      </c>
      <c r="D199" s="83">
        <v>1</v>
      </c>
      <c r="E199" s="183"/>
      <c r="F199" s="183"/>
    </row>
    <row r="200" spans="1:6" ht="42.75" customHeight="1" x14ac:dyDescent="0.3">
      <c r="A200" s="68">
        <v>2</v>
      </c>
      <c r="B200" s="166" t="s">
        <v>4340</v>
      </c>
      <c r="C200" s="72" t="s">
        <v>4341</v>
      </c>
      <c r="D200" s="68">
        <v>1</v>
      </c>
      <c r="E200" s="184"/>
      <c r="F200" s="184"/>
    </row>
    <row r="201" spans="1:6" ht="12" customHeight="1" x14ac:dyDescent="0.3">
      <c r="A201" s="182" t="s">
        <v>4342</v>
      </c>
      <c r="B201" s="163" t="s">
        <v>4343</v>
      </c>
      <c r="C201" s="11"/>
      <c r="D201" s="11"/>
      <c r="E201" s="11"/>
      <c r="F201" s="11"/>
    </row>
    <row r="202" spans="1:6" ht="42.75" customHeight="1" x14ac:dyDescent="0.3">
      <c r="A202" s="68">
        <v>1</v>
      </c>
      <c r="B202" s="166" t="s">
        <v>4344</v>
      </c>
      <c r="C202" s="72" t="s">
        <v>4345</v>
      </c>
      <c r="D202" s="68">
        <v>1</v>
      </c>
      <c r="E202" s="184"/>
      <c r="F202" s="184"/>
    </row>
    <row r="203" spans="1:6" ht="12" customHeight="1" x14ac:dyDescent="0.3">
      <c r="A203" s="182" t="s">
        <v>4346</v>
      </c>
      <c r="B203" s="163" t="s">
        <v>4347</v>
      </c>
      <c r="C203" s="11"/>
      <c r="D203" s="11"/>
      <c r="E203" s="11"/>
      <c r="F203" s="11"/>
    </row>
    <row r="204" spans="1:6" ht="18" customHeight="1" x14ac:dyDescent="0.3">
      <c r="A204" s="68">
        <v>1</v>
      </c>
      <c r="B204" s="9" t="s">
        <v>4348</v>
      </c>
      <c r="C204" s="72" t="s">
        <v>4349</v>
      </c>
      <c r="D204" s="68">
        <v>1</v>
      </c>
      <c r="E204" s="184"/>
      <c r="F204" s="184"/>
    </row>
    <row r="205" spans="1:6" ht="25.5" customHeight="1" x14ac:dyDescent="0.3">
      <c r="A205" s="68">
        <v>2</v>
      </c>
      <c r="B205" s="166" t="s">
        <v>4350</v>
      </c>
      <c r="C205" s="72" t="s">
        <v>4351</v>
      </c>
      <c r="D205" s="68">
        <v>1</v>
      </c>
      <c r="E205" s="184"/>
      <c r="F205" s="184"/>
    </row>
    <row r="206" spans="1:6" ht="30.75" customHeight="1" x14ac:dyDescent="0.3">
      <c r="A206" s="83">
        <v>3</v>
      </c>
      <c r="B206" s="166" t="s">
        <v>4352</v>
      </c>
      <c r="C206" s="82" t="s">
        <v>4353</v>
      </c>
      <c r="D206" s="83">
        <v>1</v>
      </c>
      <c r="E206" s="183"/>
      <c r="F206" s="183"/>
    </row>
    <row r="207" spans="1:6" ht="12" customHeight="1" x14ac:dyDescent="0.3">
      <c r="A207" s="182" t="s">
        <v>4354</v>
      </c>
      <c r="B207" s="163" t="s">
        <v>4355</v>
      </c>
      <c r="C207" s="11"/>
      <c r="D207" s="11"/>
      <c r="E207" s="11"/>
      <c r="F207" s="11"/>
    </row>
    <row r="208" spans="1:6" ht="33.75" customHeight="1" x14ac:dyDescent="0.3">
      <c r="A208" s="68">
        <v>1</v>
      </c>
      <c r="B208" s="166" t="s">
        <v>4356</v>
      </c>
      <c r="C208" s="72" t="s">
        <v>4357</v>
      </c>
      <c r="D208" s="68">
        <v>1</v>
      </c>
      <c r="E208" s="184"/>
      <c r="F208" s="184"/>
    </row>
    <row r="209" spans="1:6" ht="12" customHeight="1" x14ac:dyDescent="0.3">
      <c r="A209" s="182" t="s">
        <v>4358</v>
      </c>
      <c r="B209" s="163" t="s">
        <v>4359</v>
      </c>
      <c r="C209" s="11"/>
      <c r="D209" s="11"/>
      <c r="E209" s="11"/>
      <c r="F209" s="11"/>
    </row>
    <row r="210" spans="1:6" ht="30.75" customHeight="1" x14ac:dyDescent="0.3">
      <c r="A210" s="83">
        <v>1</v>
      </c>
      <c r="B210" s="166" t="s">
        <v>4360</v>
      </c>
      <c r="C210" s="82" t="s">
        <v>4361</v>
      </c>
      <c r="D210" s="83">
        <v>1</v>
      </c>
      <c r="E210" s="183"/>
      <c r="F210" s="183"/>
    </row>
    <row r="211" spans="1:6" ht="30.75" customHeight="1" x14ac:dyDescent="0.3">
      <c r="A211" s="83">
        <v>2</v>
      </c>
      <c r="B211" s="166" t="s">
        <v>4362</v>
      </c>
      <c r="C211" s="82" t="s">
        <v>4363</v>
      </c>
      <c r="D211" s="83">
        <v>3</v>
      </c>
      <c r="E211" s="183"/>
      <c r="F211" s="183"/>
    </row>
    <row r="212" spans="1:6" ht="30.75" customHeight="1" x14ac:dyDescent="0.3">
      <c r="A212" s="83">
        <v>3</v>
      </c>
      <c r="B212" s="166" t="s">
        <v>4364</v>
      </c>
      <c r="C212" s="82" t="s">
        <v>4365</v>
      </c>
      <c r="D212" s="83">
        <v>1</v>
      </c>
      <c r="E212" s="183"/>
      <c r="F212" s="183"/>
    </row>
    <row r="213" spans="1:6" ht="30.75" customHeight="1" x14ac:dyDescent="0.3">
      <c r="A213" s="83">
        <v>4</v>
      </c>
      <c r="B213" s="166" t="s">
        <v>4366</v>
      </c>
      <c r="C213" s="82" t="s">
        <v>4367</v>
      </c>
      <c r="D213" s="83">
        <v>1</v>
      </c>
      <c r="E213" s="183"/>
      <c r="F213" s="183"/>
    </row>
    <row r="214" spans="1:6" ht="30.75" customHeight="1" x14ac:dyDescent="0.3">
      <c r="A214" s="83">
        <v>5</v>
      </c>
      <c r="B214" s="166" t="s">
        <v>4368</v>
      </c>
      <c r="C214" s="82" t="s">
        <v>4369</v>
      </c>
      <c r="D214" s="83">
        <v>20</v>
      </c>
      <c r="E214" s="185"/>
      <c r="F214" s="183"/>
    </row>
    <row r="215" spans="1:6" ht="12" customHeight="1" x14ac:dyDescent="0.3">
      <c r="A215" s="11"/>
      <c r="B215" s="162" t="s">
        <v>4370</v>
      </c>
      <c r="C215" s="11"/>
      <c r="D215" s="11"/>
      <c r="E215" s="11"/>
      <c r="F215" s="187"/>
    </row>
    <row r="216" spans="1:6" ht="9.75" customHeight="1" x14ac:dyDescent="0.3">
      <c r="A216" s="11"/>
      <c r="B216" s="162" t="s">
        <v>4371</v>
      </c>
      <c r="C216" s="11"/>
      <c r="D216" s="11"/>
      <c r="E216" s="11"/>
      <c r="F216" s="11"/>
    </row>
    <row r="217" spans="1:6" ht="12" customHeight="1" x14ac:dyDescent="0.3">
      <c r="A217" s="182" t="s">
        <v>4372</v>
      </c>
      <c r="B217" s="163" t="s">
        <v>4373</v>
      </c>
      <c r="C217" s="11"/>
      <c r="D217" s="11"/>
      <c r="E217" s="11"/>
      <c r="F217" s="11"/>
    </row>
    <row r="218" spans="1:6" ht="30.75" customHeight="1" x14ac:dyDescent="0.3">
      <c r="A218" s="83">
        <v>1</v>
      </c>
      <c r="B218" s="166" t="s">
        <v>4374</v>
      </c>
      <c r="C218" s="82" t="s">
        <v>4375</v>
      </c>
      <c r="D218" s="83">
        <v>2</v>
      </c>
      <c r="E218" s="183"/>
      <c r="F218" s="183"/>
    </row>
    <row r="219" spans="1:6" ht="42.75" customHeight="1" x14ac:dyDescent="0.3">
      <c r="A219" s="68">
        <v>2</v>
      </c>
      <c r="B219" s="166" t="s">
        <v>4376</v>
      </c>
      <c r="C219" s="72" t="s">
        <v>4377</v>
      </c>
      <c r="D219" s="68">
        <v>2</v>
      </c>
      <c r="E219" s="184"/>
      <c r="F219" s="184"/>
    </row>
    <row r="220" spans="1:6" ht="12" customHeight="1" x14ac:dyDescent="0.3">
      <c r="A220" s="182" t="s">
        <v>4378</v>
      </c>
      <c r="B220" s="163" t="s">
        <v>4379</v>
      </c>
      <c r="C220" s="11"/>
      <c r="D220" s="11"/>
      <c r="E220" s="11"/>
      <c r="F220" s="11"/>
    </row>
    <row r="221" spans="1:6" ht="33.75" customHeight="1" x14ac:dyDescent="0.3">
      <c r="A221" s="68">
        <v>1</v>
      </c>
      <c r="B221" s="9" t="s">
        <v>4380</v>
      </c>
      <c r="C221" s="72" t="s">
        <v>4381</v>
      </c>
      <c r="D221" s="68">
        <v>2</v>
      </c>
      <c r="E221" s="184"/>
      <c r="F221" s="184"/>
    </row>
    <row r="222" spans="1:6" ht="12" customHeight="1" x14ac:dyDescent="0.3">
      <c r="A222" s="182" t="s">
        <v>4382</v>
      </c>
      <c r="B222" s="163" t="s">
        <v>4383</v>
      </c>
      <c r="C222" s="11"/>
      <c r="D222" s="11"/>
      <c r="E222" s="11"/>
      <c r="F222" s="11"/>
    </row>
    <row r="223" spans="1:6" ht="30.75" customHeight="1" x14ac:dyDescent="0.3">
      <c r="A223" s="83">
        <v>1</v>
      </c>
      <c r="B223" s="166" t="s">
        <v>4384</v>
      </c>
      <c r="C223" s="82" t="s">
        <v>4385</v>
      </c>
      <c r="D223" s="83">
        <v>2</v>
      </c>
      <c r="E223" s="183"/>
      <c r="F223" s="183"/>
    </row>
    <row r="224" spans="1:6" ht="25.5" customHeight="1" x14ac:dyDescent="0.3">
      <c r="A224" s="68">
        <v>2</v>
      </c>
      <c r="B224" s="166" t="s">
        <v>4386</v>
      </c>
      <c r="C224" s="72" t="s">
        <v>4387</v>
      </c>
      <c r="D224" s="68">
        <v>2</v>
      </c>
      <c r="E224" s="184"/>
      <c r="F224" s="184"/>
    </row>
    <row r="225" spans="1:6" ht="30.75" customHeight="1" x14ac:dyDescent="0.3">
      <c r="A225" s="83">
        <v>3</v>
      </c>
      <c r="B225" s="166" t="s">
        <v>4388</v>
      </c>
      <c r="C225" s="82" t="s">
        <v>4389</v>
      </c>
      <c r="D225" s="83">
        <v>2</v>
      </c>
      <c r="E225" s="183"/>
      <c r="F225" s="183"/>
    </row>
    <row r="226" spans="1:6" ht="12" customHeight="1" x14ac:dyDescent="0.3">
      <c r="A226" s="182" t="s">
        <v>4390</v>
      </c>
      <c r="B226" s="163" t="s">
        <v>4391</v>
      </c>
      <c r="C226" s="11"/>
      <c r="D226" s="11"/>
      <c r="E226" s="11"/>
      <c r="F226" s="11"/>
    </row>
    <row r="227" spans="1:6" ht="33.75" customHeight="1" x14ac:dyDescent="0.3">
      <c r="A227" s="68">
        <v>1</v>
      </c>
      <c r="B227" s="166" t="s">
        <v>4392</v>
      </c>
      <c r="C227" s="72" t="s">
        <v>4393</v>
      </c>
      <c r="D227" s="68">
        <v>2</v>
      </c>
      <c r="E227" s="184"/>
      <c r="F227" s="184"/>
    </row>
    <row r="228" spans="1:6" ht="12" customHeight="1" x14ac:dyDescent="0.3">
      <c r="A228" s="182" t="s">
        <v>4394</v>
      </c>
      <c r="B228" s="163" t="s">
        <v>4395</v>
      </c>
      <c r="C228" s="11"/>
      <c r="D228" s="11"/>
      <c r="E228" s="11"/>
      <c r="F228" s="11"/>
    </row>
    <row r="229" spans="1:6" ht="30.75" customHeight="1" x14ac:dyDescent="0.3">
      <c r="A229" s="83">
        <v>1</v>
      </c>
      <c r="B229" s="166" t="s">
        <v>4396</v>
      </c>
      <c r="C229" s="82" t="s">
        <v>4397</v>
      </c>
      <c r="D229" s="83">
        <v>4</v>
      </c>
      <c r="E229" s="183"/>
      <c r="F229" s="183"/>
    </row>
    <row r="230" spans="1:6" ht="30.75" customHeight="1" x14ac:dyDescent="0.3">
      <c r="A230" s="83">
        <v>2</v>
      </c>
      <c r="B230" s="166" t="s">
        <v>4398</v>
      </c>
      <c r="C230" s="82" t="s">
        <v>4399</v>
      </c>
      <c r="D230" s="83">
        <v>8</v>
      </c>
      <c r="E230" s="183"/>
      <c r="F230" s="183"/>
    </row>
    <row r="231" spans="1:6" ht="30.75" customHeight="1" x14ac:dyDescent="0.3">
      <c r="A231" s="83">
        <v>3</v>
      </c>
      <c r="B231" s="166" t="s">
        <v>4400</v>
      </c>
      <c r="C231" s="82" t="s">
        <v>4401</v>
      </c>
      <c r="D231" s="83">
        <v>4</v>
      </c>
      <c r="E231" s="183"/>
      <c r="F231" s="183"/>
    </row>
    <row r="232" spans="1:6" ht="30.75" customHeight="1" x14ac:dyDescent="0.3">
      <c r="A232" s="83">
        <v>4</v>
      </c>
      <c r="B232" s="166" t="s">
        <v>4402</v>
      </c>
      <c r="C232" s="82" t="s">
        <v>4403</v>
      </c>
      <c r="D232" s="83">
        <v>4</v>
      </c>
      <c r="E232" s="183"/>
      <c r="F232" s="183"/>
    </row>
    <row r="233" spans="1:6" ht="30.75" customHeight="1" x14ac:dyDescent="0.3">
      <c r="A233" s="83">
        <v>5</v>
      </c>
      <c r="B233" s="166" t="s">
        <v>4404</v>
      </c>
      <c r="C233" s="82" t="s">
        <v>4405</v>
      </c>
      <c r="D233" s="83">
        <v>40</v>
      </c>
      <c r="E233" s="185"/>
      <c r="F233" s="183"/>
    </row>
    <row r="234" spans="1:6" ht="12" customHeight="1" x14ac:dyDescent="0.3">
      <c r="A234" s="11"/>
      <c r="B234" s="162" t="s">
        <v>4406</v>
      </c>
      <c r="C234" s="11"/>
      <c r="D234" s="11"/>
      <c r="E234" s="11"/>
      <c r="F234" s="187"/>
    </row>
    <row r="235" spans="1:6" ht="9.75" customHeight="1" x14ac:dyDescent="0.3">
      <c r="A235" s="11"/>
      <c r="B235" s="162" t="s">
        <v>4407</v>
      </c>
      <c r="C235" s="11"/>
      <c r="D235" s="11"/>
      <c r="E235" s="11"/>
      <c r="F235" s="11"/>
    </row>
    <row r="236" spans="1:6" ht="12" customHeight="1" x14ac:dyDescent="0.3">
      <c r="A236" s="72" t="s">
        <v>4408</v>
      </c>
      <c r="B236" s="163" t="s">
        <v>4409</v>
      </c>
      <c r="C236" s="11"/>
      <c r="D236" s="11"/>
      <c r="E236" s="11"/>
      <c r="F236" s="11"/>
    </row>
    <row r="237" spans="1:6" ht="30.75" customHeight="1" x14ac:dyDescent="0.3">
      <c r="A237" s="83">
        <v>1</v>
      </c>
      <c r="B237" s="166" t="s">
        <v>4410</v>
      </c>
      <c r="C237" s="82" t="s">
        <v>4411</v>
      </c>
      <c r="D237" s="83">
        <v>2</v>
      </c>
      <c r="E237" s="183"/>
      <c r="F237" s="183"/>
    </row>
    <row r="238" spans="1:6" ht="42.75" customHeight="1" x14ac:dyDescent="0.3">
      <c r="A238" s="68">
        <v>2</v>
      </c>
      <c r="B238" s="166" t="s">
        <v>4412</v>
      </c>
      <c r="C238" s="72" t="s">
        <v>4413</v>
      </c>
      <c r="D238" s="68">
        <v>2</v>
      </c>
      <c r="E238" s="184"/>
      <c r="F238" s="184"/>
    </row>
    <row r="239" spans="1:6" ht="9.75" customHeight="1" x14ac:dyDescent="0.3">
      <c r="A239" s="11"/>
      <c r="B239" s="11"/>
      <c r="C239" s="11"/>
      <c r="D239" s="11"/>
      <c r="E239" s="11"/>
      <c r="F239" s="11"/>
    </row>
    <row r="240" spans="1:6" ht="12" customHeight="1" x14ac:dyDescent="0.3">
      <c r="A240" s="182" t="s">
        <v>4414</v>
      </c>
      <c r="B240" s="163" t="s">
        <v>4415</v>
      </c>
      <c r="C240" s="11"/>
      <c r="D240" s="11"/>
      <c r="E240" s="11"/>
      <c r="F240" s="11"/>
    </row>
    <row r="241" spans="1:6" ht="33.75" customHeight="1" x14ac:dyDescent="0.3">
      <c r="A241" s="68">
        <v>1</v>
      </c>
      <c r="B241" s="166" t="s">
        <v>4416</v>
      </c>
      <c r="C241" s="72" t="s">
        <v>4417</v>
      </c>
      <c r="D241" s="68">
        <v>2</v>
      </c>
      <c r="E241" s="184"/>
      <c r="F241" s="184"/>
    </row>
    <row r="242" spans="1:6" ht="17.25" customHeight="1" x14ac:dyDescent="0.3">
      <c r="A242" s="68">
        <v>2</v>
      </c>
      <c r="B242" s="166" t="s">
        <v>4418</v>
      </c>
      <c r="C242" s="72" t="s">
        <v>4419</v>
      </c>
      <c r="D242" s="68">
        <v>2</v>
      </c>
      <c r="E242" s="184"/>
      <c r="F242" s="184"/>
    </row>
    <row r="243" spans="1:6" ht="9.75" customHeight="1" x14ac:dyDescent="0.3">
      <c r="A243" s="11"/>
      <c r="B243" s="11"/>
      <c r="C243" s="11"/>
      <c r="D243" s="11"/>
      <c r="E243" s="11"/>
      <c r="F243" s="11"/>
    </row>
    <row r="244" spans="1:6" ht="12" customHeight="1" x14ac:dyDescent="0.3">
      <c r="A244" s="182" t="s">
        <v>4420</v>
      </c>
      <c r="B244" s="163" t="s">
        <v>4421</v>
      </c>
      <c r="C244" s="11"/>
      <c r="D244" s="11"/>
      <c r="E244" s="11"/>
      <c r="F244" s="11"/>
    </row>
    <row r="245" spans="1:6" ht="68.25" customHeight="1" x14ac:dyDescent="0.3">
      <c r="A245" s="83">
        <v>1</v>
      </c>
      <c r="B245" s="166" t="s">
        <v>4422</v>
      </c>
      <c r="C245" s="82" t="s">
        <v>4423</v>
      </c>
      <c r="D245" s="83">
        <v>2</v>
      </c>
      <c r="E245" s="183"/>
      <c r="F245" s="183"/>
    </row>
    <row r="246" spans="1:6" ht="77.25" customHeight="1" x14ac:dyDescent="0.3">
      <c r="A246" s="83">
        <v>2</v>
      </c>
      <c r="B246" s="166" t="s">
        <v>4424</v>
      </c>
      <c r="C246" s="82" t="s">
        <v>4425</v>
      </c>
      <c r="D246" s="83">
        <v>1</v>
      </c>
      <c r="E246" s="183"/>
      <c r="F246" s="183"/>
    </row>
    <row r="247" spans="1:6" ht="33.75" customHeight="1" x14ac:dyDescent="0.3">
      <c r="A247" s="68">
        <v>3</v>
      </c>
      <c r="B247" s="166" t="s">
        <v>4426</v>
      </c>
      <c r="C247" s="72" t="s">
        <v>4427</v>
      </c>
      <c r="D247" s="68">
        <v>8</v>
      </c>
      <c r="E247" s="184"/>
      <c r="F247" s="184"/>
    </row>
    <row r="248" spans="1:6" ht="20.25" customHeight="1" x14ac:dyDescent="0.3">
      <c r="A248" s="68">
        <v>4</v>
      </c>
      <c r="B248" s="166" t="s">
        <v>4428</v>
      </c>
      <c r="C248" s="72" t="s">
        <v>4429</v>
      </c>
      <c r="D248" s="68">
        <v>2</v>
      </c>
      <c r="E248" s="184"/>
      <c r="F248" s="184"/>
    </row>
    <row r="249" spans="1:6" ht="18" customHeight="1" x14ac:dyDescent="0.3">
      <c r="A249" s="68">
        <v>5</v>
      </c>
      <c r="B249" s="9" t="s">
        <v>4430</v>
      </c>
      <c r="C249" s="72" t="s">
        <v>4431</v>
      </c>
      <c r="D249" s="68">
        <v>2</v>
      </c>
      <c r="E249" s="184"/>
      <c r="F249" s="184"/>
    </row>
    <row r="250" spans="1:6" ht="18" customHeight="1" x14ac:dyDescent="0.3">
      <c r="A250" s="68">
        <v>6</v>
      </c>
      <c r="B250" s="9" t="s">
        <v>4432</v>
      </c>
      <c r="C250" s="72" t="s">
        <v>4433</v>
      </c>
      <c r="D250" s="68">
        <v>2</v>
      </c>
      <c r="E250" s="184"/>
      <c r="F250" s="184"/>
    </row>
    <row r="251" spans="1:6" ht="12" customHeight="1" x14ac:dyDescent="0.3">
      <c r="A251" s="72" t="s">
        <v>4434</v>
      </c>
      <c r="B251" s="163" t="s">
        <v>4435</v>
      </c>
      <c r="C251" s="11"/>
      <c r="D251" s="11"/>
      <c r="E251" s="11"/>
      <c r="F251" s="11"/>
    </row>
    <row r="252" spans="1:6" ht="30.75" customHeight="1" x14ac:dyDescent="0.3">
      <c r="A252" s="83">
        <v>1</v>
      </c>
      <c r="B252" s="9" t="s">
        <v>4436</v>
      </c>
      <c r="C252" s="82" t="s">
        <v>4437</v>
      </c>
      <c r="D252" s="83">
        <v>2</v>
      </c>
      <c r="E252" s="183"/>
      <c r="F252" s="183"/>
    </row>
    <row r="253" spans="1:6" ht="30.75" customHeight="1" x14ac:dyDescent="0.3">
      <c r="A253" s="83">
        <v>2</v>
      </c>
      <c r="B253" s="9" t="s">
        <v>4438</v>
      </c>
      <c r="C253" s="82" t="s">
        <v>4439</v>
      </c>
      <c r="D253" s="83">
        <v>2</v>
      </c>
      <c r="E253" s="183"/>
      <c r="F253" s="183"/>
    </row>
    <row r="254" spans="1:6" ht="25.5" customHeight="1" x14ac:dyDescent="0.3">
      <c r="A254" s="68">
        <v>3</v>
      </c>
      <c r="B254" s="9" t="s">
        <v>4440</v>
      </c>
      <c r="C254" s="72" t="s">
        <v>4441</v>
      </c>
      <c r="D254" s="68">
        <v>2</v>
      </c>
      <c r="E254" s="184"/>
      <c r="F254" s="184"/>
    </row>
    <row r="255" spans="1:6" ht="30.75" customHeight="1" x14ac:dyDescent="0.3">
      <c r="A255" s="83">
        <v>4</v>
      </c>
      <c r="B255" s="166" t="s">
        <v>4442</v>
      </c>
      <c r="C255" s="82" t="s">
        <v>4443</v>
      </c>
      <c r="D255" s="83">
        <v>2</v>
      </c>
      <c r="E255" s="183"/>
      <c r="F255" s="183"/>
    </row>
    <row r="256" spans="1:6" ht="18" customHeight="1" x14ac:dyDescent="0.3">
      <c r="A256" s="68">
        <v>5</v>
      </c>
      <c r="B256" s="9" t="s">
        <v>4444</v>
      </c>
      <c r="C256" s="72" t="s">
        <v>4445</v>
      </c>
      <c r="D256" s="68">
        <v>2</v>
      </c>
      <c r="E256" s="184"/>
      <c r="F256" s="184"/>
    </row>
    <row r="257" spans="1:6" ht="33.75" customHeight="1" x14ac:dyDescent="0.3">
      <c r="A257" s="68">
        <v>6</v>
      </c>
      <c r="B257" s="9" t="s">
        <v>4446</v>
      </c>
      <c r="C257" s="72" t="s">
        <v>4447</v>
      </c>
      <c r="D257" s="68">
        <v>1</v>
      </c>
      <c r="E257" s="184"/>
      <c r="F257" s="184"/>
    </row>
    <row r="258" spans="1:6" ht="18" customHeight="1" x14ac:dyDescent="0.3">
      <c r="A258" s="68">
        <v>7</v>
      </c>
      <c r="B258" s="9" t="s">
        <v>4448</v>
      </c>
      <c r="C258" s="72" t="s">
        <v>4449</v>
      </c>
      <c r="D258" s="68">
        <v>1</v>
      </c>
      <c r="E258" s="184"/>
      <c r="F258" s="184"/>
    </row>
    <row r="259" spans="1:6" ht="12" customHeight="1" x14ac:dyDescent="0.3">
      <c r="A259" s="182" t="s">
        <v>4450</v>
      </c>
      <c r="B259" s="163" t="s">
        <v>4451</v>
      </c>
      <c r="C259" s="11"/>
      <c r="D259" s="11"/>
      <c r="E259" s="11"/>
      <c r="F259" s="11"/>
    </row>
    <row r="260" spans="1:6" ht="33.75" customHeight="1" x14ac:dyDescent="0.3">
      <c r="A260" s="68">
        <v>1</v>
      </c>
      <c r="B260" s="166" t="s">
        <v>4452</v>
      </c>
      <c r="C260" s="72" t="s">
        <v>4453</v>
      </c>
      <c r="D260" s="68">
        <v>2</v>
      </c>
      <c r="E260" s="184"/>
      <c r="F260" s="184"/>
    </row>
    <row r="261" spans="1:6" ht="12" customHeight="1" x14ac:dyDescent="0.3">
      <c r="A261" s="182" t="s">
        <v>4454</v>
      </c>
      <c r="B261" s="163" t="s">
        <v>4455</v>
      </c>
      <c r="C261" s="11"/>
      <c r="D261" s="11"/>
      <c r="E261" s="11"/>
      <c r="F261" s="11"/>
    </row>
    <row r="262" spans="1:6" ht="30.75" customHeight="1" x14ac:dyDescent="0.3">
      <c r="A262" s="83">
        <v>1</v>
      </c>
      <c r="B262" s="166" t="s">
        <v>4456</v>
      </c>
      <c r="C262" s="82" t="s">
        <v>4457</v>
      </c>
      <c r="D262" s="83">
        <v>4</v>
      </c>
      <c r="E262" s="183"/>
      <c r="F262" s="183"/>
    </row>
    <row r="263" spans="1:6" ht="30.75" customHeight="1" x14ac:dyDescent="0.3">
      <c r="A263" s="83">
        <v>2</v>
      </c>
      <c r="B263" s="166" t="s">
        <v>4458</v>
      </c>
      <c r="C263" s="82" t="s">
        <v>4459</v>
      </c>
      <c r="D263" s="83">
        <v>150</v>
      </c>
      <c r="E263" s="185"/>
      <c r="F263" s="183"/>
    </row>
    <row r="264" spans="1:6" ht="30.75" customHeight="1" x14ac:dyDescent="0.3">
      <c r="A264" s="83">
        <v>3</v>
      </c>
      <c r="B264" s="166" t="s">
        <v>4460</v>
      </c>
      <c r="C264" s="82" t="s">
        <v>4461</v>
      </c>
      <c r="D264" s="83">
        <v>6</v>
      </c>
      <c r="E264" s="183"/>
      <c r="F264" s="183"/>
    </row>
    <row r="265" spans="1:6" ht="30.75" customHeight="1" x14ac:dyDescent="0.3">
      <c r="A265" s="83">
        <v>4</v>
      </c>
      <c r="B265" s="166" t="s">
        <v>4462</v>
      </c>
      <c r="C265" s="82" t="s">
        <v>4463</v>
      </c>
      <c r="D265" s="83">
        <v>2</v>
      </c>
      <c r="E265" s="183"/>
      <c r="F265" s="183"/>
    </row>
    <row r="266" spans="1:6" ht="30.75" customHeight="1" x14ac:dyDescent="0.3">
      <c r="A266" s="83">
        <v>5</v>
      </c>
      <c r="B266" s="166" t="s">
        <v>4464</v>
      </c>
      <c r="C266" s="82" t="s">
        <v>4465</v>
      </c>
      <c r="D266" s="83">
        <v>2</v>
      </c>
      <c r="E266" s="183"/>
      <c r="F266" s="183"/>
    </row>
    <row r="267" spans="1:6" ht="30.75" customHeight="1" x14ac:dyDescent="0.3">
      <c r="A267" s="83">
        <v>6</v>
      </c>
      <c r="B267" s="166" t="s">
        <v>4466</v>
      </c>
      <c r="C267" s="82" t="s">
        <v>4467</v>
      </c>
      <c r="D267" s="83">
        <v>70</v>
      </c>
      <c r="E267" s="185"/>
      <c r="F267" s="183"/>
    </row>
    <row r="268" spans="1:6" ht="30.75" customHeight="1" x14ac:dyDescent="0.3">
      <c r="A268" s="83">
        <v>7</v>
      </c>
      <c r="B268" s="166" t="s">
        <v>4468</v>
      </c>
      <c r="C268" s="82" t="s">
        <v>4469</v>
      </c>
      <c r="D268" s="83">
        <v>70</v>
      </c>
      <c r="E268" s="185"/>
      <c r="F268" s="183"/>
    </row>
    <row r="269" spans="1:6" ht="33.75" customHeight="1" x14ac:dyDescent="0.3">
      <c r="A269" s="68">
        <v>8</v>
      </c>
      <c r="B269" s="166" t="s">
        <v>4470</v>
      </c>
      <c r="C269" s="72" t="s">
        <v>4471</v>
      </c>
      <c r="D269" s="68">
        <v>1</v>
      </c>
      <c r="E269" s="184"/>
      <c r="F269" s="184"/>
    </row>
    <row r="270" spans="1:6" ht="12" customHeight="1" x14ac:dyDescent="0.3">
      <c r="A270" s="11"/>
      <c r="B270" s="162" t="s">
        <v>4472</v>
      </c>
      <c r="C270" s="11"/>
      <c r="D270" s="11"/>
      <c r="E270" s="11"/>
      <c r="F270" s="187"/>
    </row>
    <row r="271" spans="1:6" ht="9.75" customHeight="1" x14ac:dyDescent="0.3">
      <c r="A271" s="11"/>
      <c r="B271" s="162" t="s">
        <v>4473</v>
      </c>
      <c r="C271" s="11"/>
      <c r="D271" s="11"/>
      <c r="E271" s="11"/>
      <c r="F271" s="11"/>
    </row>
    <row r="272" spans="1:6" ht="12" customHeight="1" x14ac:dyDescent="0.3">
      <c r="A272" s="72" t="s">
        <v>4474</v>
      </c>
      <c r="B272" s="163" t="s">
        <v>4475</v>
      </c>
      <c r="C272" s="11"/>
      <c r="D272" s="11"/>
      <c r="E272" s="11"/>
      <c r="F272" s="11"/>
    </row>
    <row r="273" spans="1:6" ht="30.75" customHeight="1" x14ac:dyDescent="0.3">
      <c r="A273" s="83">
        <v>1</v>
      </c>
      <c r="B273" s="166" t="s">
        <v>4476</v>
      </c>
      <c r="C273" s="82" t="s">
        <v>4477</v>
      </c>
      <c r="D273" s="83">
        <v>2</v>
      </c>
      <c r="E273" s="183"/>
      <c r="F273" s="183"/>
    </row>
    <row r="274" spans="1:6" ht="42.75" customHeight="1" x14ac:dyDescent="0.3">
      <c r="A274" s="68">
        <v>2</v>
      </c>
      <c r="B274" s="166" t="s">
        <v>4478</v>
      </c>
      <c r="C274" s="72" t="s">
        <v>4479</v>
      </c>
      <c r="D274" s="68">
        <v>2</v>
      </c>
      <c r="E274" s="184"/>
      <c r="F274" s="184"/>
    </row>
    <row r="275" spans="1:6" ht="9.75" customHeight="1" x14ac:dyDescent="0.3">
      <c r="A275" s="11"/>
      <c r="B275" s="11"/>
      <c r="C275" s="11"/>
      <c r="D275" s="11"/>
      <c r="E275" s="11"/>
      <c r="F275" s="11"/>
    </row>
    <row r="276" spans="1:6" ht="12" customHeight="1" x14ac:dyDescent="0.3">
      <c r="A276" s="182" t="s">
        <v>4480</v>
      </c>
      <c r="B276" s="163" t="s">
        <v>4481</v>
      </c>
      <c r="C276" s="11"/>
      <c r="D276" s="11"/>
      <c r="E276" s="11"/>
      <c r="F276" s="11"/>
    </row>
    <row r="277" spans="1:6" ht="33.75" customHeight="1" x14ac:dyDescent="0.3">
      <c r="A277" s="68">
        <v>1</v>
      </c>
      <c r="B277" s="166" t="s">
        <v>4482</v>
      </c>
      <c r="C277" s="72" t="s">
        <v>4483</v>
      </c>
      <c r="D277" s="68">
        <v>2</v>
      </c>
      <c r="E277" s="184"/>
      <c r="F277" s="184"/>
    </row>
    <row r="278" spans="1:6" ht="17.25" customHeight="1" x14ac:dyDescent="0.3">
      <c r="A278" s="68">
        <v>2</v>
      </c>
      <c r="B278" s="166" t="s">
        <v>4484</v>
      </c>
      <c r="C278" s="72" t="s">
        <v>4485</v>
      </c>
      <c r="D278" s="68">
        <v>2</v>
      </c>
      <c r="E278" s="184"/>
      <c r="F278" s="184"/>
    </row>
    <row r="279" spans="1:6" ht="9.75" customHeight="1" x14ac:dyDescent="0.3">
      <c r="A279" s="11"/>
      <c r="B279" s="11"/>
      <c r="C279" s="11"/>
      <c r="D279" s="11"/>
      <c r="E279" s="11"/>
      <c r="F279" s="11"/>
    </row>
    <row r="280" spans="1:6" ht="12" customHeight="1" x14ac:dyDescent="0.3">
      <c r="A280" s="182" t="s">
        <v>4486</v>
      </c>
      <c r="B280" s="163" t="s">
        <v>4487</v>
      </c>
      <c r="C280" s="11"/>
      <c r="D280" s="11"/>
      <c r="E280" s="11"/>
      <c r="F280" s="11"/>
    </row>
    <row r="281" spans="1:6" ht="68.25" customHeight="1" x14ac:dyDescent="0.3">
      <c r="A281" s="83">
        <v>1</v>
      </c>
      <c r="B281" s="166" t="s">
        <v>4488</v>
      </c>
      <c r="C281" s="82" t="s">
        <v>4489</v>
      </c>
      <c r="D281" s="83">
        <v>2</v>
      </c>
      <c r="E281" s="183"/>
      <c r="F281" s="183"/>
    </row>
    <row r="282" spans="1:6" ht="68.25" customHeight="1" x14ac:dyDescent="0.3">
      <c r="A282" s="83">
        <v>2</v>
      </c>
      <c r="B282" s="166" t="s">
        <v>4490</v>
      </c>
      <c r="C282" s="82" t="s">
        <v>4491</v>
      </c>
      <c r="D282" s="83">
        <v>1</v>
      </c>
      <c r="E282" s="183"/>
      <c r="F282" s="183"/>
    </row>
    <row r="283" spans="1:6" ht="33.75" customHeight="1" x14ac:dyDescent="0.3">
      <c r="A283" s="68">
        <v>3</v>
      </c>
      <c r="B283" s="166" t="s">
        <v>4492</v>
      </c>
      <c r="C283" s="72" t="s">
        <v>4493</v>
      </c>
      <c r="D283" s="68">
        <v>8</v>
      </c>
      <c r="E283" s="184"/>
      <c r="F283" s="184"/>
    </row>
    <row r="284" spans="1:6" ht="20.25" customHeight="1" x14ac:dyDescent="0.3">
      <c r="A284" s="68">
        <v>4</v>
      </c>
      <c r="B284" s="166" t="s">
        <v>4494</v>
      </c>
      <c r="C284" s="72" t="s">
        <v>4495</v>
      </c>
      <c r="D284" s="68">
        <v>2</v>
      </c>
      <c r="E284" s="184"/>
      <c r="F284" s="184"/>
    </row>
    <row r="285" spans="1:6" ht="18" customHeight="1" x14ac:dyDescent="0.3">
      <c r="A285" s="68">
        <v>5</v>
      </c>
      <c r="B285" s="9" t="s">
        <v>4496</v>
      </c>
      <c r="C285" s="72" t="s">
        <v>4497</v>
      </c>
      <c r="D285" s="68">
        <v>2</v>
      </c>
      <c r="E285" s="184"/>
      <c r="F285" s="184"/>
    </row>
    <row r="286" spans="1:6" ht="18" customHeight="1" x14ac:dyDescent="0.3">
      <c r="A286" s="68">
        <v>6</v>
      </c>
      <c r="B286" s="9" t="s">
        <v>4498</v>
      </c>
      <c r="C286" s="72" t="s">
        <v>4499</v>
      </c>
      <c r="D286" s="68">
        <v>2</v>
      </c>
      <c r="E286" s="184"/>
      <c r="F286" s="184"/>
    </row>
    <row r="287" spans="1:6" ht="12" customHeight="1" x14ac:dyDescent="0.3">
      <c r="A287" s="72" t="s">
        <v>4500</v>
      </c>
      <c r="B287" s="163" t="s">
        <v>4501</v>
      </c>
      <c r="C287" s="11"/>
      <c r="D287" s="11"/>
      <c r="E287" s="11"/>
      <c r="F287" s="11"/>
    </row>
    <row r="288" spans="1:6" ht="30.75" customHeight="1" x14ac:dyDescent="0.3">
      <c r="A288" s="83">
        <v>1</v>
      </c>
      <c r="B288" s="9" t="s">
        <v>4502</v>
      </c>
      <c r="C288" s="82" t="s">
        <v>4503</v>
      </c>
      <c r="D288" s="83">
        <v>2</v>
      </c>
      <c r="E288" s="183"/>
      <c r="F288" s="183"/>
    </row>
    <row r="289" spans="1:6" ht="30.75" customHeight="1" x14ac:dyDescent="0.3">
      <c r="A289" s="83">
        <v>2</v>
      </c>
      <c r="B289" s="9" t="s">
        <v>4504</v>
      </c>
      <c r="C289" s="82" t="s">
        <v>4505</v>
      </c>
      <c r="D289" s="83">
        <v>2</v>
      </c>
      <c r="E289" s="183"/>
      <c r="F289" s="183"/>
    </row>
    <row r="290" spans="1:6" ht="25.5" customHeight="1" x14ac:dyDescent="0.3">
      <c r="A290" s="68">
        <v>3</v>
      </c>
      <c r="B290" s="9" t="s">
        <v>4506</v>
      </c>
      <c r="C290" s="72" t="s">
        <v>4507</v>
      </c>
      <c r="D290" s="68">
        <v>2</v>
      </c>
      <c r="E290" s="184"/>
      <c r="F290" s="184"/>
    </row>
    <row r="291" spans="1:6" ht="30.75" customHeight="1" x14ac:dyDescent="0.3">
      <c r="A291" s="83">
        <v>4</v>
      </c>
      <c r="B291" s="166" t="s">
        <v>4508</v>
      </c>
      <c r="C291" s="82" t="s">
        <v>4509</v>
      </c>
      <c r="D291" s="83">
        <v>2</v>
      </c>
      <c r="E291" s="183"/>
      <c r="F291" s="183"/>
    </row>
    <row r="292" spans="1:6" ht="18" customHeight="1" x14ac:dyDescent="0.3">
      <c r="A292" s="68">
        <v>5</v>
      </c>
      <c r="B292" s="9" t="s">
        <v>4510</v>
      </c>
      <c r="C292" s="72" t="s">
        <v>4511</v>
      </c>
      <c r="D292" s="68">
        <v>2</v>
      </c>
      <c r="E292" s="184"/>
      <c r="F292" s="184"/>
    </row>
    <row r="293" spans="1:6" ht="33.75" customHeight="1" x14ac:dyDescent="0.3">
      <c r="A293" s="68">
        <v>6</v>
      </c>
      <c r="B293" s="9" t="s">
        <v>4512</v>
      </c>
      <c r="C293" s="72" t="s">
        <v>4513</v>
      </c>
      <c r="D293" s="68">
        <v>1</v>
      </c>
      <c r="E293" s="184"/>
      <c r="F293" s="184"/>
    </row>
    <row r="294" spans="1:6" ht="18" customHeight="1" x14ac:dyDescent="0.3">
      <c r="A294" s="68">
        <v>7</v>
      </c>
      <c r="B294" s="9" t="s">
        <v>4514</v>
      </c>
      <c r="C294" s="72" t="s">
        <v>4515</v>
      </c>
      <c r="D294" s="68">
        <v>1</v>
      </c>
      <c r="E294" s="184"/>
      <c r="F294" s="184"/>
    </row>
    <row r="295" spans="1:6" ht="12" customHeight="1" x14ac:dyDescent="0.3">
      <c r="A295" s="182" t="s">
        <v>4516</v>
      </c>
      <c r="B295" s="163" t="s">
        <v>4517</v>
      </c>
      <c r="C295" s="11"/>
      <c r="D295" s="11"/>
      <c r="E295" s="11"/>
      <c r="F295" s="11"/>
    </row>
    <row r="296" spans="1:6" ht="33.75" customHeight="1" x14ac:dyDescent="0.3">
      <c r="A296" s="68">
        <v>1</v>
      </c>
      <c r="B296" s="166" t="s">
        <v>4518</v>
      </c>
      <c r="C296" s="72" t="s">
        <v>4519</v>
      </c>
      <c r="D296" s="68">
        <v>2</v>
      </c>
      <c r="E296" s="184"/>
      <c r="F296" s="184"/>
    </row>
    <row r="297" spans="1:6" ht="12" customHeight="1" x14ac:dyDescent="0.3">
      <c r="A297" s="182" t="s">
        <v>4520</v>
      </c>
      <c r="B297" s="163" t="s">
        <v>4521</v>
      </c>
      <c r="C297" s="11"/>
      <c r="D297" s="11"/>
      <c r="E297" s="11"/>
      <c r="F297" s="11"/>
    </row>
    <row r="298" spans="1:6" ht="30.75" customHeight="1" x14ac:dyDescent="0.3">
      <c r="A298" s="83">
        <v>1</v>
      </c>
      <c r="B298" s="166" t="s">
        <v>4522</v>
      </c>
      <c r="C298" s="82" t="s">
        <v>4523</v>
      </c>
      <c r="D298" s="83">
        <v>4</v>
      </c>
      <c r="E298" s="183"/>
      <c r="F298" s="183"/>
    </row>
    <row r="299" spans="1:6" ht="30.75" customHeight="1" x14ac:dyDescent="0.3">
      <c r="A299" s="83">
        <v>2</v>
      </c>
      <c r="B299" s="166" t="s">
        <v>4524</v>
      </c>
      <c r="C299" s="82" t="s">
        <v>4525</v>
      </c>
      <c r="D299" s="83">
        <v>150</v>
      </c>
      <c r="E299" s="185"/>
      <c r="F299" s="183"/>
    </row>
    <row r="300" spans="1:6" ht="30.75" customHeight="1" x14ac:dyDescent="0.3">
      <c r="A300" s="83">
        <v>3</v>
      </c>
      <c r="B300" s="166" t="s">
        <v>4526</v>
      </c>
      <c r="C300" s="82" t="s">
        <v>4527</v>
      </c>
      <c r="D300" s="83">
        <v>6</v>
      </c>
      <c r="E300" s="183"/>
      <c r="F300" s="183"/>
    </row>
    <row r="301" spans="1:6" ht="30.75" customHeight="1" x14ac:dyDescent="0.3">
      <c r="A301" s="83">
        <v>4</v>
      </c>
      <c r="B301" s="166" t="s">
        <v>4528</v>
      </c>
      <c r="C301" s="82" t="s">
        <v>4529</v>
      </c>
      <c r="D301" s="83">
        <v>2</v>
      </c>
      <c r="E301" s="183"/>
      <c r="F301" s="183"/>
    </row>
    <row r="302" spans="1:6" ht="30.75" customHeight="1" x14ac:dyDescent="0.3">
      <c r="A302" s="83">
        <v>5</v>
      </c>
      <c r="B302" s="166" t="s">
        <v>4530</v>
      </c>
      <c r="C302" s="82" t="s">
        <v>4531</v>
      </c>
      <c r="D302" s="83">
        <v>2</v>
      </c>
      <c r="E302" s="183"/>
      <c r="F302" s="183"/>
    </row>
    <row r="303" spans="1:6" ht="30.75" customHeight="1" x14ac:dyDescent="0.3">
      <c r="A303" s="83">
        <v>6</v>
      </c>
      <c r="B303" s="166" t="s">
        <v>4532</v>
      </c>
      <c r="C303" s="82" t="s">
        <v>4533</v>
      </c>
      <c r="D303" s="83">
        <v>70</v>
      </c>
      <c r="E303" s="185"/>
      <c r="F303" s="183"/>
    </row>
    <row r="304" spans="1:6" ht="30.75" customHeight="1" x14ac:dyDescent="0.3">
      <c r="A304" s="83">
        <v>7</v>
      </c>
      <c r="B304" s="166" t="s">
        <v>4534</v>
      </c>
      <c r="C304" s="82" t="s">
        <v>4535</v>
      </c>
      <c r="D304" s="83">
        <v>70</v>
      </c>
      <c r="E304" s="185"/>
      <c r="F304" s="183"/>
    </row>
    <row r="305" spans="1:6" ht="33.75" customHeight="1" x14ac:dyDescent="0.3">
      <c r="A305" s="68">
        <v>8</v>
      </c>
      <c r="B305" s="166" t="s">
        <v>4536</v>
      </c>
      <c r="C305" s="72" t="s">
        <v>4537</v>
      </c>
      <c r="D305" s="68">
        <v>1</v>
      </c>
      <c r="E305" s="184"/>
      <c r="F305" s="184"/>
    </row>
    <row r="306" spans="1:6" ht="12" customHeight="1" x14ac:dyDescent="0.3">
      <c r="A306" s="11"/>
      <c r="B306" s="162" t="s">
        <v>4538</v>
      </c>
      <c r="C306" s="11"/>
      <c r="D306" s="11"/>
      <c r="E306" s="11"/>
      <c r="F306" s="187"/>
    </row>
    <row r="307" spans="1:6" ht="9.75" customHeight="1" x14ac:dyDescent="0.3">
      <c r="A307" s="11"/>
      <c r="B307" s="162" t="s">
        <v>4539</v>
      </c>
      <c r="C307" s="11"/>
      <c r="D307" s="11"/>
      <c r="E307" s="11"/>
      <c r="F307" s="11"/>
    </row>
    <row r="308" spans="1:6" ht="12" customHeight="1" x14ac:dyDescent="0.3">
      <c r="A308" s="182" t="s">
        <v>4540</v>
      </c>
      <c r="B308" s="263" t="s">
        <v>4541</v>
      </c>
      <c r="C308" s="220"/>
      <c r="D308" s="220"/>
      <c r="E308" s="220"/>
      <c r="F308" s="221"/>
    </row>
    <row r="309" spans="1:6" ht="30.75" customHeight="1" x14ac:dyDescent="0.3">
      <c r="A309" s="83">
        <v>1</v>
      </c>
      <c r="B309" s="166" t="s">
        <v>4542</v>
      </c>
      <c r="C309" s="82" t="s">
        <v>4543</v>
      </c>
      <c r="D309" s="83">
        <v>1</v>
      </c>
      <c r="E309" s="183"/>
      <c r="F309" s="183"/>
    </row>
    <row r="310" spans="1:6" ht="42.75" customHeight="1" x14ac:dyDescent="0.3">
      <c r="A310" s="68">
        <v>2</v>
      </c>
      <c r="B310" s="166" t="s">
        <v>4544</v>
      </c>
      <c r="C310" s="72" t="s">
        <v>4545</v>
      </c>
      <c r="D310" s="68">
        <v>1</v>
      </c>
      <c r="E310" s="184"/>
      <c r="F310" s="184"/>
    </row>
    <row r="311" spans="1:6" ht="12" customHeight="1" x14ac:dyDescent="0.3">
      <c r="A311" s="182" t="s">
        <v>4546</v>
      </c>
      <c r="B311" s="163" t="s">
        <v>4547</v>
      </c>
      <c r="C311" s="11"/>
      <c r="D311" s="11"/>
      <c r="E311" s="11"/>
      <c r="F311" s="11"/>
    </row>
    <row r="312" spans="1:6" ht="33.75" customHeight="1" x14ac:dyDescent="0.3">
      <c r="A312" s="68">
        <v>1</v>
      </c>
      <c r="B312" s="166" t="s">
        <v>4548</v>
      </c>
      <c r="C312" s="72" t="s">
        <v>4549</v>
      </c>
      <c r="D312" s="68">
        <v>2</v>
      </c>
      <c r="E312" s="184"/>
      <c r="F312" s="184"/>
    </row>
    <row r="313" spans="1:6" ht="17.25" customHeight="1" x14ac:dyDescent="0.3">
      <c r="A313" s="68">
        <v>2</v>
      </c>
      <c r="B313" s="166" t="s">
        <v>4550</v>
      </c>
      <c r="C313" s="72" t="s">
        <v>4551</v>
      </c>
      <c r="D313" s="68">
        <v>1</v>
      </c>
      <c r="E313" s="184"/>
      <c r="F313" s="184"/>
    </row>
    <row r="314" spans="1:6" ht="12" customHeight="1" x14ac:dyDescent="0.3">
      <c r="A314" s="182" t="s">
        <v>4552</v>
      </c>
      <c r="B314" s="163" t="s">
        <v>4553</v>
      </c>
      <c r="C314" s="11"/>
      <c r="D314" s="11"/>
      <c r="E314" s="11"/>
      <c r="F314" s="11"/>
    </row>
    <row r="315" spans="1:6" ht="68.25" customHeight="1" x14ac:dyDescent="0.3">
      <c r="A315" s="83">
        <v>1</v>
      </c>
      <c r="B315" s="166" t="s">
        <v>4554</v>
      </c>
      <c r="C315" s="82" t="s">
        <v>4555</v>
      </c>
      <c r="D315" s="83">
        <v>1</v>
      </c>
      <c r="E315" s="183"/>
      <c r="F315" s="183"/>
    </row>
    <row r="316" spans="1:6" ht="68.25" customHeight="1" x14ac:dyDescent="0.3">
      <c r="A316" s="83">
        <v>2</v>
      </c>
      <c r="B316" s="166" t="s">
        <v>4556</v>
      </c>
      <c r="C316" s="82" t="s">
        <v>4557</v>
      </c>
      <c r="D316" s="83">
        <v>1</v>
      </c>
      <c r="E316" s="183"/>
      <c r="F316" s="183"/>
    </row>
    <row r="317" spans="1:6" ht="33.75" customHeight="1" x14ac:dyDescent="0.3">
      <c r="A317" s="68">
        <v>3</v>
      </c>
      <c r="B317" s="166" t="s">
        <v>4558</v>
      </c>
      <c r="C317" s="72" t="s">
        <v>4559</v>
      </c>
      <c r="D317" s="68">
        <v>6</v>
      </c>
      <c r="E317" s="184"/>
      <c r="F317" s="184"/>
    </row>
    <row r="318" spans="1:6" ht="20.25" customHeight="1" x14ac:dyDescent="0.3">
      <c r="A318" s="68">
        <v>4</v>
      </c>
      <c r="B318" s="166" t="s">
        <v>4560</v>
      </c>
      <c r="C318" s="72" t="s">
        <v>4561</v>
      </c>
      <c r="D318" s="68">
        <v>1</v>
      </c>
      <c r="E318" s="184"/>
      <c r="F318" s="184"/>
    </row>
    <row r="319" spans="1:6" ht="12" customHeight="1" x14ac:dyDescent="0.3">
      <c r="A319" s="182" t="s">
        <v>4562</v>
      </c>
      <c r="B319" s="263" t="s">
        <v>4563</v>
      </c>
      <c r="C319" s="220"/>
      <c r="D319" s="220"/>
      <c r="E319" s="220"/>
      <c r="F319" s="221"/>
    </row>
    <row r="320" spans="1:6" ht="25.5" customHeight="1" x14ac:dyDescent="0.3">
      <c r="A320" s="68">
        <v>1</v>
      </c>
      <c r="B320" s="166" t="s">
        <v>4564</v>
      </c>
      <c r="C320" s="72" t="s">
        <v>4565</v>
      </c>
      <c r="D320" s="68">
        <v>1</v>
      </c>
      <c r="E320" s="184"/>
      <c r="F320" s="184"/>
    </row>
    <row r="321" spans="1:6" ht="30.75" customHeight="1" x14ac:dyDescent="0.3">
      <c r="A321" s="83">
        <v>2</v>
      </c>
      <c r="B321" s="9" t="s">
        <v>4566</v>
      </c>
      <c r="C321" s="82" t="s">
        <v>4567</v>
      </c>
      <c r="D321" s="83">
        <v>1</v>
      </c>
      <c r="E321" s="183"/>
      <c r="F321" s="183"/>
    </row>
    <row r="322" spans="1:6" ht="30.75" customHeight="1" x14ac:dyDescent="0.3">
      <c r="A322" s="83">
        <v>3</v>
      </c>
      <c r="B322" s="166" t="s">
        <v>4568</v>
      </c>
      <c r="C322" s="82" t="s">
        <v>4569</v>
      </c>
      <c r="D322" s="83">
        <v>1</v>
      </c>
      <c r="E322" s="183"/>
      <c r="F322" s="183"/>
    </row>
    <row r="323" spans="1:6" ht="30.75" customHeight="1" x14ac:dyDescent="0.3">
      <c r="A323" s="83">
        <v>4</v>
      </c>
      <c r="B323" s="9" t="s">
        <v>4570</v>
      </c>
      <c r="C323" s="82" t="s">
        <v>4571</v>
      </c>
      <c r="D323" s="83">
        <v>3</v>
      </c>
      <c r="E323" s="183"/>
      <c r="F323" s="183"/>
    </row>
    <row r="324" spans="1:6" ht="30.75" customHeight="1" x14ac:dyDescent="0.3">
      <c r="A324" s="83">
        <v>5</v>
      </c>
      <c r="B324" s="9" t="s">
        <v>4572</v>
      </c>
      <c r="C324" s="82" t="s">
        <v>4573</v>
      </c>
      <c r="D324" s="83">
        <v>4</v>
      </c>
      <c r="E324" s="183"/>
      <c r="F324" s="183"/>
    </row>
    <row r="325" spans="1:6" ht="33.75" customHeight="1" x14ac:dyDescent="0.3">
      <c r="A325" s="68">
        <v>6</v>
      </c>
      <c r="B325" s="9" t="s">
        <v>4574</v>
      </c>
      <c r="C325" s="72" t="s">
        <v>4575</v>
      </c>
      <c r="D325" s="68">
        <v>1</v>
      </c>
      <c r="E325" s="184"/>
      <c r="F325" s="184"/>
    </row>
    <row r="326" spans="1:6" ht="18" customHeight="1" x14ac:dyDescent="0.3">
      <c r="A326" s="68">
        <v>7</v>
      </c>
      <c r="B326" s="9" t="s">
        <v>4576</v>
      </c>
      <c r="C326" s="72" t="s">
        <v>4577</v>
      </c>
      <c r="D326" s="68">
        <v>1</v>
      </c>
      <c r="E326" s="184"/>
      <c r="F326" s="184"/>
    </row>
    <row r="327" spans="1:6" ht="12" customHeight="1" x14ac:dyDescent="0.3">
      <c r="A327" s="182" t="s">
        <v>4578</v>
      </c>
      <c r="B327" s="163" t="s">
        <v>4579</v>
      </c>
      <c r="C327" s="11"/>
      <c r="D327" s="11"/>
      <c r="E327" s="11"/>
      <c r="F327" s="11"/>
    </row>
    <row r="328" spans="1:6" ht="33.75" customHeight="1" x14ac:dyDescent="0.3">
      <c r="A328" s="68">
        <v>1</v>
      </c>
      <c r="B328" s="166" t="s">
        <v>4580</v>
      </c>
      <c r="C328" s="72" t="s">
        <v>4581</v>
      </c>
      <c r="D328" s="68">
        <v>1</v>
      </c>
      <c r="E328" s="184"/>
      <c r="F328" s="184"/>
    </row>
    <row r="329" spans="1:6" ht="12" customHeight="1" x14ac:dyDescent="0.3">
      <c r="A329" s="182" t="s">
        <v>4582</v>
      </c>
      <c r="B329" s="163" t="s">
        <v>4583</v>
      </c>
      <c r="C329" s="11"/>
      <c r="D329" s="11"/>
      <c r="E329" s="11"/>
      <c r="F329" s="11"/>
    </row>
    <row r="330" spans="1:6" ht="30.75" customHeight="1" x14ac:dyDescent="0.3">
      <c r="A330" s="83">
        <v>1</v>
      </c>
      <c r="B330" s="166" t="s">
        <v>4584</v>
      </c>
      <c r="C330" s="82" t="s">
        <v>4585</v>
      </c>
      <c r="D330" s="83">
        <v>4</v>
      </c>
      <c r="E330" s="183"/>
      <c r="F330" s="183"/>
    </row>
    <row r="331" spans="1:6" ht="30.75" customHeight="1" x14ac:dyDescent="0.3">
      <c r="A331" s="83">
        <v>2</v>
      </c>
      <c r="B331" s="166" t="s">
        <v>4586</v>
      </c>
      <c r="C331" s="82" t="s">
        <v>4587</v>
      </c>
      <c r="D331" s="83">
        <v>150</v>
      </c>
      <c r="E331" s="185"/>
      <c r="F331" s="183"/>
    </row>
    <row r="332" spans="1:6" ht="30.75" customHeight="1" x14ac:dyDescent="0.3">
      <c r="A332" s="83">
        <v>3</v>
      </c>
      <c r="B332" s="166" t="s">
        <v>4588</v>
      </c>
      <c r="C332" s="82" t="s">
        <v>4589</v>
      </c>
      <c r="D332" s="83">
        <v>4</v>
      </c>
      <c r="E332" s="183"/>
      <c r="F332" s="183"/>
    </row>
    <row r="333" spans="1:6" ht="30.75" customHeight="1" x14ac:dyDescent="0.3">
      <c r="A333" s="83">
        <v>4</v>
      </c>
      <c r="B333" s="166" t="s">
        <v>4590</v>
      </c>
      <c r="C333" s="82" t="s">
        <v>4591</v>
      </c>
      <c r="D333" s="83">
        <v>2</v>
      </c>
      <c r="E333" s="183"/>
      <c r="F333" s="183"/>
    </row>
    <row r="334" spans="1:6" ht="30.75" customHeight="1" x14ac:dyDescent="0.3">
      <c r="A334" s="83">
        <v>5</v>
      </c>
      <c r="B334" s="166" t="s">
        <v>4592</v>
      </c>
      <c r="C334" s="82" t="s">
        <v>4593</v>
      </c>
      <c r="D334" s="83">
        <v>2</v>
      </c>
      <c r="E334" s="183"/>
      <c r="F334" s="183"/>
    </row>
    <row r="335" spans="1:6" ht="30.75" customHeight="1" x14ac:dyDescent="0.3">
      <c r="A335" s="83">
        <v>4</v>
      </c>
      <c r="B335" s="166" t="s">
        <v>4594</v>
      </c>
      <c r="C335" s="82" t="s">
        <v>4595</v>
      </c>
      <c r="D335" s="83">
        <v>50</v>
      </c>
      <c r="E335" s="185"/>
      <c r="F335" s="183"/>
    </row>
    <row r="336" spans="1:6" ht="30.75" customHeight="1" x14ac:dyDescent="0.3">
      <c r="A336" s="83">
        <v>5</v>
      </c>
      <c r="B336" s="166" t="s">
        <v>4596</v>
      </c>
      <c r="C336" s="82" t="s">
        <v>4597</v>
      </c>
      <c r="D336" s="83">
        <v>50</v>
      </c>
      <c r="E336" s="185"/>
      <c r="F336" s="183"/>
    </row>
    <row r="337" spans="1:6" ht="33.75" customHeight="1" x14ac:dyDescent="0.3">
      <c r="A337" s="68">
        <v>6</v>
      </c>
      <c r="B337" s="166" t="s">
        <v>4598</v>
      </c>
      <c r="C337" s="72" t="s">
        <v>4599</v>
      </c>
      <c r="D337" s="68">
        <v>1</v>
      </c>
      <c r="E337" s="184"/>
      <c r="F337" s="184"/>
    </row>
    <row r="338" spans="1:6" ht="12" customHeight="1" x14ac:dyDescent="0.3">
      <c r="A338" s="11"/>
      <c r="B338" s="162" t="s">
        <v>4600</v>
      </c>
      <c r="C338" s="229"/>
      <c r="D338" s="220"/>
      <c r="E338" s="221"/>
      <c r="F338" s="187"/>
    </row>
    <row r="339" spans="1:6" ht="9.75" customHeight="1" x14ac:dyDescent="0.3">
      <c r="A339" s="11"/>
      <c r="B339" s="162" t="s">
        <v>4601</v>
      </c>
      <c r="C339" s="11"/>
      <c r="D339" s="11"/>
      <c r="E339" s="11"/>
      <c r="F339" s="11"/>
    </row>
    <row r="340" spans="1:6" ht="12" customHeight="1" x14ac:dyDescent="0.3">
      <c r="A340" s="182" t="s">
        <v>4602</v>
      </c>
      <c r="B340" s="263" t="s">
        <v>4603</v>
      </c>
      <c r="C340" s="220"/>
      <c r="D340" s="220"/>
      <c r="E340" s="220"/>
      <c r="F340" s="221"/>
    </row>
    <row r="341" spans="1:6" ht="30.75" customHeight="1" x14ac:dyDescent="0.3">
      <c r="A341" s="83">
        <v>1</v>
      </c>
      <c r="B341" s="166" t="s">
        <v>4604</v>
      </c>
      <c r="C341" s="82" t="s">
        <v>4605</v>
      </c>
      <c r="D341" s="83">
        <v>1</v>
      </c>
      <c r="E341" s="183"/>
      <c r="F341" s="183"/>
    </row>
    <row r="342" spans="1:6" ht="42.75" customHeight="1" x14ac:dyDescent="0.3">
      <c r="A342" s="68">
        <v>2</v>
      </c>
      <c r="B342" s="166" t="s">
        <v>4606</v>
      </c>
      <c r="C342" s="72" t="s">
        <v>4607</v>
      </c>
      <c r="D342" s="68">
        <v>1</v>
      </c>
      <c r="E342" s="184"/>
      <c r="F342" s="184"/>
    </row>
    <row r="343" spans="1:6" ht="12" customHeight="1" x14ac:dyDescent="0.3">
      <c r="A343" s="182" t="s">
        <v>4608</v>
      </c>
      <c r="B343" s="163" t="s">
        <v>4609</v>
      </c>
      <c r="C343" s="11"/>
      <c r="D343" s="11"/>
      <c r="E343" s="11"/>
      <c r="F343" s="11"/>
    </row>
    <row r="344" spans="1:6" ht="33.75" customHeight="1" x14ac:dyDescent="0.3">
      <c r="A344" s="68">
        <v>1</v>
      </c>
      <c r="B344" s="166" t="s">
        <v>4610</v>
      </c>
      <c r="C344" s="72" t="s">
        <v>4611</v>
      </c>
      <c r="D344" s="68">
        <v>2</v>
      </c>
      <c r="E344" s="184"/>
      <c r="F344" s="184"/>
    </row>
    <row r="345" spans="1:6" ht="17.25" customHeight="1" x14ac:dyDescent="0.3">
      <c r="A345" s="68">
        <v>2</v>
      </c>
      <c r="B345" s="166" t="s">
        <v>4612</v>
      </c>
      <c r="C345" s="72" t="s">
        <v>4613</v>
      </c>
      <c r="D345" s="68">
        <v>1</v>
      </c>
      <c r="E345" s="184"/>
      <c r="F345" s="184"/>
    </row>
    <row r="346" spans="1:6" ht="12" customHeight="1" x14ac:dyDescent="0.3">
      <c r="A346" s="182" t="s">
        <v>4614</v>
      </c>
      <c r="B346" s="163" t="s">
        <v>4615</v>
      </c>
      <c r="C346" s="11"/>
      <c r="D346" s="11"/>
      <c r="E346" s="11"/>
      <c r="F346" s="11"/>
    </row>
    <row r="347" spans="1:6" ht="68.25" customHeight="1" x14ac:dyDescent="0.3">
      <c r="A347" s="83">
        <v>1</v>
      </c>
      <c r="B347" s="166" t="s">
        <v>4616</v>
      </c>
      <c r="C347" s="82" t="s">
        <v>4617</v>
      </c>
      <c r="D347" s="83">
        <v>1</v>
      </c>
      <c r="E347" s="183"/>
      <c r="F347" s="183"/>
    </row>
    <row r="348" spans="1:6" ht="68.25" customHeight="1" x14ac:dyDescent="0.3">
      <c r="A348" s="83">
        <v>2</v>
      </c>
      <c r="B348" s="166" t="s">
        <v>4618</v>
      </c>
      <c r="C348" s="82" t="s">
        <v>4619</v>
      </c>
      <c r="D348" s="83">
        <v>1</v>
      </c>
      <c r="E348" s="183"/>
      <c r="F348" s="183"/>
    </row>
    <row r="349" spans="1:6" ht="33.75" customHeight="1" x14ac:dyDescent="0.3">
      <c r="A349" s="68">
        <v>3</v>
      </c>
      <c r="B349" s="166" t="s">
        <v>4620</v>
      </c>
      <c r="C349" s="72" t="s">
        <v>4621</v>
      </c>
      <c r="D349" s="68">
        <v>6</v>
      </c>
      <c r="E349" s="184"/>
      <c r="F349" s="184"/>
    </row>
    <row r="350" spans="1:6" ht="20.25" customHeight="1" x14ac:dyDescent="0.3">
      <c r="A350" s="68">
        <v>4</v>
      </c>
      <c r="B350" s="166" t="s">
        <v>4622</v>
      </c>
      <c r="C350" s="72" t="s">
        <v>4623</v>
      </c>
      <c r="D350" s="68">
        <v>1</v>
      </c>
      <c r="E350" s="184"/>
      <c r="F350" s="184"/>
    </row>
    <row r="351" spans="1:6" ht="12" customHeight="1" x14ac:dyDescent="0.3">
      <c r="A351" s="182" t="s">
        <v>4624</v>
      </c>
      <c r="B351" s="263" t="s">
        <v>4625</v>
      </c>
      <c r="C351" s="220"/>
      <c r="D351" s="220"/>
      <c r="E351" s="220"/>
      <c r="F351" s="221"/>
    </row>
    <row r="352" spans="1:6" ht="25.5" customHeight="1" x14ac:dyDescent="0.3">
      <c r="A352" s="68">
        <v>1</v>
      </c>
      <c r="B352" s="166" t="s">
        <v>4626</v>
      </c>
      <c r="C352" s="72" t="s">
        <v>4627</v>
      </c>
      <c r="D352" s="68">
        <v>1</v>
      </c>
      <c r="E352" s="184"/>
      <c r="F352" s="184"/>
    </row>
    <row r="353" spans="1:6" ht="30.75" customHeight="1" x14ac:dyDescent="0.3">
      <c r="A353" s="83">
        <v>2</v>
      </c>
      <c r="B353" s="9" t="s">
        <v>4628</v>
      </c>
      <c r="C353" s="82" t="s">
        <v>4629</v>
      </c>
      <c r="D353" s="83">
        <v>1</v>
      </c>
      <c r="E353" s="183"/>
      <c r="F353" s="183"/>
    </row>
    <row r="354" spans="1:6" ht="30.75" customHeight="1" x14ac:dyDescent="0.3">
      <c r="A354" s="83">
        <v>3</v>
      </c>
      <c r="B354" s="166" t="s">
        <v>4630</v>
      </c>
      <c r="C354" s="82" t="s">
        <v>4631</v>
      </c>
      <c r="D354" s="83">
        <v>1</v>
      </c>
      <c r="E354" s="183"/>
      <c r="F354" s="183"/>
    </row>
    <row r="355" spans="1:6" ht="30.75" customHeight="1" x14ac:dyDescent="0.3">
      <c r="A355" s="83">
        <v>4</v>
      </c>
      <c r="B355" s="9" t="s">
        <v>4632</v>
      </c>
      <c r="C355" s="82" t="s">
        <v>4633</v>
      </c>
      <c r="D355" s="83">
        <v>3</v>
      </c>
      <c r="E355" s="183"/>
      <c r="F355" s="183"/>
    </row>
    <row r="356" spans="1:6" ht="30.75" customHeight="1" x14ac:dyDescent="0.3">
      <c r="A356" s="83">
        <v>5</v>
      </c>
      <c r="B356" s="9" t="s">
        <v>4634</v>
      </c>
      <c r="C356" s="82" t="s">
        <v>4635</v>
      </c>
      <c r="D356" s="83">
        <v>4</v>
      </c>
      <c r="E356" s="183"/>
      <c r="F356" s="183"/>
    </row>
    <row r="357" spans="1:6" ht="33.75" customHeight="1" x14ac:dyDescent="0.3">
      <c r="A357" s="68">
        <v>6</v>
      </c>
      <c r="B357" s="9" t="s">
        <v>4636</v>
      </c>
      <c r="C357" s="72" t="s">
        <v>4637</v>
      </c>
      <c r="D357" s="68">
        <v>1</v>
      </c>
      <c r="E357" s="184"/>
      <c r="F357" s="184"/>
    </row>
    <row r="358" spans="1:6" ht="18" customHeight="1" x14ac:dyDescent="0.3">
      <c r="A358" s="68">
        <v>7</v>
      </c>
      <c r="B358" s="9" t="s">
        <v>4638</v>
      </c>
      <c r="C358" s="72" t="s">
        <v>4639</v>
      </c>
      <c r="D358" s="68">
        <v>1</v>
      </c>
      <c r="E358" s="184"/>
      <c r="F358" s="184"/>
    </row>
    <row r="359" spans="1:6" ht="12" customHeight="1" x14ac:dyDescent="0.3">
      <c r="A359" s="182" t="s">
        <v>4640</v>
      </c>
      <c r="B359" s="163" t="s">
        <v>4641</v>
      </c>
      <c r="C359" s="11"/>
      <c r="D359" s="11"/>
      <c r="E359" s="11"/>
      <c r="F359" s="11"/>
    </row>
    <row r="360" spans="1:6" ht="33.75" customHeight="1" x14ac:dyDescent="0.3">
      <c r="A360" s="68">
        <v>1</v>
      </c>
      <c r="B360" s="166" t="s">
        <v>4642</v>
      </c>
      <c r="C360" s="72" t="s">
        <v>4643</v>
      </c>
      <c r="D360" s="68">
        <v>1</v>
      </c>
      <c r="E360" s="184"/>
      <c r="F360" s="184"/>
    </row>
    <row r="361" spans="1:6" ht="12" customHeight="1" x14ac:dyDescent="0.3">
      <c r="A361" s="182" t="s">
        <v>4644</v>
      </c>
      <c r="B361" s="163" t="s">
        <v>4645</v>
      </c>
      <c r="C361" s="11"/>
      <c r="D361" s="11"/>
      <c r="E361" s="11"/>
      <c r="F361" s="11"/>
    </row>
    <row r="362" spans="1:6" ht="30.75" customHeight="1" x14ac:dyDescent="0.3">
      <c r="A362" s="83">
        <v>1</v>
      </c>
      <c r="B362" s="166" t="s">
        <v>4646</v>
      </c>
      <c r="C362" s="82" t="s">
        <v>4647</v>
      </c>
      <c r="D362" s="83">
        <v>4</v>
      </c>
      <c r="E362" s="183"/>
      <c r="F362" s="183"/>
    </row>
    <row r="363" spans="1:6" ht="30.75" customHeight="1" x14ac:dyDescent="0.3">
      <c r="A363" s="83">
        <v>2</v>
      </c>
      <c r="B363" s="166" t="s">
        <v>4648</v>
      </c>
      <c r="C363" s="82" t="s">
        <v>4649</v>
      </c>
      <c r="D363" s="83">
        <v>150</v>
      </c>
      <c r="E363" s="185"/>
      <c r="F363" s="183"/>
    </row>
    <row r="364" spans="1:6" ht="30.75" customHeight="1" x14ac:dyDescent="0.3">
      <c r="A364" s="83">
        <v>3</v>
      </c>
      <c r="B364" s="166" t="s">
        <v>4650</v>
      </c>
      <c r="C364" s="82" t="s">
        <v>4651</v>
      </c>
      <c r="D364" s="83">
        <v>4</v>
      </c>
      <c r="E364" s="183"/>
      <c r="F364" s="183"/>
    </row>
    <row r="365" spans="1:6" ht="30.75" customHeight="1" x14ac:dyDescent="0.3">
      <c r="A365" s="83">
        <v>4</v>
      </c>
      <c r="B365" s="166" t="s">
        <v>4652</v>
      </c>
      <c r="C365" s="82" t="s">
        <v>4653</v>
      </c>
      <c r="D365" s="83">
        <v>2</v>
      </c>
      <c r="E365" s="183"/>
      <c r="F365" s="183"/>
    </row>
    <row r="366" spans="1:6" ht="30.75" customHeight="1" x14ac:dyDescent="0.3">
      <c r="A366" s="83">
        <v>5</v>
      </c>
      <c r="B366" s="166" t="s">
        <v>4654</v>
      </c>
      <c r="C366" s="82" t="s">
        <v>4655</v>
      </c>
      <c r="D366" s="83">
        <v>2</v>
      </c>
      <c r="E366" s="183"/>
      <c r="F366" s="183"/>
    </row>
    <row r="367" spans="1:6" ht="30.75" customHeight="1" x14ac:dyDescent="0.3">
      <c r="A367" s="83">
        <v>4</v>
      </c>
      <c r="B367" s="166" t="s">
        <v>4656</v>
      </c>
      <c r="C367" s="82" t="s">
        <v>4657</v>
      </c>
      <c r="D367" s="83">
        <v>50</v>
      </c>
      <c r="E367" s="185"/>
      <c r="F367" s="183"/>
    </row>
    <row r="368" spans="1:6" ht="30.75" customHeight="1" x14ac:dyDescent="0.3">
      <c r="A368" s="83">
        <v>5</v>
      </c>
      <c r="B368" s="166" t="s">
        <v>4658</v>
      </c>
      <c r="C368" s="82" t="s">
        <v>4659</v>
      </c>
      <c r="D368" s="83">
        <v>50</v>
      </c>
      <c r="E368" s="185"/>
      <c r="F368" s="183"/>
    </row>
    <row r="369" spans="1:6" ht="33.75" customHeight="1" x14ac:dyDescent="0.3">
      <c r="A369" s="68">
        <v>6</v>
      </c>
      <c r="B369" s="166" t="s">
        <v>4660</v>
      </c>
      <c r="C369" s="72" t="s">
        <v>4661</v>
      </c>
      <c r="D369" s="68">
        <v>1</v>
      </c>
      <c r="E369" s="184"/>
      <c r="F369" s="184"/>
    </row>
    <row r="370" spans="1:6" ht="12" customHeight="1" x14ac:dyDescent="0.3">
      <c r="A370" s="11"/>
      <c r="B370" s="162" t="s">
        <v>4662</v>
      </c>
      <c r="C370" s="229"/>
      <c r="D370" s="220"/>
      <c r="E370" s="221"/>
      <c r="F370" s="187"/>
    </row>
    <row r="371" spans="1:6" ht="9.75" customHeight="1" x14ac:dyDescent="0.3">
      <c r="A371" s="11"/>
      <c r="B371" s="162" t="s">
        <v>4663</v>
      </c>
      <c r="C371" s="11"/>
      <c r="D371" s="11"/>
      <c r="E371" s="11"/>
      <c r="F371" s="11"/>
    </row>
    <row r="372" spans="1:6" ht="12" customHeight="1" x14ac:dyDescent="0.3">
      <c r="A372" s="182" t="s">
        <v>4664</v>
      </c>
      <c r="B372" s="163" t="s">
        <v>4665</v>
      </c>
      <c r="C372" s="11"/>
      <c r="D372" s="11"/>
      <c r="E372" s="11"/>
      <c r="F372" s="11"/>
    </row>
    <row r="373" spans="1:6" ht="51" customHeight="1" x14ac:dyDescent="0.3">
      <c r="A373" s="83">
        <v>1</v>
      </c>
      <c r="B373" s="9" t="s">
        <v>4666</v>
      </c>
      <c r="C373" s="82" t="s">
        <v>4667</v>
      </c>
      <c r="D373" s="83">
        <v>4</v>
      </c>
      <c r="E373" s="183"/>
      <c r="F373" s="183"/>
    </row>
    <row r="374" spans="1:6" ht="68.25" customHeight="1" x14ac:dyDescent="0.3">
      <c r="A374" s="83">
        <v>2</v>
      </c>
      <c r="B374" s="166" t="s">
        <v>4668</v>
      </c>
      <c r="C374" s="82" t="s">
        <v>4669</v>
      </c>
      <c r="D374" s="83">
        <v>1</v>
      </c>
      <c r="E374" s="183"/>
      <c r="F374" s="183"/>
    </row>
    <row r="375" spans="1:6" ht="30.75" customHeight="1" x14ac:dyDescent="0.3">
      <c r="A375" s="83">
        <v>3</v>
      </c>
      <c r="B375" s="9" t="s">
        <v>4670</v>
      </c>
      <c r="C375" s="82" t="s">
        <v>4671</v>
      </c>
      <c r="D375" s="83">
        <v>16</v>
      </c>
      <c r="E375" s="183"/>
      <c r="F375" s="183"/>
    </row>
    <row r="376" spans="1:6" ht="25.5" customHeight="1" x14ac:dyDescent="0.3">
      <c r="A376" s="68">
        <v>4</v>
      </c>
      <c r="B376" s="9" t="s">
        <v>4672</v>
      </c>
      <c r="C376" s="72" t="s">
        <v>4673</v>
      </c>
      <c r="D376" s="68">
        <v>16</v>
      </c>
      <c r="E376" s="184"/>
      <c r="F376" s="184"/>
    </row>
    <row r="377" spans="1:6" ht="12" customHeight="1" x14ac:dyDescent="0.3">
      <c r="A377" s="182" t="s">
        <v>4674</v>
      </c>
      <c r="B377" s="163" t="s">
        <v>4675</v>
      </c>
      <c r="C377" s="11"/>
      <c r="D377" s="11"/>
      <c r="E377" s="11"/>
      <c r="F377" s="11"/>
    </row>
    <row r="378" spans="1:6" ht="42.75" customHeight="1" x14ac:dyDescent="0.3">
      <c r="A378" s="68">
        <v>1</v>
      </c>
      <c r="B378" s="9" t="s">
        <v>4676</v>
      </c>
      <c r="C378" s="72" t="s">
        <v>4677</v>
      </c>
      <c r="D378" s="68">
        <v>8</v>
      </c>
      <c r="E378" s="184"/>
      <c r="F378" s="184"/>
    </row>
    <row r="379" spans="1:6" ht="42.75" customHeight="1" x14ac:dyDescent="0.3">
      <c r="A379" s="68">
        <v>2</v>
      </c>
      <c r="B379" s="9" t="s">
        <v>4678</v>
      </c>
      <c r="C379" s="72" t="s">
        <v>4679</v>
      </c>
      <c r="D379" s="68">
        <v>4</v>
      </c>
      <c r="E379" s="184"/>
      <c r="F379" s="184"/>
    </row>
    <row r="380" spans="1:6" ht="51" customHeight="1" x14ac:dyDescent="0.3">
      <c r="A380" s="83">
        <v>3</v>
      </c>
      <c r="B380" s="9" t="s">
        <v>4680</v>
      </c>
      <c r="C380" s="82" t="s">
        <v>4681</v>
      </c>
      <c r="D380" s="83">
        <v>1</v>
      </c>
      <c r="E380" s="183"/>
      <c r="F380" s="183"/>
    </row>
    <row r="381" spans="1:6" ht="17.25" customHeight="1" x14ac:dyDescent="0.3">
      <c r="A381" s="68">
        <v>4</v>
      </c>
      <c r="B381" s="166" t="s">
        <v>4682</v>
      </c>
      <c r="C381" s="72" t="s">
        <v>4683</v>
      </c>
      <c r="D381" s="68">
        <v>4</v>
      </c>
      <c r="E381" s="184"/>
      <c r="F381" s="184"/>
    </row>
    <row r="382" spans="1:6" ht="12" customHeight="1" x14ac:dyDescent="0.3">
      <c r="A382" s="182" t="s">
        <v>4684</v>
      </c>
      <c r="B382" s="163" t="s">
        <v>4685</v>
      </c>
      <c r="C382" s="11"/>
      <c r="D382" s="11"/>
      <c r="E382" s="11"/>
      <c r="F382" s="11"/>
    </row>
    <row r="383" spans="1:6" ht="77.25" customHeight="1" x14ac:dyDescent="0.3">
      <c r="A383" s="83">
        <v>1</v>
      </c>
      <c r="B383" s="166" t="s">
        <v>4686</v>
      </c>
      <c r="C383" s="82" t="s">
        <v>4687</v>
      </c>
      <c r="D383" s="83">
        <v>4</v>
      </c>
      <c r="E383" s="183"/>
      <c r="F383" s="183"/>
    </row>
    <row r="384" spans="1:6" ht="42.75" customHeight="1" x14ac:dyDescent="0.3">
      <c r="A384" s="68">
        <v>2</v>
      </c>
      <c r="B384" s="9" t="s">
        <v>4688</v>
      </c>
      <c r="C384" s="72" t="s">
        <v>4689</v>
      </c>
      <c r="D384" s="68">
        <v>4</v>
      </c>
      <c r="E384" s="184"/>
      <c r="F384" s="184"/>
    </row>
    <row r="385" spans="1:6" ht="60" customHeight="1" x14ac:dyDescent="0.3">
      <c r="A385" s="83">
        <v>3</v>
      </c>
      <c r="B385" s="9" t="s">
        <v>4690</v>
      </c>
      <c r="C385" s="82" t="s">
        <v>4691</v>
      </c>
      <c r="D385" s="83">
        <v>4</v>
      </c>
      <c r="E385" s="183"/>
      <c r="F385" s="183"/>
    </row>
    <row r="386" spans="1:6" ht="12" customHeight="1" x14ac:dyDescent="0.3">
      <c r="A386" s="68">
        <v>4</v>
      </c>
      <c r="B386" s="166" t="s">
        <v>4692</v>
      </c>
      <c r="C386" s="72" t="s">
        <v>4693</v>
      </c>
      <c r="D386" s="68">
        <v>4</v>
      </c>
      <c r="E386" s="184"/>
      <c r="F386" s="184"/>
    </row>
    <row r="387" spans="1:6" ht="25.5" customHeight="1" x14ac:dyDescent="0.3">
      <c r="A387" s="68">
        <v>5</v>
      </c>
      <c r="B387" s="9" t="s">
        <v>4694</v>
      </c>
      <c r="C387" s="72" t="s">
        <v>4695</v>
      </c>
      <c r="D387" s="68">
        <v>8</v>
      </c>
      <c r="E387" s="184"/>
      <c r="F387" s="184"/>
    </row>
    <row r="388" spans="1:6" ht="18" customHeight="1" x14ac:dyDescent="0.3">
      <c r="A388" s="68">
        <v>6</v>
      </c>
      <c r="B388" s="9" t="s">
        <v>4696</v>
      </c>
      <c r="C388" s="72" t="s">
        <v>4697</v>
      </c>
      <c r="D388" s="68">
        <v>4</v>
      </c>
      <c r="E388" s="184"/>
      <c r="F388" s="184"/>
    </row>
    <row r="389" spans="1:6" ht="18" customHeight="1" x14ac:dyDescent="0.3">
      <c r="A389" s="68">
        <v>7</v>
      </c>
      <c r="B389" s="9" t="s">
        <v>4698</v>
      </c>
      <c r="C389" s="72" t="s">
        <v>4699</v>
      </c>
      <c r="D389" s="68">
        <v>4</v>
      </c>
      <c r="E389" s="184"/>
      <c r="F389" s="184"/>
    </row>
    <row r="390" spans="1:6" ht="25.5" customHeight="1" x14ac:dyDescent="0.3">
      <c r="A390" s="68">
        <v>8</v>
      </c>
      <c r="B390" s="9" t="s">
        <v>4700</v>
      </c>
      <c r="C390" s="72" t="s">
        <v>4701</v>
      </c>
      <c r="D390" s="68">
        <v>32</v>
      </c>
      <c r="E390" s="184"/>
      <c r="F390" s="184"/>
    </row>
    <row r="391" spans="1:6" ht="20.25" customHeight="1" x14ac:dyDescent="0.3">
      <c r="A391" s="68">
        <v>9</v>
      </c>
      <c r="B391" s="166" t="s">
        <v>4702</v>
      </c>
      <c r="C391" s="72" t="s">
        <v>4703</v>
      </c>
      <c r="D391" s="68">
        <v>8</v>
      </c>
      <c r="E391" s="184"/>
      <c r="F391" s="184"/>
    </row>
    <row r="392" spans="1:6" ht="15.75" customHeight="1" x14ac:dyDescent="0.3">
      <c r="A392" s="65" t="s">
        <v>4704</v>
      </c>
      <c r="B392" s="65" t="s">
        <v>4705</v>
      </c>
      <c r="C392" s="65" t="s">
        <v>4706</v>
      </c>
      <c r="D392" s="65" t="s">
        <v>4707</v>
      </c>
      <c r="E392" s="65"/>
      <c r="F392" s="65"/>
    </row>
    <row r="393" spans="1:6" ht="33.75" customHeight="1" x14ac:dyDescent="0.3">
      <c r="A393" s="68">
        <v>10</v>
      </c>
      <c r="B393" s="9" t="s">
        <v>4708</v>
      </c>
      <c r="C393" s="72" t="s">
        <v>4709</v>
      </c>
      <c r="D393" s="68">
        <v>8</v>
      </c>
      <c r="E393" s="184"/>
      <c r="F393" s="184"/>
    </row>
    <row r="394" spans="1:6" ht="25.5" customHeight="1" x14ac:dyDescent="0.3">
      <c r="A394" s="68">
        <v>11</v>
      </c>
      <c r="B394" s="166" t="s">
        <v>4710</v>
      </c>
      <c r="C394" s="72" t="s">
        <v>4711</v>
      </c>
      <c r="D394" s="68">
        <v>1</v>
      </c>
      <c r="E394" s="184"/>
      <c r="F394" s="184"/>
    </row>
    <row r="395" spans="1:6" ht="9.75" customHeight="1" x14ac:dyDescent="0.3">
      <c r="A395" s="11"/>
      <c r="B395" s="11"/>
      <c r="C395" s="11"/>
      <c r="D395" s="11"/>
      <c r="E395" s="11"/>
      <c r="F395" s="11"/>
    </row>
    <row r="396" spans="1:6" ht="12" customHeight="1" x14ac:dyDescent="0.3">
      <c r="A396" s="182" t="s">
        <v>4712</v>
      </c>
      <c r="B396" s="163" t="s">
        <v>4713</v>
      </c>
      <c r="C396" s="11"/>
      <c r="D396" s="11"/>
      <c r="E396" s="11"/>
      <c r="F396" s="11"/>
    </row>
    <row r="397" spans="1:6" ht="25.5" customHeight="1" x14ac:dyDescent="0.3">
      <c r="A397" s="68">
        <v>1</v>
      </c>
      <c r="B397" s="166" t="s">
        <v>4714</v>
      </c>
      <c r="C397" s="72" t="s">
        <v>4715</v>
      </c>
      <c r="D397" s="68">
        <v>4</v>
      </c>
      <c r="E397" s="184"/>
      <c r="F397" s="184"/>
    </row>
    <row r="398" spans="1:6" ht="18" customHeight="1" x14ac:dyDescent="0.3">
      <c r="A398" s="68">
        <v>2</v>
      </c>
      <c r="B398" s="9" t="s">
        <v>4716</v>
      </c>
      <c r="C398" s="72" t="s">
        <v>4717</v>
      </c>
      <c r="D398" s="68">
        <v>4</v>
      </c>
      <c r="E398" s="184"/>
      <c r="F398" s="184"/>
    </row>
    <row r="399" spans="1:6" ht="33.75" customHeight="1" x14ac:dyDescent="0.3">
      <c r="A399" s="68">
        <v>3</v>
      </c>
      <c r="B399" s="9" t="s">
        <v>4718</v>
      </c>
      <c r="C399" s="72" t="s">
        <v>4719</v>
      </c>
      <c r="D399" s="68">
        <v>1</v>
      </c>
      <c r="E399" s="184"/>
      <c r="F399" s="184"/>
    </row>
    <row r="400" spans="1:6" ht="30.75" customHeight="1" x14ac:dyDescent="0.3">
      <c r="A400" s="83">
        <v>4</v>
      </c>
      <c r="B400" s="9" t="s">
        <v>4720</v>
      </c>
      <c r="C400" s="82" t="s">
        <v>4721</v>
      </c>
      <c r="D400" s="83">
        <v>8</v>
      </c>
      <c r="E400" s="183"/>
      <c r="F400" s="183"/>
    </row>
    <row r="401" spans="1:6" ht="30.75" customHeight="1" x14ac:dyDescent="0.3">
      <c r="A401" s="83">
        <v>5</v>
      </c>
      <c r="B401" s="9" t="s">
        <v>4722</v>
      </c>
      <c r="C401" s="82" t="s">
        <v>4723</v>
      </c>
      <c r="D401" s="83">
        <v>25</v>
      </c>
      <c r="E401" s="183"/>
      <c r="F401" s="183"/>
    </row>
    <row r="402" spans="1:6" ht="30.75" customHeight="1" x14ac:dyDescent="0.3">
      <c r="A402" s="83">
        <v>6</v>
      </c>
      <c r="B402" s="9" t="s">
        <v>4724</v>
      </c>
      <c r="C402" s="82" t="s">
        <v>4725</v>
      </c>
      <c r="D402" s="83">
        <v>30</v>
      </c>
      <c r="E402" s="183"/>
      <c r="F402" s="183"/>
    </row>
    <row r="403" spans="1:6" ht="30.75" customHeight="1" x14ac:dyDescent="0.3">
      <c r="A403" s="83">
        <v>7</v>
      </c>
      <c r="B403" s="166" t="s">
        <v>4726</v>
      </c>
      <c r="C403" s="82" t="s">
        <v>4727</v>
      </c>
      <c r="D403" s="83">
        <v>4</v>
      </c>
      <c r="E403" s="183"/>
      <c r="F403" s="183"/>
    </row>
    <row r="404" spans="1:6" ht="77.25" customHeight="1" x14ac:dyDescent="0.3">
      <c r="A404" s="83">
        <v>8</v>
      </c>
      <c r="B404" s="9" t="s">
        <v>4728</v>
      </c>
      <c r="C404" s="82" t="s">
        <v>4729</v>
      </c>
      <c r="D404" s="83">
        <v>3</v>
      </c>
      <c r="E404" s="183"/>
      <c r="F404" s="183"/>
    </row>
    <row r="405" spans="1:6" ht="30.75" customHeight="1" x14ac:dyDescent="0.3">
      <c r="A405" s="83">
        <v>9</v>
      </c>
      <c r="B405" s="166" t="s">
        <v>4730</v>
      </c>
      <c r="C405" s="82" t="s">
        <v>4731</v>
      </c>
      <c r="D405" s="83">
        <v>6</v>
      </c>
      <c r="E405" s="183"/>
      <c r="F405" s="183"/>
    </row>
    <row r="406" spans="1:6" ht="12" customHeight="1" x14ac:dyDescent="0.3">
      <c r="A406" s="182" t="s">
        <v>4732</v>
      </c>
      <c r="B406" s="163" t="s">
        <v>4733</v>
      </c>
      <c r="C406" s="11"/>
      <c r="D406" s="11"/>
      <c r="E406" s="11"/>
      <c r="F406" s="11"/>
    </row>
    <row r="407" spans="1:6" ht="30.75" customHeight="1" x14ac:dyDescent="0.3">
      <c r="A407" s="83">
        <v>1</v>
      </c>
      <c r="B407" s="166" t="s">
        <v>4734</v>
      </c>
      <c r="C407" s="82" t="s">
        <v>4735</v>
      </c>
      <c r="D407" s="83">
        <v>15</v>
      </c>
      <c r="E407" s="183"/>
      <c r="F407" s="183"/>
    </row>
    <row r="408" spans="1:6" ht="30.75" customHeight="1" x14ac:dyDescent="0.3">
      <c r="A408" s="83">
        <v>2</v>
      </c>
      <c r="B408" s="166" t="s">
        <v>4736</v>
      </c>
      <c r="C408" s="82" t="s">
        <v>4737</v>
      </c>
      <c r="D408" s="83">
        <v>1000</v>
      </c>
      <c r="E408" s="185"/>
      <c r="F408" s="183"/>
    </row>
    <row r="409" spans="1:6" ht="30.75" customHeight="1" x14ac:dyDescent="0.3">
      <c r="A409" s="83">
        <v>3</v>
      </c>
      <c r="B409" s="166" t="s">
        <v>4738</v>
      </c>
      <c r="C409" s="82" t="s">
        <v>4739</v>
      </c>
      <c r="D409" s="83">
        <v>35</v>
      </c>
      <c r="E409" s="183"/>
      <c r="F409" s="183"/>
    </row>
    <row r="410" spans="1:6" ht="30.75" customHeight="1" x14ac:dyDescent="0.3">
      <c r="A410" s="83">
        <v>4</v>
      </c>
      <c r="B410" s="166" t="s">
        <v>4740</v>
      </c>
      <c r="C410" s="82" t="s">
        <v>4741</v>
      </c>
      <c r="D410" s="83">
        <v>20</v>
      </c>
      <c r="E410" s="183"/>
      <c r="F410" s="183"/>
    </row>
    <row r="411" spans="1:6" ht="30.75" customHeight="1" x14ac:dyDescent="0.3">
      <c r="A411" s="83">
        <v>5</v>
      </c>
      <c r="B411" s="166" t="s">
        <v>4742</v>
      </c>
      <c r="C411" s="82" t="s">
        <v>4743</v>
      </c>
      <c r="D411" s="83">
        <v>20</v>
      </c>
      <c r="E411" s="183"/>
      <c r="F411" s="183"/>
    </row>
    <row r="412" spans="1:6" ht="30.75" customHeight="1" x14ac:dyDescent="0.3">
      <c r="A412" s="83">
        <v>6</v>
      </c>
      <c r="B412" s="166" t="s">
        <v>4744</v>
      </c>
      <c r="C412" s="82" t="s">
        <v>4745</v>
      </c>
      <c r="D412" s="83">
        <v>500</v>
      </c>
      <c r="E412" s="185"/>
      <c r="F412" s="183"/>
    </row>
    <row r="413" spans="1:6" ht="30.75" customHeight="1" x14ac:dyDescent="0.3">
      <c r="A413" s="83">
        <v>7</v>
      </c>
      <c r="B413" s="166" t="s">
        <v>4746</v>
      </c>
      <c r="C413" s="82" t="s">
        <v>4747</v>
      </c>
      <c r="D413" s="83">
        <v>800</v>
      </c>
      <c r="E413" s="185"/>
      <c r="F413" s="183"/>
    </row>
    <row r="414" spans="1:6" ht="30.75" customHeight="1" x14ac:dyDescent="0.3">
      <c r="A414" s="83">
        <v>8</v>
      </c>
      <c r="B414" s="166" t="s">
        <v>4748</v>
      </c>
      <c r="C414" s="82" t="s">
        <v>4749</v>
      </c>
      <c r="D414" s="83">
        <v>4</v>
      </c>
      <c r="E414" s="183"/>
      <c r="F414" s="183"/>
    </row>
    <row r="415" spans="1:6" ht="30.75" customHeight="1" x14ac:dyDescent="0.3">
      <c r="A415" s="83">
        <v>9</v>
      </c>
      <c r="B415" s="166" t="s">
        <v>4750</v>
      </c>
      <c r="C415" s="82" t="s">
        <v>4751</v>
      </c>
      <c r="D415" s="83">
        <v>24</v>
      </c>
      <c r="E415" s="183"/>
      <c r="F415" s="183"/>
    </row>
    <row r="416" spans="1:6" ht="33.75" customHeight="1" x14ac:dyDescent="0.3">
      <c r="A416" s="68">
        <v>10</v>
      </c>
      <c r="B416" s="166" t="s">
        <v>4752</v>
      </c>
      <c r="C416" s="72" t="s">
        <v>4753</v>
      </c>
      <c r="D416" s="68">
        <v>2</v>
      </c>
      <c r="E416" s="184"/>
      <c r="F416" s="184"/>
    </row>
    <row r="417" spans="1:6" ht="12" customHeight="1" x14ac:dyDescent="0.3">
      <c r="A417" s="11"/>
      <c r="B417" s="162" t="s">
        <v>4754</v>
      </c>
      <c r="C417" s="11"/>
      <c r="D417" s="11"/>
      <c r="E417" s="11"/>
      <c r="F417" s="187"/>
    </row>
    <row r="418" spans="1:6" ht="9.75" customHeight="1" x14ac:dyDescent="0.3">
      <c r="A418" s="11"/>
      <c r="B418" s="162" t="s">
        <v>4755</v>
      </c>
      <c r="C418" s="11"/>
      <c r="D418" s="11"/>
      <c r="E418" s="11"/>
      <c r="F418" s="11"/>
    </row>
    <row r="419" spans="1:6" ht="12" customHeight="1" x14ac:dyDescent="0.3">
      <c r="A419" s="182" t="s">
        <v>4756</v>
      </c>
      <c r="B419" s="163" t="s">
        <v>4757</v>
      </c>
      <c r="C419" s="11"/>
      <c r="D419" s="11"/>
      <c r="E419" s="11"/>
      <c r="F419" s="11"/>
    </row>
    <row r="420" spans="1:6" ht="51" customHeight="1" x14ac:dyDescent="0.3">
      <c r="A420" s="83">
        <v>1</v>
      </c>
      <c r="B420" s="166" t="s">
        <v>4758</v>
      </c>
      <c r="C420" s="82" t="s">
        <v>4759</v>
      </c>
      <c r="D420" s="83">
        <v>1</v>
      </c>
      <c r="E420" s="183"/>
      <c r="F420" s="183"/>
    </row>
    <row r="421" spans="1:6" ht="30.75" customHeight="1" x14ac:dyDescent="0.3">
      <c r="A421" s="83">
        <v>2</v>
      </c>
      <c r="B421" s="166" t="s">
        <v>4760</v>
      </c>
      <c r="C421" s="82" t="s">
        <v>4761</v>
      </c>
      <c r="D421" s="83">
        <v>1</v>
      </c>
      <c r="E421" s="183"/>
      <c r="F421" s="183"/>
    </row>
    <row r="422" spans="1:6" ht="12" customHeight="1" x14ac:dyDescent="0.3">
      <c r="A422" s="182" t="s">
        <v>4762</v>
      </c>
      <c r="B422" s="163" t="s">
        <v>4763</v>
      </c>
      <c r="C422" s="11"/>
      <c r="D422" s="11"/>
      <c r="E422" s="11"/>
      <c r="F422" s="11"/>
    </row>
    <row r="423" spans="1:6" ht="33.75" customHeight="1" x14ac:dyDescent="0.3">
      <c r="A423" s="68">
        <v>1</v>
      </c>
      <c r="B423" s="166" t="s">
        <v>4764</v>
      </c>
      <c r="C423" s="72" t="s">
        <v>4765</v>
      </c>
      <c r="D423" s="68">
        <v>6</v>
      </c>
      <c r="E423" s="184"/>
      <c r="F423" s="184"/>
    </row>
    <row r="424" spans="1:6" ht="20.25" customHeight="1" x14ac:dyDescent="0.3">
      <c r="A424" s="68">
        <v>2</v>
      </c>
      <c r="B424" s="166" t="s">
        <v>4766</v>
      </c>
      <c r="C424" s="72" t="s">
        <v>4767</v>
      </c>
      <c r="D424" s="68">
        <v>1</v>
      </c>
      <c r="E424" s="184"/>
      <c r="F424" s="184"/>
    </row>
    <row r="425" spans="1:6" ht="12" customHeight="1" x14ac:dyDescent="0.3">
      <c r="A425" s="182" t="s">
        <v>4768</v>
      </c>
      <c r="B425" s="163" t="s">
        <v>4769</v>
      </c>
      <c r="C425" s="11"/>
      <c r="D425" s="11"/>
      <c r="E425" s="11"/>
      <c r="F425" s="11"/>
    </row>
    <row r="426" spans="1:6" ht="25.5" customHeight="1" x14ac:dyDescent="0.3">
      <c r="A426" s="68">
        <v>1</v>
      </c>
      <c r="B426" s="166" t="s">
        <v>4770</v>
      </c>
      <c r="C426" s="72" t="s">
        <v>4771</v>
      </c>
      <c r="D426" s="68">
        <v>1</v>
      </c>
      <c r="E426" s="184"/>
      <c r="F426" s="184"/>
    </row>
    <row r="427" spans="1:6" ht="12" customHeight="1" x14ac:dyDescent="0.3">
      <c r="A427" s="262" t="s">
        <v>4772</v>
      </c>
      <c r="B427" s="215"/>
      <c r="C427" s="215"/>
      <c r="D427" s="215"/>
      <c r="E427" s="215"/>
      <c r="F427" s="215"/>
    </row>
    <row r="428" spans="1:6" ht="15.75" customHeight="1" x14ac:dyDescent="0.3">
      <c r="A428" s="65" t="s">
        <v>4773</v>
      </c>
      <c r="B428" s="65" t="s">
        <v>4774</v>
      </c>
      <c r="C428" s="65" t="s">
        <v>4775</v>
      </c>
      <c r="D428" s="65" t="s">
        <v>4776</v>
      </c>
      <c r="E428" s="65" t="s">
        <v>4777</v>
      </c>
      <c r="F428" s="65" t="s">
        <v>4778</v>
      </c>
    </row>
    <row r="429" spans="1:6" ht="18" customHeight="1" x14ac:dyDescent="0.3">
      <c r="A429" s="68">
        <v>2</v>
      </c>
      <c r="B429" s="9" t="s">
        <v>4779</v>
      </c>
      <c r="C429" s="72" t="s">
        <v>4780</v>
      </c>
      <c r="D429" s="68">
        <v>1</v>
      </c>
      <c r="E429" s="184"/>
      <c r="F429" s="184"/>
    </row>
    <row r="430" spans="1:6" ht="33.75" customHeight="1" x14ac:dyDescent="0.3">
      <c r="A430" s="68">
        <v>3</v>
      </c>
      <c r="B430" s="9" t="s">
        <v>4781</v>
      </c>
      <c r="C430" s="72" t="s">
        <v>4782</v>
      </c>
      <c r="D430" s="68">
        <v>1</v>
      </c>
      <c r="E430" s="184"/>
      <c r="F430" s="184"/>
    </row>
    <row r="431" spans="1:6" ht="30.75" customHeight="1" x14ac:dyDescent="0.3">
      <c r="A431" s="83">
        <v>4</v>
      </c>
      <c r="B431" s="9" t="s">
        <v>4783</v>
      </c>
      <c r="C431" s="82" t="s">
        <v>4784</v>
      </c>
      <c r="D431" s="83">
        <v>1</v>
      </c>
      <c r="E431" s="183"/>
      <c r="F431" s="183"/>
    </row>
    <row r="432" spans="1:6" ht="30.75" customHeight="1" x14ac:dyDescent="0.3">
      <c r="A432" s="83">
        <v>5</v>
      </c>
      <c r="B432" s="166" t="s">
        <v>4785</v>
      </c>
      <c r="C432" s="82" t="s">
        <v>4786</v>
      </c>
      <c r="D432" s="83">
        <v>1</v>
      </c>
      <c r="E432" s="183"/>
      <c r="F432" s="183"/>
    </row>
    <row r="433" spans="1:6" ht="30.75" customHeight="1" x14ac:dyDescent="0.3">
      <c r="A433" s="83">
        <v>6</v>
      </c>
      <c r="B433" s="9" t="s">
        <v>4787</v>
      </c>
      <c r="C433" s="82" t="s">
        <v>4788</v>
      </c>
      <c r="D433" s="83">
        <v>2</v>
      </c>
      <c r="E433" s="183"/>
      <c r="F433" s="183"/>
    </row>
    <row r="434" spans="1:6" ht="30.75" customHeight="1" x14ac:dyDescent="0.3">
      <c r="A434" s="83">
        <v>7</v>
      </c>
      <c r="B434" s="9" t="s">
        <v>4789</v>
      </c>
      <c r="C434" s="82" t="s">
        <v>4790</v>
      </c>
      <c r="D434" s="83">
        <v>3</v>
      </c>
      <c r="E434" s="183"/>
      <c r="F434" s="183"/>
    </row>
    <row r="435" spans="1:6" ht="12" customHeight="1" x14ac:dyDescent="0.3">
      <c r="A435" s="72" t="s">
        <v>4791</v>
      </c>
      <c r="B435" s="163" t="s">
        <v>4792</v>
      </c>
      <c r="C435" s="11"/>
      <c r="D435" s="11"/>
      <c r="E435" s="11"/>
      <c r="F435" s="11"/>
    </row>
    <row r="436" spans="1:6" ht="33.75" customHeight="1" x14ac:dyDescent="0.3">
      <c r="A436" s="68">
        <v>1</v>
      </c>
      <c r="B436" s="166" t="s">
        <v>4793</v>
      </c>
      <c r="C436" s="72" t="s">
        <v>4794</v>
      </c>
      <c r="D436" s="68">
        <v>1</v>
      </c>
      <c r="E436" s="184"/>
      <c r="F436" s="184"/>
    </row>
    <row r="437" spans="1:6" ht="12" customHeight="1" x14ac:dyDescent="0.3">
      <c r="A437" s="72" t="s">
        <v>4795</v>
      </c>
      <c r="B437" s="163" t="s">
        <v>4796</v>
      </c>
      <c r="C437" s="11"/>
      <c r="D437" s="11"/>
      <c r="E437" s="11"/>
      <c r="F437" s="11"/>
    </row>
    <row r="438" spans="1:6" ht="30.75" customHeight="1" x14ac:dyDescent="0.3">
      <c r="A438" s="83">
        <v>1</v>
      </c>
      <c r="B438" s="166" t="s">
        <v>4797</v>
      </c>
      <c r="C438" s="82" t="s">
        <v>4798</v>
      </c>
      <c r="D438" s="83">
        <v>4</v>
      </c>
      <c r="E438" s="183"/>
      <c r="F438" s="183"/>
    </row>
    <row r="439" spans="1:6" ht="30.75" customHeight="1" x14ac:dyDescent="0.3">
      <c r="A439" s="83">
        <v>2</v>
      </c>
      <c r="B439" s="166" t="s">
        <v>4799</v>
      </c>
      <c r="C439" s="82" t="s">
        <v>4800</v>
      </c>
      <c r="D439" s="83">
        <v>150</v>
      </c>
      <c r="E439" s="185"/>
      <c r="F439" s="183"/>
    </row>
    <row r="440" spans="1:6" ht="30.75" customHeight="1" x14ac:dyDescent="0.3">
      <c r="A440" s="83">
        <v>3</v>
      </c>
      <c r="B440" s="166" t="s">
        <v>4801</v>
      </c>
      <c r="C440" s="82" t="s">
        <v>4802</v>
      </c>
      <c r="D440" s="83">
        <v>15</v>
      </c>
      <c r="E440" s="183"/>
      <c r="F440" s="183"/>
    </row>
    <row r="441" spans="1:6" ht="30.75" customHeight="1" x14ac:dyDescent="0.3">
      <c r="A441" s="83">
        <v>4</v>
      </c>
      <c r="B441" s="166" t="s">
        <v>4803</v>
      </c>
      <c r="C441" s="82" t="s">
        <v>4804</v>
      </c>
      <c r="D441" s="83">
        <v>2</v>
      </c>
      <c r="E441" s="183"/>
      <c r="F441" s="183"/>
    </row>
    <row r="442" spans="1:6" ht="30.75" customHeight="1" x14ac:dyDescent="0.3">
      <c r="A442" s="83">
        <v>5</v>
      </c>
      <c r="B442" s="166" t="s">
        <v>4805</v>
      </c>
      <c r="C442" s="82" t="s">
        <v>4806</v>
      </c>
      <c r="D442" s="83">
        <v>2</v>
      </c>
      <c r="E442" s="183"/>
      <c r="F442" s="183"/>
    </row>
    <row r="443" spans="1:6" ht="30.75" customHeight="1" x14ac:dyDescent="0.3">
      <c r="A443" s="83">
        <v>6</v>
      </c>
      <c r="B443" s="166" t="s">
        <v>4807</v>
      </c>
      <c r="C443" s="82" t="s">
        <v>4808</v>
      </c>
      <c r="D443" s="83">
        <v>100</v>
      </c>
      <c r="E443" s="185"/>
      <c r="F443" s="183"/>
    </row>
    <row r="444" spans="1:6" ht="30.75" customHeight="1" x14ac:dyDescent="0.3">
      <c r="A444" s="83">
        <v>7</v>
      </c>
      <c r="B444" s="166" t="s">
        <v>4809</v>
      </c>
      <c r="C444" s="82" t="s">
        <v>4810</v>
      </c>
      <c r="D444" s="83">
        <v>150</v>
      </c>
      <c r="E444" s="185"/>
      <c r="F444" s="183"/>
    </row>
    <row r="445" spans="1:6" ht="12" customHeight="1" x14ac:dyDescent="0.3">
      <c r="A445" s="11"/>
      <c r="B445" s="162" t="s">
        <v>4811</v>
      </c>
      <c r="C445" s="11"/>
      <c r="D445" s="11"/>
      <c r="E445" s="11"/>
      <c r="F445" s="187"/>
    </row>
    <row r="446" spans="1:6" ht="30.75" customHeight="1" x14ac:dyDescent="0.3">
      <c r="A446" s="83">
        <v>1</v>
      </c>
      <c r="B446" s="9" t="s">
        <v>4812</v>
      </c>
      <c r="C446" s="82" t="s">
        <v>4813</v>
      </c>
      <c r="D446" s="83">
        <v>1</v>
      </c>
      <c r="E446" s="183"/>
      <c r="F446" s="183"/>
    </row>
    <row r="447" spans="1:6" ht="42.75" customHeight="1" x14ac:dyDescent="0.3">
      <c r="A447" s="68">
        <v>2</v>
      </c>
      <c r="B447" s="166" t="s">
        <v>4814</v>
      </c>
      <c r="C447" s="72" t="s">
        <v>4815</v>
      </c>
      <c r="D447" s="68">
        <v>1</v>
      </c>
      <c r="E447" s="184"/>
      <c r="F447" s="184"/>
    </row>
    <row r="448" spans="1:6" ht="12" customHeight="1" x14ac:dyDescent="0.3">
      <c r="A448" s="72" t="s">
        <v>4816</v>
      </c>
      <c r="B448" s="163" t="s">
        <v>4817</v>
      </c>
      <c r="C448" s="11"/>
      <c r="D448" s="11"/>
      <c r="E448" s="11"/>
      <c r="F448" s="11"/>
    </row>
    <row r="449" spans="1:6" ht="30.75" customHeight="1" x14ac:dyDescent="0.3">
      <c r="A449" s="83">
        <v>1</v>
      </c>
      <c r="B449" s="166" t="s">
        <v>4818</v>
      </c>
      <c r="C449" s="82" t="s">
        <v>4819</v>
      </c>
      <c r="D449" s="83">
        <v>1</v>
      </c>
      <c r="E449" s="183"/>
      <c r="F449" s="183"/>
    </row>
    <row r="450" spans="1:6" ht="25.5" customHeight="1" x14ac:dyDescent="0.3">
      <c r="A450" s="68">
        <v>2</v>
      </c>
      <c r="B450" s="166" t="s">
        <v>4820</v>
      </c>
      <c r="C450" s="72" t="s">
        <v>4821</v>
      </c>
      <c r="D450" s="68">
        <v>1</v>
      </c>
      <c r="E450" s="184"/>
      <c r="F450" s="184"/>
    </row>
    <row r="451" spans="1:6" ht="30.75" customHeight="1" x14ac:dyDescent="0.3">
      <c r="A451" s="83">
        <v>3</v>
      </c>
      <c r="B451" s="166" t="s">
        <v>4822</v>
      </c>
      <c r="C451" s="82" t="s">
        <v>4823</v>
      </c>
      <c r="D451" s="83">
        <v>1</v>
      </c>
      <c r="E451" s="183"/>
      <c r="F451" s="183"/>
    </row>
    <row r="452" spans="1:6" ht="12" customHeight="1" x14ac:dyDescent="0.3">
      <c r="A452" s="72" t="s">
        <v>4824</v>
      </c>
      <c r="B452" s="163" t="s">
        <v>4825</v>
      </c>
      <c r="C452" s="11"/>
      <c r="D452" s="11"/>
      <c r="E452" s="11"/>
      <c r="F452" s="11"/>
    </row>
    <row r="453" spans="1:6" ht="33.75" customHeight="1" x14ac:dyDescent="0.3">
      <c r="A453" s="68">
        <v>1</v>
      </c>
      <c r="B453" s="166" t="s">
        <v>4826</v>
      </c>
      <c r="C453" s="72" t="s">
        <v>4827</v>
      </c>
      <c r="D453" s="68">
        <v>1</v>
      </c>
      <c r="E453" s="184"/>
      <c r="F453" s="184"/>
    </row>
    <row r="454" spans="1:6" ht="12" customHeight="1" x14ac:dyDescent="0.3">
      <c r="A454" s="72" t="s">
        <v>4828</v>
      </c>
      <c r="B454" s="163" t="s">
        <v>4829</v>
      </c>
      <c r="C454" s="11"/>
      <c r="D454" s="11"/>
      <c r="E454" s="11"/>
      <c r="F454" s="11"/>
    </row>
    <row r="455" spans="1:6" ht="30.75" customHeight="1" x14ac:dyDescent="0.3">
      <c r="A455" s="83">
        <v>1</v>
      </c>
      <c r="B455" s="166" t="s">
        <v>4830</v>
      </c>
      <c r="C455" s="82" t="s">
        <v>4831</v>
      </c>
      <c r="D455" s="83">
        <v>2</v>
      </c>
      <c r="E455" s="183"/>
      <c r="F455" s="183"/>
    </row>
    <row r="456" spans="1:6" ht="30.75" customHeight="1" x14ac:dyDescent="0.3">
      <c r="A456" s="83">
        <v>2</v>
      </c>
      <c r="B456" s="166" t="s">
        <v>4832</v>
      </c>
      <c r="C456" s="82" t="s">
        <v>4833</v>
      </c>
      <c r="D456" s="83">
        <v>4</v>
      </c>
      <c r="E456" s="183"/>
      <c r="F456" s="183"/>
    </row>
    <row r="457" spans="1:6" ht="30.75" customHeight="1" x14ac:dyDescent="0.3">
      <c r="A457" s="83">
        <v>3</v>
      </c>
      <c r="B457" s="166" t="s">
        <v>4834</v>
      </c>
      <c r="C457" s="82" t="s">
        <v>4835</v>
      </c>
      <c r="D457" s="83">
        <v>2</v>
      </c>
      <c r="E457" s="183"/>
      <c r="F457" s="183"/>
    </row>
    <row r="458" spans="1:6" ht="30.75" customHeight="1" x14ac:dyDescent="0.3">
      <c r="A458" s="83">
        <v>4</v>
      </c>
      <c r="B458" s="166" t="s">
        <v>4836</v>
      </c>
      <c r="C458" s="82" t="s">
        <v>4837</v>
      </c>
      <c r="D458" s="83">
        <v>2</v>
      </c>
      <c r="E458" s="183"/>
      <c r="F458" s="183"/>
    </row>
    <row r="459" spans="1:6" ht="30.75" customHeight="1" x14ac:dyDescent="0.3">
      <c r="A459" s="83">
        <v>5</v>
      </c>
      <c r="B459" s="166" t="s">
        <v>4838</v>
      </c>
      <c r="C459" s="82" t="s">
        <v>4839</v>
      </c>
      <c r="D459" s="83">
        <v>20</v>
      </c>
      <c r="E459" s="185"/>
      <c r="F459" s="183"/>
    </row>
    <row r="460" spans="1:6" ht="12" customHeight="1" x14ac:dyDescent="0.3">
      <c r="A460" s="11"/>
      <c r="B460" s="162" t="s">
        <v>4840</v>
      </c>
      <c r="C460" s="11"/>
      <c r="D460" s="11"/>
      <c r="E460" s="11"/>
      <c r="F460" s="187"/>
    </row>
    <row r="461" spans="1:6" ht="9.75" customHeight="1" x14ac:dyDescent="0.3">
      <c r="A461" s="11"/>
      <c r="B461" s="162" t="s">
        <v>4841</v>
      </c>
      <c r="C461" s="11"/>
      <c r="D461" s="11"/>
      <c r="E461" s="11"/>
      <c r="F461" s="11"/>
    </row>
    <row r="462" spans="1:6" ht="12" customHeight="1" x14ac:dyDescent="0.3">
      <c r="A462" s="72" t="s">
        <v>4842</v>
      </c>
      <c r="B462" s="163" t="s">
        <v>4843</v>
      </c>
      <c r="C462" s="11"/>
      <c r="D462" s="11"/>
      <c r="E462" s="11"/>
      <c r="F462" s="11"/>
    </row>
    <row r="463" spans="1:6" ht="30.75" customHeight="1" x14ac:dyDescent="0.3">
      <c r="A463" s="83">
        <v>1</v>
      </c>
      <c r="B463" s="9" t="s">
        <v>4844</v>
      </c>
      <c r="C463" s="195" t="s">
        <v>4845</v>
      </c>
      <c r="D463" s="83">
        <v>1</v>
      </c>
      <c r="E463" s="196"/>
      <c r="F463" s="196"/>
    </row>
    <row r="464" spans="1:6" ht="42.75" customHeight="1" x14ac:dyDescent="0.3">
      <c r="A464" s="68">
        <v>2</v>
      </c>
      <c r="B464" s="166" t="s">
        <v>4846</v>
      </c>
      <c r="C464" s="72" t="s">
        <v>4847</v>
      </c>
      <c r="D464" s="68">
        <v>1</v>
      </c>
      <c r="E464" s="184"/>
      <c r="F464" s="184"/>
    </row>
    <row r="465" spans="1:6" ht="12" customHeight="1" x14ac:dyDescent="0.3">
      <c r="A465" s="72" t="s">
        <v>4848</v>
      </c>
      <c r="B465" s="163" t="s">
        <v>4849</v>
      </c>
      <c r="C465" s="11"/>
      <c r="D465" s="11"/>
      <c r="E465" s="11"/>
      <c r="F465" s="11"/>
    </row>
    <row r="466" spans="1:6" ht="33.75" customHeight="1" x14ac:dyDescent="0.3">
      <c r="A466" s="68">
        <v>1</v>
      </c>
      <c r="B466" s="166" t="s">
        <v>4850</v>
      </c>
      <c r="C466" s="72" t="s">
        <v>4851</v>
      </c>
      <c r="D466" s="68">
        <v>1</v>
      </c>
      <c r="E466" s="184"/>
      <c r="F466" s="184"/>
    </row>
    <row r="467" spans="1:6" ht="12" customHeight="1" x14ac:dyDescent="0.3">
      <c r="A467" s="72" t="s">
        <v>4852</v>
      </c>
      <c r="B467" s="163" t="s">
        <v>4853</v>
      </c>
      <c r="C467" s="11"/>
      <c r="D467" s="11"/>
      <c r="E467" s="11"/>
      <c r="F467" s="11"/>
    </row>
    <row r="468" spans="1:6" ht="30.75" customHeight="1" x14ac:dyDescent="0.3">
      <c r="A468" s="83">
        <v>1</v>
      </c>
      <c r="B468" s="166" t="s">
        <v>4854</v>
      </c>
      <c r="C468" s="82" t="s">
        <v>4855</v>
      </c>
      <c r="D468" s="83">
        <v>1</v>
      </c>
      <c r="E468" s="183"/>
      <c r="F468" s="183"/>
    </row>
    <row r="469" spans="1:6" ht="25.5" customHeight="1" x14ac:dyDescent="0.3">
      <c r="A469" s="68">
        <v>2</v>
      </c>
      <c r="B469" s="9" t="s">
        <v>4856</v>
      </c>
      <c r="C469" s="72" t="s">
        <v>4857</v>
      </c>
      <c r="D469" s="68">
        <v>1</v>
      </c>
      <c r="E469" s="184"/>
      <c r="F469" s="184"/>
    </row>
    <row r="470" spans="1:6" ht="30.75" customHeight="1" x14ac:dyDescent="0.3">
      <c r="A470" s="83">
        <v>3</v>
      </c>
      <c r="B470" s="166" t="s">
        <v>4858</v>
      </c>
      <c r="C470" s="82" t="s">
        <v>4859</v>
      </c>
      <c r="D470" s="83">
        <v>1</v>
      </c>
      <c r="E470" s="183"/>
      <c r="F470" s="183"/>
    </row>
    <row r="471" spans="1:6" ht="12" customHeight="1" x14ac:dyDescent="0.3">
      <c r="A471" s="72" t="s">
        <v>4860</v>
      </c>
      <c r="B471" s="163" t="s">
        <v>4861</v>
      </c>
      <c r="C471" s="11"/>
      <c r="D471" s="11"/>
      <c r="E471" s="11"/>
      <c r="F471" s="11"/>
    </row>
    <row r="472" spans="1:6" ht="30.75" customHeight="1" x14ac:dyDescent="0.3">
      <c r="A472" s="83">
        <v>1</v>
      </c>
      <c r="B472" s="166" t="s">
        <v>4862</v>
      </c>
      <c r="C472" s="82" t="s">
        <v>4863</v>
      </c>
      <c r="D472" s="83">
        <v>4</v>
      </c>
      <c r="E472" s="183"/>
      <c r="F472" s="183"/>
    </row>
    <row r="473" spans="1:6" ht="30.75" customHeight="1" x14ac:dyDescent="0.3">
      <c r="A473" s="83">
        <v>2</v>
      </c>
      <c r="B473" s="166" t="s">
        <v>4864</v>
      </c>
      <c r="C473" s="82" t="s">
        <v>4865</v>
      </c>
      <c r="D473" s="83">
        <v>2</v>
      </c>
      <c r="E473" s="183"/>
      <c r="F473" s="183"/>
    </row>
    <row r="474" spans="1:6" ht="30.75" customHeight="1" x14ac:dyDescent="0.3">
      <c r="A474" s="83">
        <v>3</v>
      </c>
      <c r="B474" s="166" t="s">
        <v>4866</v>
      </c>
      <c r="C474" s="82" t="s">
        <v>4867</v>
      </c>
      <c r="D474" s="83">
        <v>20</v>
      </c>
      <c r="E474" s="185"/>
      <c r="F474" s="183"/>
    </row>
    <row r="475" spans="1:6" ht="12" customHeight="1" x14ac:dyDescent="0.3">
      <c r="A475" s="11"/>
      <c r="B475" s="162" t="s">
        <v>4868</v>
      </c>
      <c r="C475" s="11"/>
      <c r="D475" s="11"/>
      <c r="E475" s="11"/>
      <c r="F475" s="187"/>
    </row>
    <row r="476" spans="1:6" ht="9.75" customHeight="1" x14ac:dyDescent="0.3">
      <c r="A476" s="11"/>
      <c r="B476" s="162" t="s">
        <v>4869</v>
      </c>
      <c r="C476" s="11"/>
      <c r="D476" s="11"/>
      <c r="E476" s="11"/>
      <c r="F476" s="11"/>
    </row>
    <row r="477" spans="1:6" ht="12" customHeight="1" x14ac:dyDescent="0.3">
      <c r="A477" s="182" t="s">
        <v>4870</v>
      </c>
      <c r="B477" s="163" t="s">
        <v>4871</v>
      </c>
      <c r="C477" s="11"/>
      <c r="D477" s="11"/>
      <c r="E477" s="11"/>
      <c r="F477" s="11"/>
    </row>
    <row r="478" spans="1:6" ht="20.25" customHeight="1" x14ac:dyDescent="0.3">
      <c r="A478" s="68">
        <v>1</v>
      </c>
      <c r="B478" s="166" t="s">
        <v>4872</v>
      </c>
      <c r="C478" s="72" t="s">
        <v>4873</v>
      </c>
      <c r="D478" s="68">
        <v>1</v>
      </c>
      <c r="E478" s="184"/>
      <c r="F478" s="184"/>
    </row>
    <row r="479" spans="1:6" ht="30.75" customHeight="1" x14ac:dyDescent="0.3">
      <c r="A479" s="83">
        <v>2</v>
      </c>
      <c r="B479" s="166" t="s">
        <v>4874</v>
      </c>
      <c r="C479" s="82" t="s">
        <v>4875</v>
      </c>
      <c r="D479" s="83">
        <v>1</v>
      </c>
      <c r="E479" s="183"/>
      <c r="F479" s="183"/>
    </row>
    <row r="480" spans="1:6" ht="30.75" customHeight="1" x14ac:dyDescent="0.3">
      <c r="A480" s="83">
        <v>3</v>
      </c>
      <c r="B480" s="9" t="s">
        <v>4876</v>
      </c>
      <c r="C480" s="82" t="s">
        <v>4877</v>
      </c>
      <c r="D480" s="83">
        <v>4</v>
      </c>
      <c r="E480" s="183"/>
      <c r="F480" s="183"/>
    </row>
    <row r="481" spans="1:6" ht="25.5" customHeight="1" x14ac:dyDescent="0.3">
      <c r="A481" s="68">
        <v>4</v>
      </c>
      <c r="B481" s="9" t="s">
        <v>4878</v>
      </c>
      <c r="C481" s="72" t="s">
        <v>4879</v>
      </c>
      <c r="D481" s="68">
        <v>4</v>
      </c>
      <c r="E481" s="184"/>
      <c r="F481" s="184"/>
    </row>
    <row r="482" spans="1:6" ht="12" customHeight="1" x14ac:dyDescent="0.3">
      <c r="A482" s="182" t="s">
        <v>4880</v>
      </c>
      <c r="B482" s="163" t="s">
        <v>4881</v>
      </c>
      <c r="C482" s="11"/>
      <c r="D482" s="11"/>
      <c r="E482" s="11"/>
      <c r="F482" s="11"/>
    </row>
    <row r="483" spans="1:6" ht="33.75" customHeight="1" x14ac:dyDescent="0.3">
      <c r="A483" s="68">
        <v>1</v>
      </c>
      <c r="B483" s="166" t="s">
        <v>4882</v>
      </c>
      <c r="C483" s="72" t="s">
        <v>4883</v>
      </c>
      <c r="D483" s="68">
        <v>2</v>
      </c>
      <c r="E483" s="184"/>
      <c r="F483" s="184"/>
    </row>
    <row r="484" spans="1:6" ht="12" customHeight="1" x14ac:dyDescent="0.3">
      <c r="A484" s="262" t="s">
        <v>4884</v>
      </c>
      <c r="B484" s="215"/>
      <c r="C484" s="215"/>
      <c r="D484" s="215"/>
      <c r="E484" s="215"/>
      <c r="F484" s="215"/>
    </row>
    <row r="485" spans="1:6" ht="15.75" customHeight="1" x14ac:dyDescent="0.3">
      <c r="A485" s="65" t="s">
        <v>4885</v>
      </c>
      <c r="B485" s="65" t="s">
        <v>4886</v>
      </c>
      <c r="C485" s="65" t="s">
        <v>4887</v>
      </c>
      <c r="D485" s="65" t="s">
        <v>4888</v>
      </c>
      <c r="E485" s="65" t="s">
        <v>4889</v>
      </c>
      <c r="F485" s="65" t="s">
        <v>4890</v>
      </c>
    </row>
    <row r="486" spans="1:6" ht="17.25" customHeight="1" x14ac:dyDescent="0.3">
      <c r="A486" s="68">
        <v>2</v>
      </c>
      <c r="B486" s="166" t="s">
        <v>4891</v>
      </c>
      <c r="C486" s="72" t="s">
        <v>4892</v>
      </c>
      <c r="D486" s="68">
        <v>1</v>
      </c>
      <c r="E486" s="184"/>
      <c r="F486" s="184"/>
    </row>
    <row r="487" spans="1:6" ht="12" customHeight="1" x14ac:dyDescent="0.3">
      <c r="A487" s="182" t="s">
        <v>4893</v>
      </c>
      <c r="B487" s="163" t="s">
        <v>4894</v>
      </c>
      <c r="C487" s="11"/>
      <c r="D487" s="11"/>
      <c r="E487" s="11"/>
      <c r="F487" s="11"/>
    </row>
    <row r="488" spans="1:6" ht="68.25" customHeight="1" x14ac:dyDescent="0.3">
      <c r="A488" s="83">
        <v>1</v>
      </c>
      <c r="B488" s="166" t="s">
        <v>4895</v>
      </c>
      <c r="C488" s="82" t="s">
        <v>4896</v>
      </c>
      <c r="D488" s="83">
        <v>1</v>
      </c>
      <c r="E488" s="183"/>
      <c r="F488" s="183"/>
    </row>
    <row r="489" spans="1:6" ht="42.75" customHeight="1" x14ac:dyDescent="0.3">
      <c r="A489" s="68">
        <v>2</v>
      </c>
      <c r="B489" s="9" t="s">
        <v>4897</v>
      </c>
      <c r="C489" s="72" t="s">
        <v>4898</v>
      </c>
      <c r="D489" s="68">
        <v>1</v>
      </c>
      <c r="E489" s="184"/>
      <c r="F489" s="184"/>
    </row>
    <row r="490" spans="1:6" ht="12" customHeight="1" x14ac:dyDescent="0.3">
      <c r="A490" s="68">
        <v>3</v>
      </c>
      <c r="B490" s="166" t="s">
        <v>4899</v>
      </c>
      <c r="C490" s="72" t="s">
        <v>4900</v>
      </c>
      <c r="D490" s="68">
        <v>1</v>
      </c>
      <c r="E490" s="184"/>
      <c r="F490" s="184"/>
    </row>
    <row r="491" spans="1:6" ht="25.5" customHeight="1" x14ac:dyDescent="0.3">
      <c r="A491" s="68">
        <v>4</v>
      </c>
      <c r="B491" s="9" t="s">
        <v>4901</v>
      </c>
      <c r="C491" s="72" t="s">
        <v>4902</v>
      </c>
      <c r="D491" s="68">
        <v>2</v>
      </c>
      <c r="E491" s="184"/>
      <c r="F491" s="184"/>
    </row>
    <row r="492" spans="1:6" ht="18" customHeight="1" x14ac:dyDescent="0.3">
      <c r="A492" s="68">
        <v>5</v>
      </c>
      <c r="B492" s="9" t="s">
        <v>4903</v>
      </c>
      <c r="C492" s="72" t="s">
        <v>4904</v>
      </c>
      <c r="D492" s="68">
        <v>1</v>
      </c>
      <c r="E492" s="184"/>
      <c r="F492" s="184"/>
    </row>
    <row r="493" spans="1:6" ht="25.5" customHeight="1" x14ac:dyDescent="0.3">
      <c r="A493" s="68">
        <v>6</v>
      </c>
      <c r="B493" s="9" t="s">
        <v>4905</v>
      </c>
      <c r="C493" s="72" t="s">
        <v>4906</v>
      </c>
      <c r="D493" s="68">
        <v>4</v>
      </c>
      <c r="E493" s="184"/>
      <c r="F493" s="184"/>
    </row>
    <row r="494" spans="1:6" ht="60" customHeight="1" x14ac:dyDescent="0.3">
      <c r="A494" s="83">
        <v>7</v>
      </c>
      <c r="B494" s="9" t="s">
        <v>4907</v>
      </c>
      <c r="C494" s="82" t="s">
        <v>4908</v>
      </c>
      <c r="D494" s="83">
        <v>1</v>
      </c>
      <c r="E494" s="183"/>
      <c r="F494" s="183"/>
    </row>
    <row r="495" spans="1:6" ht="12" customHeight="1" x14ac:dyDescent="0.3">
      <c r="A495" s="182" t="s">
        <v>4909</v>
      </c>
      <c r="B495" s="163" t="s">
        <v>4910</v>
      </c>
      <c r="C495" s="11"/>
      <c r="D495" s="11"/>
      <c r="E495" s="11"/>
      <c r="F495" s="11"/>
    </row>
    <row r="496" spans="1:6" ht="30.75" customHeight="1" x14ac:dyDescent="0.3">
      <c r="A496" s="83">
        <v>1</v>
      </c>
      <c r="B496" s="166" t="s">
        <v>4911</v>
      </c>
      <c r="C496" s="82" t="s">
        <v>4912</v>
      </c>
      <c r="D496" s="83">
        <v>1</v>
      </c>
      <c r="E496" s="183"/>
      <c r="F496" s="183"/>
    </row>
    <row r="497" spans="1:6" ht="25.5" customHeight="1" x14ac:dyDescent="0.3">
      <c r="A497" s="68">
        <v>2</v>
      </c>
      <c r="B497" s="166" t="s">
        <v>4913</v>
      </c>
      <c r="C497" s="72" t="s">
        <v>4914</v>
      </c>
      <c r="D497" s="68">
        <v>1</v>
      </c>
      <c r="E497" s="184"/>
      <c r="F497" s="184"/>
    </row>
    <row r="498" spans="1:6" ht="18" customHeight="1" x14ac:dyDescent="0.3">
      <c r="A498" s="68">
        <v>3</v>
      </c>
      <c r="B498" s="9" t="s">
        <v>4915</v>
      </c>
      <c r="C498" s="72" t="s">
        <v>4916</v>
      </c>
      <c r="D498" s="68">
        <v>1</v>
      </c>
      <c r="E498" s="184"/>
      <c r="F498" s="184"/>
    </row>
    <row r="499" spans="1:6" ht="33.75" customHeight="1" x14ac:dyDescent="0.3">
      <c r="A499" s="68">
        <v>4</v>
      </c>
      <c r="B499" s="9" t="s">
        <v>4917</v>
      </c>
      <c r="C499" s="72" t="s">
        <v>4918</v>
      </c>
      <c r="D499" s="68">
        <v>1</v>
      </c>
      <c r="E499" s="184"/>
      <c r="F499" s="184"/>
    </row>
    <row r="500" spans="1:6" ht="30.75" customHeight="1" x14ac:dyDescent="0.3">
      <c r="A500" s="83">
        <v>5</v>
      </c>
      <c r="B500" s="9" t="s">
        <v>4919</v>
      </c>
      <c r="C500" s="82" t="s">
        <v>4920</v>
      </c>
      <c r="D500" s="83">
        <v>2</v>
      </c>
      <c r="E500" s="183"/>
      <c r="F500" s="183"/>
    </row>
    <row r="501" spans="1:6" ht="30.75" customHeight="1" x14ac:dyDescent="0.3">
      <c r="A501" s="83">
        <v>6</v>
      </c>
      <c r="B501" s="9" t="s">
        <v>4921</v>
      </c>
      <c r="C501" s="82" t="s">
        <v>4922</v>
      </c>
      <c r="D501" s="83">
        <v>6</v>
      </c>
      <c r="E501" s="183"/>
      <c r="F501" s="183"/>
    </row>
    <row r="502" spans="1:6" ht="30.75" customHeight="1" x14ac:dyDescent="0.3">
      <c r="A502" s="83">
        <v>7</v>
      </c>
      <c r="B502" s="9" t="s">
        <v>4923</v>
      </c>
      <c r="C502" s="82" t="s">
        <v>4924</v>
      </c>
      <c r="D502" s="83">
        <v>8</v>
      </c>
      <c r="E502" s="183"/>
      <c r="F502" s="183"/>
    </row>
    <row r="503" spans="1:6" ht="30.75" customHeight="1" x14ac:dyDescent="0.3">
      <c r="A503" s="83">
        <v>8</v>
      </c>
      <c r="B503" s="166" t="s">
        <v>4925</v>
      </c>
      <c r="C503" s="82" t="s">
        <v>4926</v>
      </c>
      <c r="D503" s="83">
        <v>1</v>
      </c>
      <c r="E503" s="183"/>
      <c r="F503" s="183"/>
    </row>
    <row r="504" spans="1:6" ht="77.25" customHeight="1" x14ac:dyDescent="0.3">
      <c r="A504" s="83">
        <v>9</v>
      </c>
      <c r="B504" s="9" t="s">
        <v>4927</v>
      </c>
      <c r="C504" s="82" t="s">
        <v>4928</v>
      </c>
      <c r="D504" s="83">
        <v>1</v>
      </c>
      <c r="E504" s="183"/>
      <c r="F504" s="183"/>
    </row>
    <row r="505" spans="1:6" ht="30.75" customHeight="1" x14ac:dyDescent="0.3">
      <c r="A505" s="83">
        <v>10</v>
      </c>
      <c r="B505" s="166" t="s">
        <v>4929</v>
      </c>
      <c r="C505" s="82" t="s">
        <v>4930</v>
      </c>
      <c r="D505" s="83">
        <v>1</v>
      </c>
      <c r="E505" s="183"/>
      <c r="F505" s="183"/>
    </row>
    <row r="506" spans="1:6" ht="12" customHeight="1" x14ac:dyDescent="0.3">
      <c r="A506" s="182" t="s">
        <v>4931</v>
      </c>
      <c r="B506" s="163" t="s">
        <v>4932</v>
      </c>
      <c r="C506" s="11"/>
      <c r="D506" s="11"/>
      <c r="E506" s="11"/>
      <c r="F506" s="11"/>
    </row>
    <row r="507" spans="1:6" ht="30.75" customHeight="1" x14ac:dyDescent="0.3">
      <c r="A507" s="83">
        <v>1</v>
      </c>
      <c r="B507" s="166" t="s">
        <v>4933</v>
      </c>
      <c r="C507" s="82" t="s">
        <v>4934</v>
      </c>
      <c r="D507" s="83">
        <v>6</v>
      </c>
      <c r="E507" s="183"/>
      <c r="F507" s="183"/>
    </row>
    <row r="508" spans="1:6" ht="30.75" customHeight="1" x14ac:dyDescent="0.3">
      <c r="A508" s="83">
        <v>2</v>
      </c>
      <c r="B508" s="166" t="s">
        <v>4935</v>
      </c>
      <c r="C508" s="82" t="s">
        <v>4936</v>
      </c>
      <c r="D508" s="83">
        <v>150</v>
      </c>
      <c r="E508" s="185"/>
      <c r="F508" s="183"/>
    </row>
    <row r="509" spans="1:6" ht="30.75" customHeight="1" x14ac:dyDescent="0.3">
      <c r="A509" s="83">
        <v>3</v>
      </c>
      <c r="B509" s="166" t="s">
        <v>4937</v>
      </c>
      <c r="C509" s="82" t="s">
        <v>4938</v>
      </c>
      <c r="D509" s="83">
        <v>16</v>
      </c>
      <c r="E509" s="183"/>
      <c r="F509" s="183"/>
    </row>
    <row r="510" spans="1:6" ht="30.75" customHeight="1" x14ac:dyDescent="0.3">
      <c r="A510" s="83">
        <v>4</v>
      </c>
      <c r="B510" s="166" t="s">
        <v>4939</v>
      </c>
      <c r="C510" s="82" t="s">
        <v>4940</v>
      </c>
      <c r="D510" s="83">
        <v>2</v>
      </c>
      <c r="E510" s="183"/>
      <c r="F510" s="183"/>
    </row>
    <row r="511" spans="1:6" ht="30.75" customHeight="1" x14ac:dyDescent="0.3">
      <c r="A511" s="83">
        <v>5</v>
      </c>
      <c r="B511" s="166" t="s">
        <v>4941</v>
      </c>
      <c r="C511" s="82" t="s">
        <v>4942</v>
      </c>
      <c r="D511" s="83">
        <v>100</v>
      </c>
      <c r="E511" s="185"/>
      <c r="F511" s="183"/>
    </row>
    <row r="512" spans="1:6" ht="30.75" customHeight="1" x14ac:dyDescent="0.3">
      <c r="A512" s="83">
        <v>6</v>
      </c>
      <c r="B512" s="166" t="s">
        <v>4943</v>
      </c>
      <c r="C512" s="82" t="s">
        <v>4944</v>
      </c>
      <c r="D512" s="83">
        <v>150</v>
      </c>
      <c r="E512" s="185"/>
      <c r="F512" s="183"/>
    </row>
    <row r="513" spans="1:6" ht="33.75" customHeight="1" x14ac:dyDescent="0.3">
      <c r="A513" s="68">
        <v>7</v>
      </c>
      <c r="B513" s="166" t="s">
        <v>4945</v>
      </c>
      <c r="C513" s="72" t="s">
        <v>4946</v>
      </c>
      <c r="D513" s="68">
        <v>1</v>
      </c>
      <c r="E513" s="184"/>
      <c r="F513" s="184"/>
    </row>
    <row r="514" spans="1:6" ht="12" customHeight="1" x14ac:dyDescent="0.3">
      <c r="A514" s="11"/>
      <c r="B514" s="162" t="s">
        <v>4947</v>
      </c>
      <c r="C514" s="11"/>
      <c r="D514" s="11"/>
      <c r="E514" s="11"/>
      <c r="F514" s="187"/>
    </row>
    <row r="515" spans="1:6" ht="9.75" customHeight="1" x14ac:dyDescent="0.3">
      <c r="A515" s="11"/>
      <c r="B515" s="162" t="s">
        <v>4948</v>
      </c>
      <c r="C515" s="11"/>
      <c r="D515" s="11"/>
      <c r="E515" s="11"/>
      <c r="F515" s="11"/>
    </row>
    <row r="516" spans="1:6" ht="12" customHeight="1" x14ac:dyDescent="0.3">
      <c r="A516" s="182" t="s">
        <v>4949</v>
      </c>
      <c r="B516" s="163" t="s">
        <v>4950</v>
      </c>
      <c r="C516" s="11"/>
      <c r="D516" s="11"/>
      <c r="E516" s="11"/>
      <c r="F516" s="11"/>
    </row>
    <row r="517" spans="1:6" ht="30.75" customHeight="1" x14ac:dyDescent="0.3">
      <c r="A517" s="83">
        <v>1</v>
      </c>
      <c r="B517" s="166" t="s">
        <v>4951</v>
      </c>
      <c r="C517" s="195" t="s">
        <v>4952</v>
      </c>
      <c r="D517" s="83">
        <v>1</v>
      </c>
      <c r="E517" s="196"/>
      <c r="F517" s="196"/>
    </row>
    <row r="518" spans="1:6" ht="42.75" customHeight="1" x14ac:dyDescent="0.3">
      <c r="A518" s="68">
        <v>2</v>
      </c>
      <c r="B518" s="166" t="s">
        <v>4953</v>
      </c>
      <c r="C518" s="72" t="s">
        <v>4954</v>
      </c>
      <c r="D518" s="68">
        <v>1</v>
      </c>
      <c r="E518" s="184"/>
      <c r="F518" s="184"/>
    </row>
    <row r="519" spans="1:6" ht="12" customHeight="1" x14ac:dyDescent="0.3">
      <c r="A519" s="182" t="s">
        <v>4955</v>
      </c>
      <c r="B519" s="163" t="s">
        <v>4956</v>
      </c>
      <c r="C519" s="11"/>
      <c r="D519" s="11"/>
      <c r="E519" s="11"/>
      <c r="F519" s="11"/>
    </row>
    <row r="520" spans="1:6" ht="33.75" customHeight="1" x14ac:dyDescent="0.3">
      <c r="A520" s="68">
        <v>3</v>
      </c>
      <c r="B520" s="166" t="s">
        <v>4957</v>
      </c>
      <c r="C520" s="72" t="s">
        <v>4958</v>
      </c>
      <c r="D520" s="68">
        <v>2</v>
      </c>
      <c r="E520" s="184"/>
      <c r="F520" s="184"/>
    </row>
    <row r="521" spans="1:6" ht="20.25" customHeight="1" x14ac:dyDescent="0.3">
      <c r="A521" s="68">
        <v>4</v>
      </c>
      <c r="B521" s="166" t="s">
        <v>4959</v>
      </c>
      <c r="C521" s="72" t="s">
        <v>4960</v>
      </c>
      <c r="D521" s="68">
        <v>1</v>
      </c>
      <c r="E521" s="184"/>
      <c r="F521" s="184"/>
    </row>
    <row r="522" spans="1:6" ht="12" customHeight="1" x14ac:dyDescent="0.3">
      <c r="A522" s="182" t="s">
        <v>4961</v>
      </c>
      <c r="B522" s="163" t="s">
        <v>4962</v>
      </c>
      <c r="C522" s="11"/>
      <c r="D522" s="11"/>
      <c r="E522" s="11"/>
      <c r="F522" s="11"/>
    </row>
    <row r="523" spans="1:6" ht="30.75" customHeight="1" x14ac:dyDescent="0.3">
      <c r="A523" s="83">
        <v>1</v>
      </c>
      <c r="B523" s="166" t="s">
        <v>4963</v>
      </c>
      <c r="C523" s="82" t="s">
        <v>4964</v>
      </c>
      <c r="D523" s="83">
        <v>2</v>
      </c>
      <c r="E523" s="183"/>
      <c r="F523" s="183"/>
    </row>
    <row r="524" spans="1:6" ht="12" customHeight="1" x14ac:dyDescent="0.3">
      <c r="A524" s="182" t="s">
        <v>4965</v>
      </c>
      <c r="B524" s="163" t="s">
        <v>4966</v>
      </c>
      <c r="C524" s="11"/>
      <c r="D524" s="11"/>
      <c r="E524" s="11"/>
      <c r="F524" s="11"/>
    </row>
    <row r="525" spans="1:6" ht="30.75" customHeight="1" x14ac:dyDescent="0.3">
      <c r="A525" s="83">
        <v>1</v>
      </c>
      <c r="B525" s="166" t="s">
        <v>4967</v>
      </c>
      <c r="C525" s="82" t="s">
        <v>4968</v>
      </c>
      <c r="D525" s="83">
        <v>150</v>
      </c>
      <c r="E525" s="185"/>
      <c r="F525" s="183"/>
    </row>
    <row r="526" spans="1:6" ht="30.75" customHeight="1" x14ac:dyDescent="0.3">
      <c r="A526" s="83">
        <v>2</v>
      </c>
      <c r="B526" s="166" t="s">
        <v>4969</v>
      </c>
      <c r="C526" s="82" t="s">
        <v>4970</v>
      </c>
      <c r="D526" s="83">
        <v>4</v>
      </c>
      <c r="E526" s="183"/>
      <c r="F526" s="183"/>
    </row>
    <row r="527" spans="1:6" ht="30.75" customHeight="1" x14ac:dyDescent="0.3">
      <c r="A527" s="83">
        <v>3</v>
      </c>
      <c r="B527" s="166" t="s">
        <v>4971</v>
      </c>
      <c r="C527" s="82" t="s">
        <v>4972</v>
      </c>
      <c r="D527" s="83">
        <v>50</v>
      </c>
      <c r="E527" s="185"/>
      <c r="F527" s="183"/>
    </row>
    <row r="528" spans="1:6" ht="30.75" customHeight="1" x14ac:dyDescent="0.3">
      <c r="A528" s="83">
        <v>4</v>
      </c>
      <c r="B528" s="166" t="s">
        <v>4973</v>
      </c>
      <c r="C528" s="82" t="s">
        <v>4974</v>
      </c>
      <c r="D528" s="83">
        <v>50</v>
      </c>
      <c r="E528" s="185"/>
      <c r="F528" s="183"/>
    </row>
    <row r="529" spans="1:6" ht="12" customHeight="1" x14ac:dyDescent="0.3">
      <c r="A529" s="11"/>
      <c r="B529" s="162" t="s">
        <v>4975</v>
      </c>
      <c r="C529" s="11"/>
      <c r="D529" s="11"/>
      <c r="E529" s="11"/>
      <c r="F529" s="187"/>
    </row>
    <row r="530" spans="1:6" ht="9.75" customHeight="1" x14ac:dyDescent="0.3">
      <c r="A530" s="11"/>
      <c r="B530" s="162" t="s">
        <v>4976</v>
      </c>
      <c r="C530" s="11"/>
      <c r="D530" s="11"/>
      <c r="E530" s="11"/>
      <c r="F530" s="11"/>
    </row>
    <row r="531" spans="1:6" ht="12" customHeight="1" x14ac:dyDescent="0.3">
      <c r="A531" s="182" t="s">
        <v>4977</v>
      </c>
      <c r="B531" s="163" t="s">
        <v>4978</v>
      </c>
      <c r="C531" s="11"/>
      <c r="D531" s="11"/>
      <c r="E531" s="11"/>
      <c r="F531" s="11"/>
    </row>
    <row r="532" spans="1:6" ht="30.75" customHeight="1" x14ac:dyDescent="0.3">
      <c r="A532" s="83">
        <v>1</v>
      </c>
      <c r="B532" s="166" t="s">
        <v>4979</v>
      </c>
      <c r="C532" s="82" t="s">
        <v>4980</v>
      </c>
      <c r="D532" s="83">
        <v>4</v>
      </c>
      <c r="E532" s="183"/>
      <c r="F532" s="183"/>
    </row>
    <row r="533" spans="1:6" ht="42.75" customHeight="1" x14ac:dyDescent="0.3">
      <c r="A533" s="68">
        <v>2</v>
      </c>
      <c r="B533" s="166" t="s">
        <v>4981</v>
      </c>
      <c r="C533" s="72" t="s">
        <v>4982</v>
      </c>
      <c r="D533" s="68">
        <v>4</v>
      </c>
      <c r="E533" s="184"/>
      <c r="F533" s="184"/>
    </row>
    <row r="534" spans="1:6" ht="12" customHeight="1" x14ac:dyDescent="0.3">
      <c r="A534" s="182" t="s">
        <v>4983</v>
      </c>
      <c r="B534" s="163" t="s">
        <v>4984</v>
      </c>
      <c r="C534" s="11"/>
      <c r="D534" s="11"/>
      <c r="E534" s="11"/>
      <c r="F534" s="11"/>
    </row>
    <row r="535" spans="1:6" ht="30.75" customHeight="1" x14ac:dyDescent="0.3">
      <c r="A535" s="83">
        <v>1</v>
      </c>
      <c r="B535" s="166" t="s">
        <v>4985</v>
      </c>
      <c r="C535" s="82" t="s">
        <v>4986</v>
      </c>
      <c r="D535" s="83">
        <v>1</v>
      </c>
      <c r="E535" s="183"/>
      <c r="F535" s="183"/>
    </row>
    <row r="536" spans="1:6" ht="18" customHeight="1" x14ac:dyDescent="0.3">
      <c r="A536" s="68">
        <v>2</v>
      </c>
      <c r="B536" s="9" t="s">
        <v>4987</v>
      </c>
      <c r="C536" s="72" t="s">
        <v>4988</v>
      </c>
      <c r="D536" s="68">
        <v>2</v>
      </c>
      <c r="E536" s="184"/>
      <c r="F536" s="184"/>
    </row>
    <row r="537" spans="1:6" ht="12" customHeight="1" x14ac:dyDescent="0.3">
      <c r="A537" s="182" t="s">
        <v>4989</v>
      </c>
      <c r="B537" s="163" t="s">
        <v>4990</v>
      </c>
      <c r="C537" s="11"/>
      <c r="D537" s="11"/>
      <c r="E537" s="11"/>
      <c r="F537" s="11"/>
    </row>
    <row r="538" spans="1:6" ht="30.75" customHeight="1" x14ac:dyDescent="0.3">
      <c r="A538" s="83">
        <v>1</v>
      </c>
      <c r="B538" s="166" t="s">
        <v>4991</v>
      </c>
      <c r="C538" s="82" t="s">
        <v>4992</v>
      </c>
      <c r="D538" s="83">
        <v>4</v>
      </c>
      <c r="E538" s="183"/>
      <c r="F538" s="183"/>
    </row>
    <row r="539" spans="1:6" ht="30.75" customHeight="1" x14ac:dyDescent="0.3">
      <c r="A539" s="83">
        <v>2</v>
      </c>
      <c r="B539" s="166" t="s">
        <v>4993</v>
      </c>
      <c r="C539" s="82" t="s">
        <v>4994</v>
      </c>
      <c r="D539" s="83">
        <v>4</v>
      </c>
      <c r="E539" s="183"/>
      <c r="F539" s="183"/>
    </row>
    <row r="540" spans="1:6" ht="30.75" customHeight="1" x14ac:dyDescent="0.3">
      <c r="A540" s="83">
        <v>3</v>
      </c>
      <c r="B540" s="166" t="s">
        <v>4995</v>
      </c>
      <c r="C540" s="82" t="s">
        <v>4996</v>
      </c>
      <c r="D540" s="83">
        <v>2</v>
      </c>
      <c r="E540" s="183"/>
      <c r="F540" s="183"/>
    </row>
    <row r="541" spans="1:6" ht="30.75" customHeight="1" x14ac:dyDescent="0.3">
      <c r="A541" s="83">
        <v>4</v>
      </c>
      <c r="B541" s="166" t="s">
        <v>4997</v>
      </c>
      <c r="C541" s="82" t="s">
        <v>4998</v>
      </c>
      <c r="D541" s="83">
        <v>20</v>
      </c>
      <c r="E541" s="185"/>
      <c r="F541" s="183"/>
    </row>
    <row r="542" spans="1:6" ht="12" customHeight="1" x14ac:dyDescent="0.3">
      <c r="A542" s="11"/>
      <c r="B542" s="162" t="s">
        <v>4999</v>
      </c>
      <c r="C542" s="11"/>
      <c r="D542" s="11"/>
      <c r="E542" s="11"/>
      <c r="F542" s="187"/>
    </row>
    <row r="543" spans="1:6" ht="9.75" customHeight="1" x14ac:dyDescent="0.3">
      <c r="A543" s="11"/>
      <c r="B543" s="162" t="s">
        <v>5000</v>
      </c>
      <c r="C543" s="11"/>
      <c r="D543" s="11"/>
      <c r="E543" s="11"/>
      <c r="F543" s="11"/>
    </row>
    <row r="544" spans="1:6" ht="12" customHeight="1" x14ac:dyDescent="0.3">
      <c r="A544" s="182" t="s">
        <v>5001</v>
      </c>
      <c r="B544" s="163" t="s">
        <v>5002</v>
      </c>
      <c r="C544" s="11"/>
      <c r="D544" s="11"/>
      <c r="E544" s="11"/>
      <c r="F544" s="11"/>
    </row>
    <row r="545" spans="1:6" ht="30.75" customHeight="1" x14ac:dyDescent="0.3">
      <c r="A545" s="83">
        <v>1</v>
      </c>
      <c r="B545" s="166" t="s">
        <v>5003</v>
      </c>
      <c r="C545" s="82" t="s">
        <v>5004</v>
      </c>
      <c r="D545" s="83">
        <v>2</v>
      </c>
      <c r="E545" s="183"/>
      <c r="F545" s="183"/>
    </row>
    <row r="546" spans="1:6" ht="42.75" customHeight="1" x14ac:dyDescent="0.3">
      <c r="A546" s="68">
        <v>2</v>
      </c>
      <c r="B546" s="166" t="s">
        <v>5005</v>
      </c>
      <c r="C546" s="72" t="s">
        <v>5006</v>
      </c>
      <c r="D546" s="68">
        <v>2</v>
      </c>
      <c r="E546" s="184"/>
      <c r="F546" s="184"/>
    </row>
    <row r="547" spans="1:6" ht="12" customHeight="1" x14ac:dyDescent="0.3">
      <c r="A547" s="182" t="s">
        <v>5007</v>
      </c>
      <c r="B547" s="163" t="s">
        <v>5008</v>
      </c>
      <c r="C547" s="11"/>
      <c r="D547" s="11"/>
      <c r="E547" s="11"/>
      <c r="F547" s="11"/>
    </row>
    <row r="548" spans="1:6" ht="12" customHeight="1" x14ac:dyDescent="0.3">
      <c r="A548" s="68">
        <v>1</v>
      </c>
      <c r="B548" s="166" t="s">
        <v>5009</v>
      </c>
      <c r="C548" s="72" t="s">
        <v>5010</v>
      </c>
      <c r="D548" s="68">
        <v>1</v>
      </c>
      <c r="E548" s="184"/>
      <c r="F548" s="184"/>
    </row>
    <row r="549" spans="1:6" ht="12" customHeight="1" x14ac:dyDescent="0.3">
      <c r="A549" s="182" t="s">
        <v>5011</v>
      </c>
      <c r="B549" s="163" t="s">
        <v>5012</v>
      </c>
      <c r="C549" s="11"/>
      <c r="D549" s="11"/>
      <c r="E549" s="11"/>
      <c r="F549" s="11"/>
    </row>
    <row r="550" spans="1:6" ht="30.75" customHeight="1" x14ac:dyDescent="0.3">
      <c r="A550" s="83">
        <v>1</v>
      </c>
      <c r="B550" s="166" t="s">
        <v>5013</v>
      </c>
      <c r="C550" s="82" t="s">
        <v>5014</v>
      </c>
      <c r="D550" s="83">
        <v>1</v>
      </c>
      <c r="E550" s="183"/>
      <c r="F550" s="183"/>
    </row>
    <row r="551" spans="1:6" ht="30.75" customHeight="1" x14ac:dyDescent="0.3">
      <c r="A551" s="83">
        <v>2</v>
      </c>
      <c r="B551" s="166" t="s">
        <v>5015</v>
      </c>
      <c r="C551" s="82" t="s">
        <v>5016</v>
      </c>
      <c r="D551" s="83">
        <v>50</v>
      </c>
      <c r="E551" s="185"/>
      <c r="F551" s="183"/>
    </row>
    <row r="552" spans="1:6" ht="30.75" customHeight="1" x14ac:dyDescent="0.3">
      <c r="A552" s="83">
        <v>3</v>
      </c>
      <c r="B552" s="166" t="s">
        <v>5017</v>
      </c>
      <c r="C552" s="82" t="s">
        <v>5018</v>
      </c>
      <c r="D552" s="83">
        <v>4</v>
      </c>
      <c r="E552" s="183"/>
      <c r="F552" s="183"/>
    </row>
    <row r="553" spans="1:6" ht="30.75" customHeight="1" x14ac:dyDescent="0.3">
      <c r="A553" s="83">
        <v>4</v>
      </c>
      <c r="B553" s="166" t="s">
        <v>5019</v>
      </c>
      <c r="C553" s="82" t="s">
        <v>5020</v>
      </c>
      <c r="D553" s="83">
        <v>2</v>
      </c>
      <c r="E553" s="183"/>
      <c r="F553" s="183"/>
    </row>
    <row r="554" spans="1:6" ht="30.75" customHeight="1" x14ac:dyDescent="0.3">
      <c r="A554" s="83">
        <v>5</v>
      </c>
      <c r="B554" s="166" t="s">
        <v>5021</v>
      </c>
      <c r="C554" s="82" t="s">
        <v>5022</v>
      </c>
      <c r="D554" s="83">
        <v>2</v>
      </c>
      <c r="E554" s="183"/>
      <c r="F554" s="183"/>
    </row>
    <row r="555" spans="1:6" ht="30.75" customHeight="1" x14ac:dyDescent="0.3">
      <c r="A555" s="83">
        <v>6</v>
      </c>
      <c r="B555" s="166" t="s">
        <v>5023</v>
      </c>
      <c r="C555" s="82" t="s">
        <v>5024</v>
      </c>
      <c r="D555" s="83">
        <v>50</v>
      </c>
      <c r="E555" s="185"/>
      <c r="F555" s="183"/>
    </row>
    <row r="556" spans="1:6" ht="12" customHeight="1" x14ac:dyDescent="0.3">
      <c r="A556" s="11"/>
      <c r="B556" s="162" t="s">
        <v>5025</v>
      </c>
      <c r="C556" s="11"/>
      <c r="D556" s="11"/>
      <c r="E556" s="11"/>
      <c r="F556" s="187"/>
    </row>
    <row r="557" spans="1:6" ht="9.75" customHeight="1" x14ac:dyDescent="0.3">
      <c r="A557" s="11"/>
      <c r="B557" s="162" t="s">
        <v>5026</v>
      </c>
      <c r="C557" s="11"/>
      <c r="D557" s="11"/>
      <c r="E557" s="11"/>
      <c r="F557" s="11"/>
    </row>
    <row r="558" spans="1:6" ht="12" customHeight="1" x14ac:dyDescent="0.3">
      <c r="A558" s="182" t="s">
        <v>5027</v>
      </c>
      <c r="B558" s="163" t="s">
        <v>5028</v>
      </c>
      <c r="C558" s="11"/>
      <c r="D558" s="11"/>
      <c r="E558" s="11"/>
      <c r="F558" s="11"/>
    </row>
    <row r="559" spans="1:6" ht="25.5" customHeight="1" x14ac:dyDescent="0.3">
      <c r="A559" s="68">
        <v>1</v>
      </c>
      <c r="B559" s="166" t="s">
        <v>5029</v>
      </c>
      <c r="C559" s="72" t="s">
        <v>5030</v>
      </c>
      <c r="D559" s="68">
        <v>1</v>
      </c>
      <c r="E559" s="184"/>
      <c r="F559" s="184"/>
    </row>
    <row r="560" spans="1:6" ht="12" customHeight="1" x14ac:dyDescent="0.3">
      <c r="A560" s="182" t="s">
        <v>5031</v>
      </c>
      <c r="B560" s="163" t="s">
        <v>5032</v>
      </c>
      <c r="C560" s="11"/>
      <c r="D560" s="11"/>
      <c r="E560" s="11"/>
      <c r="F560" s="11"/>
    </row>
    <row r="561" spans="1:6" ht="33.75" customHeight="1" x14ac:dyDescent="0.3">
      <c r="A561" s="68">
        <v>1</v>
      </c>
      <c r="B561" s="9" t="s">
        <v>5033</v>
      </c>
      <c r="C561" s="72" t="s">
        <v>5034</v>
      </c>
      <c r="D561" s="68">
        <v>2</v>
      </c>
      <c r="E561" s="184"/>
      <c r="F561" s="184"/>
    </row>
    <row r="562" spans="1:6" ht="30.75" customHeight="1" x14ac:dyDescent="0.3">
      <c r="A562" s="83">
        <v>2</v>
      </c>
      <c r="B562" s="166" t="s">
        <v>5035</v>
      </c>
      <c r="C562" s="82" t="s">
        <v>5036</v>
      </c>
      <c r="D562" s="83">
        <v>2</v>
      </c>
      <c r="E562" s="183"/>
      <c r="F562" s="183"/>
    </row>
    <row r="563" spans="1:6" ht="145.5" customHeight="1" x14ac:dyDescent="0.3">
      <c r="A563" s="83">
        <v>3</v>
      </c>
      <c r="B563" s="9" t="s">
        <v>5037</v>
      </c>
      <c r="C563" s="82" t="s">
        <v>5038</v>
      </c>
      <c r="D563" s="83">
        <v>1</v>
      </c>
      <c r="E563" s="183"/>
      <c r="F563" s="183"/>
    </row>
    <row r="564" spans="1:6" ht="12" customHeight="1" x14ac:dyDescent="0.3">
      <c r="A564" s="182" t="s">
        <v>5039</v>
      </c>
      <c r="B564" s="163" t="s">
        <v>5040</v>
      </c>
      <c r="C564" s="11"/>
      <c r="D564" s="11"/>
      <c r="E564" s="11"/>
      <c r="F564" s="11"/>
    </row>
    <row r="565" spans="1:6" ht="18" customHeight="1" x14ac:dyDescent="0.3">
      <c r="A565" s="68">
        <v>1</v>
      </c>
      <c r="B565" s="9" t="s">
        <v>5041</v>
      </c>
      <c r="C565" s="72" t="s">
        <v>5042</v>
      </c>
      <c r="D565" s="68">
        <v>2</v>
      </c>
      <c r="E565" s="184"/>
      <c r="F565" s="184"/>
    </row>
    <row r="566" spans="1:6" ht="12" customHeight="1" x14ac:dyDescent="0.3">
      <c r="A566" s="68">
        <v>2</v>
      </c>
      <c r="B566" s="166" t="s">
        <v>5043</v>
      </c>
      <c r="C566" s="72" t="s">
        <v>5044</v>
      </c>
      <c r="D566" s="68">
        <v>2</v>
      </c>
      <c r="E566" s="184"/>
      <c r="F566" s="184"/>
    </row>
    <row r="567" spans="1:6" ht="12" customHeight="1" x14ac:dyDescent="0.3">
      <c r="A567" s="68">
        <v>3</v>
      </c>
      <c r="B567" s="166" t="s">
        <v>5045</v>
      </c>
      <c r="C567" s="72" t="s">
        <v>5046</v>
      </c>
      <c r="D567" s="68">
        <v>2</v>
      </c>
      <c r="E567" s="184"/>
      <c r="F567" s="184"/>
    </row>
    <row r="568" spans="1:6" ht="20.25" customHeight="1" x14ac:dyDescent="0.3">
      <c r="A568" s="68">
        <v>4</v>
      </c>
      <c r="B568" s="166" t="s">
        <v>5047</v>
      </c>
      <c r="C568" s="72" t="s">
        <v>5048</v>
      </c>
      <c r="D568" s="68">
        <v>1</v>
      </c>
      <c r="E568" s="184"/>
      <c r="F568" s="184"/>
    </row>
    <row r="569" spans="1:6" ht="12" customHeight="1" x14ac:dyDescent="0.3">
      <c r="A569" s="68">
        <v>5</v>
      </c>
      <c r="B569" s="166" t="s">
        <v>5049</v>
      </c>
      <c r="C569" s="72" t="s">
        <v>5050</v>
      </c>
      <c r="D569" s="68">
        <v>1</v>
      </c>
      <c r="E569" s="184"/>
      <c r="F569" s="184"/>
    </row>
    <row r="570" spans="1:6" ht="12" customHeight="1" x14ac:dyDescent="0.3">
      <c r="A570" s="182" t="s">
        <v>5051</v>
      </c>
      <c r="B570" s="163" t="s">
        <v>5052</v>
      </c>
      <c r="C570" s="11"/>
      <c r="D570" s="11"/>
      <c r="E570" s="11"/>
      <c r="F570" s="11"/>
    </row>
    <row r="571" spans="1:6" ht="18" customHeight="1" x14ac:dyDescent="0.3">
      <c r="A571" s="68">
        <v>1</v>
      </c>
      <c r="B571" s="9" t="s">
        <v>5053</v>
      </c>
      <c r="C571" s="72" t="s">
        <v>5054</v>
      </c>
      <c r="D571" s="68">
        <v>1</v>
      </c>
      <c r="E571" s="184"/>
      <c r="F571" s="184"/>
    </row>
    <row r="572" spans="1:6" ht="12" customHeight="1" x14ac:dyDescent="0.3">
      <c r="A572" s="182" t="s">
        <v>5055</v>
      </c>
      <c r="B572" s="163" t="s">
        <v>5056</v>
      </c>
      <c r="C572" s="11"/>
      <c r="D572" s="11"/>
      <c r="E572" s="11"/>
      <c r="F572" s="11"/>
    </row>
    <row r="573" spans="1:6" ht="33.75" customHeight="1" x14ac:dyDescent="0.3">
      <c r="A573" s="68">
        <v>1</v>
      </c>
      <c r="B573" s="166" t="s">
        <v>5057</v>
      </c>
      <c r="C573" s="72" t="s">
        <v>5058</v>
      </c>
      <c r="D573" s="68">
        <v>1</v>
      </c>
      <c r="E573" s="184"/>
      <c r="F573" s="184"/>
    </row>
    <row r="574" spans="1:6" ht="12" customHeight="1" x14ac:dyDescent="0.3">
      <c r="A574" s="182" t="s">
        <v>5059</v>
      </c>
      <c r="B574" s="163" t="s">
        <v>5060</v>
      </c>
      <c r="C574" s="11"/>
      <c r="D574" s="11"/>
      <c r="E574" s="11"/>
      <c r="F574" s="11"/>
    </row>
    <row r="575" spans="1:6" ht="30.75" customHeight="1" x14ac:dyDescent="0.3">
      <c r="A575" s="83">
        <v>1</v>
      </c>
      <c r="B575" s="166" t="s">
        <v>5061</v>
      </c>
      <c r="C575" s="82" t="s">
        <v>5062</v>
      </c>
      <c r="D575" s="83">
        <v>4</v>
      </c>
      <c r="E575" s="183"/>
      <c r="F575" s="183"/>
    </row>
    <row r="576" spans="1:6" ht="30.75" customHeight="1" x14ac:dyDescent="0.3">
      <c r="A576" s="83">
        <v>2</v>
      </c>
      <c r="B576" s="166" t="s">
        <v>5063</v>
      </c>
      <c r="C576" s="82" t="s">
        <v>5064</v>
      </c>
      <c r="D576" s="83">
        <v>15</v>
      </c>
      <c r="E576" s="183"/>
      <c r="F576" s="183"/>
    </row>
    <row r="577" spans="1:6" ht="30.75" customHeight="1" x14ac:dyDescent="0.3">
      <c r="A577" s="83">
        <v>3</v>
      </c>
      <c r="B577" s="166" t="s">
        <v>5065</v>
      </c>
      <c r="C577" s="82" t="s">
        <v>5066</v>
      </c>
      <c r="D577" s="83">
        <v>2</v>
      </c>
      <c r="E577" s="183"/>
      <c r="F577" s="183"/>
    </row>
    <row r="578" spans="1:6" ht="30.75" customHeight="1" x14ac:dyDescent="0.3">
      <c r="A578" s="83">
        <v>4</v>
      </c>
      <c r="B578" s="166" t="s">
        <v>5067</v>
      </c>
      <c r="C578" s="82" t="s">
        <v>5068</v>
      </c>
      <c r="D578" s="83">
        <v>2</v>
      </c>
      <c r="E578" s="183"/>
      <c r="F578" s="183"/>
    </row>
    <row r="579" spans="1:6" ht="30.75" customHeight="1" x14ac:dyDescent="0.3">
      <c r="A579" s="83">
        <v>3</v>
      </c>
      <c r="B579" s="166" t="s">
        <v>5069</v>
      </c>
      <c r="C579" s="82" t="s">
        <v>5070</v>
      </c>
      <c r="D579" s="83">
        <v>100</v>
      </c>
      <c r="E579" s="185"/>
      <c r="F579" s="183"/>
    </row>
    <row r="580" spans="1:6" ht="30.75" customHeight="1" x14ac:dyDescent="0.3">
      <c r="A580" s="83">
        <v>4</v>
      </c>
      <c r="B580" s="166" t="s">
        <v>5071</v>
      </c>
      <c r="C580" s="82" t="s">
        <v>5072</v>
      </c>
      <c r="D580" s="83">
        <v>150</v>
      </c>
      <c r="E580" s="185"/>
      <c r="F580" s="183"/>
    </row>
    <row r="581" spans="1:6" ht="30.75" customHeight="1" x14ac:dyDescent="0.3">
      <c r="A581" s="83">
        <v>5</v>
      </c>
      <c r="B581" s="166" t="s">
        <v>5073</v>
      </c>
      <c r="C581" s="82" t="s">
        <v>5074</v>
      </c>
      <c r="D581" s="83">
        <v>1</v>
      </c>
      <c r="E581" s="183"/>
      <c r="F581" s="183"/>
    </row>
    <row r="582" spans="1:6" ht="30.75" customHeight="1" x14ac:dyDescent="0.3">
      <c r="A582" s="83">
        <v>6</v>
      </c>
      <c r="B582" s="166" t="s">
        <v>5075</v>
      </c>
      <c r="C582" s="82" t="s">
        <v>5076</v>
      </c>
      <c r="D582" s="83">
        <v>50</v>
      </c>
      <c r="E582" s="185"/>
      <c r="F582" s="183"/>
    </row>
    <row r="583" spans="1:6" ht="25.5" customHeight="1" x14ac:dyDescent="0.3">
      <c r="A583" s="68">
        <v>7</v>
      </c>
      <c r="B583" s="9" t="s">
        <v>5077</v>
      </c>
      <c r="C583" s="72" t="s">
        <v>5078</v>
      </c>
      <c r="D583" s="68">
        <v>1</v>
      </c>
      <c r="E583" s="184"/>
      <c r="F583" s="184"/>
    </row>
    <row r="584" spans="1:6" ht="12" customHeight="1" x14ac:dyDescent="0.3">
      <c r="A584" s="11"/>
      <c r="B584" s="162" t="s">
        <v>5079</v>
      </c>
      <c r="C584" s="11"/>
      <c r="D584" s="11"/>
      <c r="E584" s="11"/>
      <c r="F584" s="187"/>
    </row>
    <row r="585" spans="1:6" ht="9.75" customHeight="1" x14ac:dyDescent="0.3">
      <c r="A585" s="11"/>
      <c r="B585" s="162" t="s">
        <v>5080</v>
      </c>
      <c r="C585" s="11"/>
      <c r="D585" s="11"/>
      <c r="E585" s="11"/>
      <c r="F585" s="11"/>
    </row>
    <row r="586" spans="1:6" ht="12" customHeight="1" x14ac:dyDescent="0.3">
      <c r="A586" s="182" t="s">
        <v>5081</v>
      </c>
      <c r="B586" s="163" t="s">
        <v>5082</v>
      </c>
      <c r="C586" s="11"/>
      <c r="D586" s="11"/>
      <c r="E586" s="11"/>
      <c r="F586" s="11"/>
    </row>
    <row r="587" spans="1:6" ht="30.75" customHeight="1" x14ac:dyDescent="0.3">
      <c r="A587" s="83">
        <v>1</v>
      </c>
      <c r="B587" s="166" t="s">
        <v>5083</v>
      </c>
      <c r="C587" s="82" t="s">
        <v>5084</v>
      </c>
      <c r="D587" s="83">
        <v>1</v>
      </c>
      <c r="E587" s="183"/>
      <c r="F587" s="183"/>
    </row>
    <row r="588" spans="1:6" ht="42.75" customHeight="1" x14ac:dyDescent="0.3">
      <c r="A588" s="68">
        <v>2</v>
      </c>
      <c r="B588" s="166" t="s">
        <v>5085</v>
      </c>
      <c r="C588" s="72" t="s">
        <v>5086</v>
      </c>
      <c r="D588" s="68">
        <v>1</v>
      </c>
      <c r="E588" s="184"/>
      <c r="F588" s="184"/>
    </row>
    <row r="589" spans="1:6" ht="12" customHeight="1" x14ac:dyDescent="0.3">
      <c r="A589" s="182" t="s">
        <v>5087</v>
      </c>
      <c r="B589" s="163" t="s">
        <v>5088</v>
      </c>
      <c r="C589" s="11"/>
      <c r="D589" s="11"/>
      <c r="E589" s="11"/>
      <c r="F589" s="11"/>
    </row>
    <row r="590" spans="1:6" ht="42.75" customHeight="1" x14ac:dyDescent="0.3">
      <c r="A590" s="68">
        <v>1</v>
      </c>
      <c r="B590" s="166" t="s">
        <v>5089</v>
      </c>
      <c r="C590" s="72" t="s">
        <v>5090</v>
      </c>
      <c r="D590" s="68">
        <v>1</v>
      </c>
      <c r="E590" s="184"/>
      <c r="F590" s="184"/>
    </row>
    <row r="591" spans="1:6" ht="12" customHeight="1" x14ac:dyDescent="0.3">
      <c r="A591" s="182" t="s">
        <v>5091</v>
      </c>
      <c r="B591" s="163" t="s">
        <v>5092</v>
      </c>
      <c r="C591" s="11"/>
      <c r="D591" s="11"/>
      <c r="E591" s="11"/>
      <c r="F591" s="11"/>
    </row>
    <row r="592" spans="1:6" ht="18" customHeight="1" x14ac:dyDescent="0.3">
      <c r="A592" s="68">
        <v>1</v>
      </c>
      <c r="B592" s="9" t="s">
        <v>5093</v>
      </c>
      <c r="C592" s="72" t="s">
        <v>5094</v>
      </c>
      <c r="D592" s="68">
        <v>1</v>
      </c>
      <c r="E592" s="184"/>
      <c r="F592" s="184"/>
    </row>
    <row r="593" spans="1:6" ht="25.5" customHeight="1" x14ac:dyDescent="0.3">
      <c r="A593" s="68">
        <v>2</v>
      </c>
      <c r="B593" s="9" t="s">
        <v>5095</v>
      </c>
      <c r="C593" s="72" t="s">
        <v>5096</v>
      </c>
      <c r="D593" s="68">
        <v>1</v>
      </c>
      <c r="E593" s="184"/>
      <c r="F593" s="184"/>
    </row>
    <row r="594" spans="1:6" ht="30.75" customHeight="1" x14ac:dyDescent="0.3">
      <c r="A594" s="83">
        <v>3</v>
      </c>
      <c r="B594" s="166" t="s">
        <v>5097</v>
      </c>
      <c r="C594" s="82" t="s">
        <v>5098</v>
      </c>
      <c r="D594" s="83">
        <v>1</v>
      </c>
      <c r="E594" s="183"/>
      <c r="F594" s="183"/>
    </row>
    <row r="595" spans="1:6" ht="12" customHeight="1" x14ac:dyDescent="0.3">
      <c r="A595" s="182" t="s">
        <v>5099</v>
      </c>
      <c r="B595" s="163" t="s">
        <v>5100</v>
      </c>
      <c r="C595" s="11"/>
      <c r="D595" s="11"/>
      <c r="E595" s="11"/>
      <c r="F595" s="11"/>
    </row>
    <row r="596" spans="1:6" ht="30.75" customHeight="1" x14ac:dyDescent="0.3">
      <c r="A596" s="83">
        <v>1</v>
      </c>
      <c r="B596" s="166" t="s">
        <v>5101</v>
      </c>
      <c r="C596" s="82" t="s">
        <v>5102</v>
      </c>
      <c r="D596" s="83">
        <v>2</v>
      </c>
      <c r="E596" s="183"/>
      <c r="F596" s="183"/>
    </row>
    <row r="597" spans="1:6" ht="30.75" customHeight="1" x14ac:dyDescent="0.3">
      <c r="A597" s="83">
        <v>2</v>
      </c>
      <c r="B597" s="166" t="s">
        <v>5103</v>
      </c>
      <c r="C597" s="82" t="s">
        <v>5104</v>
      </c>
      <c r="D597" s="83">
        <v>4</v>
      </c>
      <c r="E597" s="183"/>
      <c r="F597" s="183"/>
    </row>
    <row r="598" spans="1:6" ht="30.75" customHeight="1" x14ac:dyDescent="0.3">
      <c r="A598" s="83">
        <v>3</v>
      </c>
      <c r="B598" s="166" t="s">
        <v>5105</v>
      </c>
      <c r="C598" s="82" t="s">
        <v>5106</v>
      </c>
      <c r="D598" s="83">
        <v>2</v>
      </c>
      <c r="E598" s="183"/>
      <c r="F598" s="183"/>
    </row>
    <row r="599" spans="1:6" ht="30.75" customHeight="1" x14ac:dyDescent="0.3">
      <c r="A599" s="83">
        <v>4</v>
      </c>
      <c r="B599" s="166" t="s">
        <v>5107</v>
      </c>
      <c r="C599" s="82" t="s">
        <v>5108</v>
      </c>
      <c r="D599" s="83">
        <v>2</v>
      </c>
      <c r="E599" s="183"/>
      <c r="F599" s="183"/>
    </row>
    <row r="600" spans="1:6" ht="30.75" customHeight="1" x14ac:dyDescent="0.3">
      <c r="A600" s="83">
        <v>5</v>
      </c>
      <c r="B600" s="166" t="s">
        <v>5109</v>
      </c>
      <c r="C600" s="82" t="s">
        <v>5110</v>
      </c>
      <c r="D600" s="83">
        <v>20</v>
      </c>
      <c r="E600" s="185"/>
      <c r="F600" s="183"/>
    </row>
    <row r="601" spans="1:6" ht="12" customHeight="1" x14ac:dyDescent="0.3">
      <c r="A601" s="11"/>
      <c r="B601" s="162" t="s">
        <v>5111</v>
      </c>
      <c r="C601" s="11"/>
      <c r="D601" s="11"/>
      <c r="E601" s="11"/>
      <c r="F601" s="187"/>
    </row>
    <row r="602" spans="1:6" ht="9.75" customHeight="1" x14ac:dyDescent="0.3">
      <c r="A602" s="11"/>
      <c r="B602" s="162" t="s">
        <v>5112</v>
      </c>
      <c r="C602" s="11"/>
      <c r="D602" s="11"/>
      <c r="E602" s="11"/>
      <c r="F602" s="11"/>
    </row>
    <row r="603" spans="1:6" ht="12" customHeight="1" x14ac:dyDescent="0.3">
      <c r="A603" s="182" t="s">
        <v>5113</v>
      </c>
      <c r="B603" s="163" t="s">
        <v>5114</v>
      </c>
      <c r="C603" s="11"/>
      <c r="D603" s="11"/>
      <c r="E603" s="11"/>
      <c r="F603" s="11"/>
    </row>
    <row r="604" spans="1:6" ht="30.75" customHeight="1" x14ac:dyDescent="0.3">
      <c r="A604" s="83">
        <v>1</v>
      </c>
      <c r="B604" s="166" t="s">
        <v>5115</v>
      </c>
      <c r="C604" s="82" t="s">
        <v>5116</v>
      </c>
      <c r="D604" s="83">
        <v>1</v>
      </c>
      <c r="E604" s="183"/>
      <c r="F604" s="183"/>
    </row>
    <row r="605" spans="1:6" ht="42.75" customHeight="1" x14ac:dyDescent="0.3">
      <c r="A605" s="68">
        <v>2</v>
      </c>
      <c r="B605" s="166" t="s">
        <v>5117</v>
      </c>
      <c r="C605" s="72" t="s">
        <v>5118</v>
      </c>
      <c r="D605" s="68">
        <v>1</v>
      </c>
      <c r="E605" s="184"/>
      <c r="F605" s="184"/>
    </row>
    <row r="606" spans="1:6" ht="12" customHeight="1" x14ac:dyDescent="0.3">
      <c r="A606" s="182" t="s">
        <v>5119</v>
      </c>
      <c r="B606" s="163" t="s">
        <v>5120</v>
      </c>
      <c r="C606" s="11"/>
      <c r="D606" s="11"/>
      <c r="E606" s="11"/>
      <c r="F606" s="11"/>
    </row>
    <row r="607" spans="1:6" ht="42.75" customHeight="1" x14ac:dyDescent="0.3">
      <c r="A607" s="68">
        <v>1</v>
      </c>
      <c r="B607" s="166" t="s">
        <v>5121</v>
      </c>
      <c r="C607" s="72" t="s">
        <v>5122</v>
      </c>
      <c r="D607" s="68">
        <v>1</v>
      </c>
      <c r="E607" s="184"/>
      <c r="F607" s="184"/>
    </row>
    <row r="608" spans="1:6" ht="12" customHeight="1" x14ac:dyDescent="0.3">
      <c r="A608" s="182" t="s">
        <v>5123</v>
      </c>
      <c r="B608" s="163" t="s">
        <v>5124</v>
      </c>
      <c r="C608" s="11"/>
      <c r="D608" s="11"/>
      <c r="E608" s="11"/>
      <c r="F608" s="11"/>
    </row>
    <row r="609" spans="1:6" ht="18" customHeight="1" x14ac:dyDescent="0.3">
      <c r="A609" s="68">
        <v>1</v>
      </c>
      <c r="B609" s="9" t="s">
        <v>5125</v>
      </c>
      <c r="C609" s="72" t="s">
        <v>5126</v>
      </c>
      <c r="D609" s="68">
        <v>1</v>
      </c>
      <c r="E609" s="184"/>
      <c r="F609" s="184"/>
    </row>
    <row r="610" spans="1:6" ht="25.5" customHeight="1" x14ac:dyDescent="0.3">
      <c r="A610" s="68">
        <v>2</v>
      </c>
      <c r="B610" s="9" t="s">
        <v>5127</v>
      </c>
      <c r="C610" s="72" t="s">
        <v>5128</v>
      </c>
      <c r="D610" s="68">
        <v>1</v>
      </c>
      <c r="E610" s="184"/>
      <c r="F610" s="184"/>
    </row>
    <row r="611" spans="1:6" ht="30.75" customHeight="1" x14ac:dyDescent="0.3">
      <c r="A611" s="83">
        <v>3</v>
      </c>
      <c r="B611" s="166" t="s">
        <v>5129</v>
      </c>
      <c r="C611" s="82" t="s">
        <v>5130</v>
      </c>
      <c r="D611" s="83">
        <v>1</v>
      </c>
      <c r="E611" s="183"/>
      <c r="F611" s="183"/>
    </row>
    <row r="612" spans="1:6" ht="12" customHeight="1" x14ac:dyDescent="0.3">
      <c r="A612" s="182" t="s">
        <v>5131</v>
      </c>
      <c r="B612" s="163" t="s">
        <v>5132</v>
      </c>
      <c r="C612" s="11"/>
      <c r="D612" s="11"/>
      <c r="E612" s="11"/>
      <c r="F612" s="11"/>
    </row>
    <row r="613" spans="1:6" ht="30.75" customHeight="1" x14ac:dyDescent="0.3">
      <c r="A613" s="83">
        <v>1</v>
      </c>
      <c r="B613" s="166" t="s">
        <v>5133</v>
      </c>
      <c r="C613" s="82" t="s">
        <v>5134</v>
      </c>
      <c r="D613" s="83">
        <v>2</v>
      </c>
      <c r="E613" s="183"/>
      <c r="F613" s="183"/>
    </row>
    <row r="614" spans="1:6" ht="30.75" customHeight="1" x14ac:dyDescent="0.3">
      <c r="A614" s="83">
        <v>2</v>
      </c>
      <c r="B614" s="166" t="s">
        <v>5135</v>
      </c>
      <c r="C614" s="82" t="s">
        <v>5136</v>
      </c>
      <c r="D614" s="83">
        <v>4</v>
      </c>
      <c r="E614" s="183"/>
      <c r="F614" s="183"/>
    </row>
    <row r="615" spans="1:6" ht="30.75" customHeight="1" x14ac:dyDescent="0.3">
      <c r="A615" s="83">
        <v>3</v>
      </c>
      <c r="B615" s="166" t="s">
        <v>5137</v>
      </c>
      <c r="C615" s="82" t="s">
        <v>5138</v>
      </c>
      <c r="D615" s="83">
        <v>2</v>
      </c>
      <c r="E615" s="183"/>
      <c r="F615" s="183"/>
    </row>
    <row r="616" spans="1:6" ht="30.75" customHeight="1" x14ac:dyDescent="0.3">
      <c r="A616" s="83">
        <v>4</v>
      </c>
      <c r="B616" s="166" t="s">
        <v>5139</v>
      </c>
      <c r="C616" s="82" t="s">
        <v>5140</v>
      </c>
      <c r="D616" s="83">
        <v>2</v>
      </c>
      <c r="E616" s="183"/>
      <c r="F616" s="183"/>
    </row>
    <row r="617" spans="1:6" ht="30.75" customHeight="1" x14ac:dyDescent="0.3">
      <c r="A617" s="83">
        <v>5</v>
      </c>
      <c r="B617" s="166" t="s">
        <v>5141</v>
      </c>
      <c r="C617" s="82" t="s">
        <v>5142</v>
      </c>
      <c r="D617" s="83">
        <v>20</v>
      </c>
      <c r="E617" s="185"/>
      <c r="F617" s="183"/>
    </row>
    <row r="618" spans="1:6" ht="12" customHeight="1" x14ac:dyDescent="0.3">
      <c r="A618" s="11"/>
      <c r="B618" s="162" t="s">
        <v>5143</v>
      </c>
      <c r="C618" s="11"/>
      <c r="D618" s="11"/>
      <c r="E618" s="11"/>
      <c r="F618" s="187"/>
    </row>
    <row r="619" spans="1:6" ht="9.75" customHeight="1" x14ac:dyDescent="0.3">
      <c r="A619" s="11"/>
      <c r="B619" s="162" t="s">
        <v>5144</v>
      </c>
      <c r="C619" s="11"/>
      <c r="D619" s="11"/>
      <c r="E619" s="11"/>
      <c r="F619" s="11"/>
    </row>
    <row r="620" spans="1:6" ht="12" customHeight="1" x14ac:dyDescent="0.3">
      <c r="A620" s="182" t="s">
        <v>5145</v>
      </c>
      <c r="B620" s="163" t="s">
        <v>5146</v>
      </c>
      <c r="C620" s="11"/>
      <c r="D620" s="11"/>
      <c r="E620" s="11"/>
      <c r="F620" s="11"/>
    </row>
    <row r="621" spans="1:6" ht="30.75" customHeight="1" x14ac:dyDescent="0.3">
      <c r="A621" s="83">
        <v>1</v>
      </c>
      <c r="B621" s="9" t="s">
        <v>5147</v>
      </c>
      <c r="C621" s="82" t="s">
        <v>5148</v>
      </c>
      <c r="D621" s="83">
        <v>1</v>
      </c>
      <c r="E621" s="183"/>
      <c r="F621" s="183"/>
    </row>
    <row r="622" spans="1:6" ht="30.75" customHeight="1" x14ac:dyDescent="0.3">
      <c r="A622" s="83">
        <v>2</v>
      </c>
      <c r="B622" s="9" t="s">
        <v>5149</v>
      </c>
      <c r="C622" s="82" t="s">
        <v>5150</v>
      </c>
      <c r="D622" s="83">
        <v>1</v>
      </c>
      <c r="E622" s="183"/>
      <c r="F622" s="183"/>
    </row>
    <row r="623" spans="1:6" ht="42.75" customHeight="1" x14ac:dyDescent="0.3">
      <c r="A623" s="68">
        <v>3</v>
      </c>
      <c r="B623" s="166" t="s">
        <v>5151</v>
      </c>
      <c r="C623" s="72" t="s">
        <v>5152</v>
      </c>
      <c r="D623" s="68">
        <v>2</v>
      </c>
      <c r="E623" s="184"/>
      <c r="F623" s="184"/>
    </row>
    <row r="624" spans="1:6" ht="12" customHeight="1" x14ac:dyDescent="0.3">
      <c r="A624" s="182" t="s">
        <v>5153</v>
      </c>
      <c r="B624" s="163" t="s">
        <v>5154</v>
      </c>
      <c r="C624" s="11"/>
      <c r="D624" s="11"/>
      <c r="E624" s="11"/>
      <c r="F624" s="11"/>
    </row>
    <row r="625" spans="1:6" ht="33.75" customHeight="1" x14ac:dyDescent="0.3">
      <c r="A625" s="68">
        <v>1</v>
      </c>
      <c r="B625" s="9" t="s">
        <v>5155</v>
      </c>
      <c r="C625" s="72" t="s">
        <v>5156</v>
      </c>
      <c r="D625" s="68">
        <v>1</v>
      </c>
      <c r="E625" s="184"/>
      <c r="F625" s="184"/>
    </row>
    <row r="626" spans="1:6" ht="12" customHeight="1" x14ac:dyDescent="0.3">
      <c r="A626" s="182" t="s">
        <v>5157</v>
      </c>
      <c r="B626" s="163" t="s">
        <v>5158</v>
      </c>
      <c r="C626" s="11"/>
      <c r="D626" s="11"/>
      <c r="E626" s="11"/>
      <c r="F626" s="11"/>
    </row>
    <row r="627" spans="1:6" ht="18" customHeight="1" x14ac:dyDescent="0.3">
      <c r="A627" s="68">
        <v>1</v>
      </c>
      <c r="B627" s="9" t="s">
        <v>5159</v>
      </c>
      <c r="C627" s="72" t="s">
        <v>5160</v>
      </c>
      <c r="D627" s="68">
        <v>2</v>
      </c>
      <c r="E627" s="184"/>
      <c r="F627" s="184"/>
    </row>
    <row r="628" spans="1:6" ht="25.5" customHeight="1" x14ac:dyDescent="0.3">
      <c r="A628" s="68">
        <v>2</v>
      </c>
      <c r="B628" s="9" t="s">
        <v>5161</v>
      </c>
      <c r="C628" s="72" t="s">
        <v>5162</v>
      </c>
      <c r="D628" s="68">
        <v>1</v>
      </c>
      <c r="E628" s="184"/>
      <c r="F628" s="184"/>
    </row>
    <row r="629" spans="1:6" ht="30.75" customHeight="1" x14ac:dyDescent="0.3">
      <c r="A629" s="83">
        <v>3</v>
      </c>
      <c r="B629" s="166" t="s">
        <v>5163</v>
      </c>
      <c r="C629" s="82" t="s">
        <v>5164</v>
      </c>
      <c r="D629" s="83">
        <v>2</v>
      </c>
      <c r="E629" s="183"/>
      <c r="F629" s="183"/>
    </row>
    <row r="630" spans="1:6" ht="12" customHeight="1" x14ac:dyDescent="0.3">
      <c r="A630" s="182" t="s">
        <v>5165</v>
      </c>
      <c r="B630" s="163" t="s">
        <v>5166</v>
      </c>
      <c r="C630" s="11"/>
      <c r="D630" s="11"/>
      <c r="E630" s="11"/>
      <c r="F630" s="11"/>
    </row>
    <row r="631" spans="1:6" ht="30.75" customHeight="1" x14ac:dyDescent="0.3">
      <c r="A631" s="83">
        <v>1</v>
      </c>
      <c r="B631" s="166" t="s">
        <v>5167</v>
      </c>
      <c r="C631" s="82" t="s">
        <v>5168</v>
      </c>
      <c r="D631" s="83">
        <v>2</v>
      </c>
      <c r="E631" s="183"/>
      <c r="F631" s="183"/>
    </row>
    <row r="632" spans="1:6" ht="30.75" customHeight="1" x14ac:dyDescent="0.3">
      <c r="A632" s="83">
        <v>2</v>
      </c>
      <c r="B632" s="166" t="s">
        <v>5169</v>
      </c>
      <c r="C632" s="82" t="s">
        <v>5170</v>
      </c>
      <c r="D632" s="83">
        <v>6</v>
      </c>
      <c r="E632" s="183"/>
      <c r="F632" s="183"/>
    </row>
    <row r="633" spans="1:6" ht="30.75" customHeight="1" x14ac:dyDescent="0.3">
      <c r="A633" s="83">
        <v>3</v>
      </c>
      <c r="B633" s="166" t="s">
        <v>5171</v>
      </c>
      <c r="C633" s="82" t="s">
        <v>5172</v>
      </c>
      <c r="D633" s="83">
        <v>4</v>
      </c>
      <c r="E633" s="183"/>
      <c r="F633" s="183"/>
    </row>
    <row r="634" spans="1:6" ht="30.75" customHeight="1" x14ac:dyDescent="0.3">
      <c r="A634" s="83">
        <v>4</v>
      </c>
      <c r="B634" s="166" t="s">
        <v>5173</v>
      </c>
      <c r="C634" s="82" t="s">
        <v>5174</v>
      </c>
      <c r="D634" s="83">
        <v>20</v>
      </c>
      <c r="E634" s="185"/>
      <c r="F634" s="183"/>
    </row>
    <row r="635" spans="1:6" ht="12" customHeight="1" x14ac:dyDescent="0.3">
      <c r="A635" s="11"/>
      <c r="B635" s="162" t="s">
        <v>5175</v>
      </c>
      <c r="C635" s="11"/>
      <c r="D635" s="11"/>
      <c r="E635" s="11"/>
      <c r="F635" s="187"/>
    </row>
    <row r="636" spans="1:6" ht="9.75" customHeight="1" x14ac:dyDescent="0.3">
      <c r="A636" s="11"/>
      <c r="B636" s="162" t="s">
        <v>5176</v>
      </c>
      <c r="C636" s="11"/>
      <c r="D636" s="11"/>
      <c r="E636" s="11"/>
      <c r="F636" s="11"/>
    </row>
    <row r="637" spans="1:6" ht="12" customHeight="1" x14ac:dyDescent="0.3">
      <c r="A637" s="182" t="s">
        <v>5177</v>
      </c>
      <c r="B637" s="163" t="s">
        <v>5178</v>
      </c>
      <c r="C637" s="11"/>
      <c r="D637" s="11"/>
      <c r="E637" s="11"/>
      <c r="F637" s="11"/>
    </row>
    <row r="638" spans="1:6" ht="51" customHeight="1" x14ac:dyDescent="0.3">
      <c r="A638" s="83">
        <v>1</v>
      </c>
      <c r="B638" s="9" t="s">
        <v>5179</v>
      </c>
      <c r="C638" s="82" t="s">
        <v>5180</v>
      </c>
      <c r="D638" s="83">
        <v>1</v>
      </c>
      <c r="E638" s="183"/>
      <c r="F638" s="183"/>
    </row>
    <row r="639" spans="1:6" ht="30.75" customHeight="1" x14ac:dyDescent="0.3">
      <c r="A639" s="83">
        <v>3</v>
      </c>
      <c r="B639" s="166" t="s">
        <v>5181</v>
      </c>
      <c r="C639" s="82" t="s">
        <v>5182</v>
      </c>
      <c r="D639" s="83">
        <v>5</v>
      </c>
      <c r="E639" s="183"/>
      <c r="F639" s="183"/>
    </row>
    <row r="640" spans="1:6" ht="42.75" customHeight="1" x14ac:dyDescent="0.3">
      <c r="A640" s="68">
        <v>4</v>
      </c>
      <c r="B640" s="166" t="s">
        <v>5183</v>
      </c>
      <c r="C640" s="72" t="s">
        <v>5184</v>
      </c>
      <c r="D640" s="68">
        <v>5</v>
      </c>
      <c r="E640" s="184"/>
      <c r="F640" s="184"/>
    </row>
    <row r="641" spans="1:6" ht="30.75" customHeight="1" x14ac:dyDescent="0.3">
      <c r="A641" s="83">
        <v>5</v>
      </c>
      <c r="B641" s="9" t="s">
        <v>5185</v>
      </c>
      <c r="C641" s="82" t="s">
        <v>5186</v>
      </c>
      <c r="D641" s="83">
        <v>5</v>
      </c>
      <c r="E641" s="183"/>
      <c r="F641" s="183"/>
    </row>
    <row r="642" spans="1:6" ht="30.75" customHeight="1" x14ac:dyDescent="0.3">
      <c r="A642" s="83">
        <v>6</v>
      </c>
      <c r="B642" s="9" t="s">
        <v>5187</v>
      </c>
      <c r="C642" s="82" t="s">
        <v>5188</v>
      </c>
      <c r="D642" s="83">
        <v>5</v>
      </c>
      <c r="E642" s="183"/>
      <c r="F642" s="183"/>
    </row>
    <row r="643" spans="1:6" ht="12" customHeight="1" x14ac:dyDescent="0.3">
      <c r="A643" s="182" t="s">
        <v>5189</v>
      </c>
      <c r="B643" s="163" t="s">
        <v>5190</v>
      </c>
      <c r="C643" s="11"/>
      <c r="D643" s="11"/>
      <c r="E643" s="11"/>
      <c r="F643" s="11"/>
    </row>
    <row r="644" spans="1:6" ht="33.75" customHeight="1" x14ac:dyDescent="0.3">
      <c r="A644" s="68">
        <v>1</v>
      </c>
      <c r="B644" s="9" t="s">
        <v>5191</v>
      </c>
      <c r="C644" s="72" t="s">
        <v>5192</v>
      </c>
      <c r="D644" s="68">
        <v>5</v>
      </c>
      <c r="E644" s="184"/>
      <c r="F644" s="184"/>
    </row>
    <row r="645" spans="1:6" ht="18" customHeight="1" x14ac:dyDescent="0.3">
      <c r="A645" s="68">
        <v>2</v>
      </c>
      <c r="B645" s="9" t="s">
        <v>5193</v>
      </c>
      <c r="C645" s="72" t="s">
        <v>5194</v>
      </c>
      <c r="D645" s="68">
        <v>1</v>
      </c>
      <c r="E645" s="184"/>
      <c r="F645" s="184"/>
    </row>
    <row r="646" spans="1:6" ht="17.25" customHeight="1" x14ac:dyDescent="0.3">
      <c r="A646" s="68">
        <v>3</v>
      </c>
      <c r="B646" s="166" t="s">
        <v>5195</v>
      </c>
      <c r="C646" s="72" t="s">
        <v>5196</v>
      </c>
      <c r="D646" s="68">
        <v>1</v>
      </c>
      <c r="E646" s="184"/>
      <c r="F646" s="184"/>
    </row>
    <row r="647" spans="1:6" ht="12" customHeight="1" x14ac:dyDescent="0.3">
      <c r="A647" s="182" t="s">
        <v>5197</v>
      </c>
      <c r="B647" s="163" t="s">
        <v>5198</v>
      </c>
      <c r="C647" s="11"/>
      <c r="D647" s="11"/>
      <c r="E647" s="11"/>
      <c r="F647" s="11"/>
    </row>
    <row r="648" spans="1:6" ht="68.25" customHeight="1" x14ac:dyDescent="0.3">
      <c r="A648" s="83">
        <v>1</v>
      </c>
      <c r="B648" s="166" t="s">
        <v>5199</v>
      </c>
      <c r="C648" s="82" t="s">
        <v>5200</v>
      </c>
      <c r="D648" s="83">
        <v>3</v>
      </c>
      <c r="E648" s="183"/>
      <c r="F648" s="183"/>
    </row>
    <row r="649" spans="1:6" ht="77.25" customHeight="1" x14ac:dyDescent="0.3">
      <c r="A649" s="83">
        <v>2</v>
      </c>
      <c r="B649" s="166" t="s">
        <v>5201</v>
      </c>
      <c r="C649" s="82" t="s">
        <v>5202</v>
      </c>
      <c r="D649" s="83">
        <v>1</v>
      </c>
      <c r="E649" s="183"/>
      <c r="F649" s="183"/>
    </row>
    <row r="650" spans="1:6" ht="33.75" customHeight="1" x14ac:dyDescent="0.3">
      <c r="A650" s="68">
        <v>3</v>
      </c>
      <c r="B650" s="166" t="s">
        <v>5203</v>
      </c>
      <c r="C650" s="72" t="s">
        <v>5204</v>
      </c>
      <c r="D650" s="68">
        <v>12</v>
      </c>
      <c r="E650" s="184"/>
      <c r="F650" s="184"/>
    </row>
    <row r="651" spans="1:6" ht="42.75" customHeight="1" x14ac:dyDescent="0.3">
      <c r="A651" s="68">
        <v>4</v>
      </c>
      <c r="B651" s="9" t="s">
        <v>5205</v>
      </c>
      <c r="C651" s="72" t="s">
        <v>5206</v>
      </c>
      <c r="D651" s="68">
        <v>2</v>
      </c>
      <c r="E651" s="184"/>
      <c r="F651" s="184"/>
    </row>
    <row r="652" spans="1:6" ht="12" customHeight="1" x14ac:dyDescent="0.3">
      <c r="A652" s="182" t="s">
        <v>5207</v>
      </c>
      <c r="B652" s="163" t="s">
        <v>5208</v>
      </c>
      <c r="C652" s="11"/>
      <c r="D652" s="11"/>
      <c r="E652" s="11"/>
      <c r="F652" s="11"/>
    </row>
    <row r="653" spans="1:6" ht="18" customHeight="1" x14ac:dyDescent="0.3">
      <c r="A653" s="68">
        <v>1</v>
      </c>
      <c r="B653" s="9" t="s">
        <v>5209</v>
      </c>
      <c r="C653" s="72" t="s">
        <v>5210</v>
      </c>
      <c r="D653" s="68">
        <v>8</v>
      </c>
      <c r="E653" s="184"/>
      <c r="F653" s="184"/>
    </row>
    <row r="654" spans="1:6" ht="25.5" customHeight="1" x14ac:dyDescent="0.3">
      <c r="A654" s="68">
        <v>2</v>
      </c>
      <c r="B654" s="9" t="s">
        <v>5211</v>
      </c>
      <c r="C654" s="72" t="s">
        <v>5212</v>
      </c>
      <c r="D654" s="68">
        <v>1</v>
      </c>
      <c r="E654" s="184"/>
      <c r="F654" s="184"/>
    </row>
    <row r="655" spans="1:6" ht="30.75" customHeight="1" x14ac:dyDescent="0.3">
      <c r="A655" s="83">
        <v>3</v>
      </c>
      <c r="B655" s="166" t="s">
        <v>5213</v>
      </c>
      <c r="C655" s="82" t="s">
        <v>5214</v>
      </c>
      <c r="D655" s="83">
        <v>3</v>
      </c>
      <c r="E655" s="183"/>
      <c r="F655" s="183"/>
    </row>
    <row r="656" spans="1:6" ht="18" customHeight="1" x14ac:dyDescent="0.3">
      <c r="A656" s="68">
        <v>4</v>
      </c>
      <c r="B656" s="9" t="s">
        <v>5215</v>
      </c>
      <c r="C656" s="72" t="s">
        <v>5216</v>
      </c>
      <c r="D656" s="68">
        <v>1</v>
      </c>
      <c r="E656" s="184"/>
      <c r="F656" s="184"/>
    </row>
    <row r="657" spans="1:6" ht="33.75" customHeight="1" x14ac:dyDescent="0.3">
      <c r="A657" s="68">
        <v>5</v>
      </c>
      <c r="B657" s="9" t="s">
        <v>5217</v>
      </c>
      <c r="C657" s="72" t="s">
        <v>5218</v>
      </c>
      <c r="D657" s="68">
        <v>1</v>
      </c>
      <c r="E657" s="184"/>
      <c r="F657" s="184"/>
    </row>
    <row r="658" spans="1:6" ht="30.75" customHeight="1" x14ac:dyDescent="0.3">
      <c r="A658" s="83">
        <v>6</v>
      </c>
      <c r="B658" s="166" t="s">
        <v>5219</v>
      </c>
      <c r="C658" s="82" t="s">
        <v>5220</v>
      </c>
      <c r="D658" s="83">
        <v>1</v>
      </c>
      <c r="E658" s="183"/>
      <c r="F658" s="183"/>
    </row>
    <row r="659" spans="1:6" ht="12" customHeight="1" x14ac:dyDescent="0.3">
      <c r="A659" s="182" t="s">
        <v>5221</v>
      </c>
      <c r="B659" s="163" t="s">
        <v>5222</v>
      </c>
      <c r="C659" s="11"/>
      <c r="D659" s="11"/>
      <c r="E659" s="11"/>
      <c r="F659" s="11"/>
    </row>
    <row r="660" spans="1:6" ht="33.75" customHeight="1" x14ac:dyDescent="0.3">
      <c r="A660" s="68">
        <v>1</v>
      </c>
      <c r="B660" s="166" t="s">
        <v>5223</v>
      </c>
      <c r="C660" s="72" t="s">
        <v>5224</v>
      </c>
      <c r="D660" s="68">
        <v>1</v>
      </c>
      <c r="E660" s="184"/>
      <c r="F660" s="184"/>
    </row>
    <row r="661" spans="1:6" ht="12" customHeight="1" x14ac:dyDescent="0.3">
      <c r="A661" s="182" t="s">
        <v>5225</v>
      </c>
      <c r="B661" s="163" t="s">
        <v>5226</v>
      </c>
      <c r="C661" s="11"/>
      <c r="D661" s="11"/>
      <c r="E661" s="11"/>
      <c r="F661" s="11"/>
    </row>
    <row r="662" spans="1:6" ht="30.75" customHeight="1" x14ac:dyDescent="0.3">
      <c r="A662" s="83">
        <v>1</v>
      </c>
      <c r="B662" s="166" t="s">
        <v>5227</v>
      </c>
      <c r="C662" s="82" t="s">
        <v>5228</v>
      </c>
      <c r="D662" s="83">
        <v>6</v>
      </c>
      <c r="E662" s="183"/>
      <c r="F662" s="183"/>
    </row>
    <row r="663" spans="1:6" ht="30.75" customHeight="1" x14ac:dyDescent="0.3">
      <c r="A663" s="83">
        <v>2</v>
      </c>
      <c r="B663" s="166" t="s">
        <v>5229</v>
      </c>
      <c r="C663" s="82" t="s">
        <v>5230</v>
      </c>
      <c r="D663" s="83">
        <v>150</v>
      </c>
      <c r="E663" s="185"/>
      <c r="F663" s="183"/>
    </row>
    <row r="664" spans="1:6" ht="30.75" customHeight="1" x14ac:dyDescent="0.3">
      <c r="A664" s="83">
        <v>3</v>
      </c>
      <c r="B664" s="166" t="s">
        <v>5231</v>
      </c>
      <c r="C664" s="82" t="s">
        <v>5232</v>
      </c>
      <c r="D664" s="83">
        <v>15</v>
      </c>
      <c r="E664" s="183"/>
      <c r="F664" s="183"/>
    </row>
    <row r="665" spans="1:6" ht="30.75" customHeight="1" x14ac:dyDescent="0.3">
      <c r="A665" s="83">
        <v>4</v>
      </c>
      <c r="B665" s="166" t="s">
        <v>5233</v>
      </c>
      <c r="C665" s="82" t="s">
        <v>5234</v>
      </c>
      <c r="D665" s="83">
        <v>4</v>
      </c>
      <c r="E665" s="183"/>
      <c r="F665" s="183"/>
    </row>
    <row r="666" spans="1:6" ht="30.75" customHeight="1" x14ac:dyDescent="0.3">
      <c r="A666" s="83">
        <v>5</v>
      </c>
      <c r="B666" s="166" t="s">
        <v>5235</v>
      </c>
      <c r="C666" s="82" t="s">
        <v>5236</v>
      </c>
      <c r="D666" s="83">
        <v>4</v>
      </c>
      <c r="E666" s="183"/>
      <c r="F666" s="183"/>
    </row>
    <row r="667" spans="1:6" ht="30.75" customHeight="1" x14ac:dyDescent="0.3">
      <c r="A667" s="83">
        <v>6</v>
      </c>
      <c r="B667" s="166" t="s">
        <v>5237</v>
      </c>
      <c r="C667" s="82" t="s">
        <v>5238</v>
      </c>
      <c r="D667" s="83">
        <v>100</v>
      </c>
      <c r="E667" s="185"/>
      <c r="F667" s="183"/>
    </row>
    <row r="668" spans="1:6" ht="30.75" customHeight="1" x14ac:dyDescent="0.3">
      <c r="A668" s="83">
        <v>7</v>
      </c>
      <c r="B668" s="166" t="s">
        <v>5239</v>
      </c>
      <c r="C668" s="82" t="s">
        <v>5240</v>
      </c>
      <c r="D668" s="83">
        <v>150</v>
      </c>
      <c r="E668" s="185"/>
      <c r="F668" s="183"/>
    </row>
    <row r="669" spans="1:6" ht="30.75" customHeight="1" x14ac:dyDescent="0.3">
      <c r="A669" s="83">
        <v>8</v>
      </c>
      <c r="B669" s="166" t="s">
        <v>5241</v>
      </c>
      <c r="C669" s="82" t="s">
        <v>5242</v>
      </c>
      <c r="D669" s="83">
        <v>6</v>
      </c>
      <c r="E669" s="183"/>
      <c r="F669" s="183"/>
    </row>
    <row r="670" spans="1:6" ht="25.5" customHeight="1" x14ac:dyDescent="0.3">
      <c r="A670" s="68">
        <v>9</v>
      </c>
      <c r="B670" s="9" t="s">
        <v>5243</v>
      </c>
      <c r="C670" s="72" t="s">
        <v>5244</v>
      </c>
      <c r="D670" s="68">
        <v>1</v>
      </c>
      <c r="E670" s="184"/>
      <c r="F670" s="184"/>
    </row>
    <row r="671" spans="1:6" ht="12" customHeight="1" x14ac:dyDescent="0.3">
      <c r="A671" s="11"/>
      <c r="B671" s="162" t="s">
        <v>5245</v>
      </c>
      <c r="C671" s="11"/>
      <c r="D671" s="11"/>
      <c r="E671" s="11"/>
      <c r="F671" s="187"/>
    </row>
    <row r="672" spans="1:6" ht="9.75" customHeight="1" x14ac:dyDescent="0.3">
      <c r="A672" s="11"/>
      <c r="B672" s="162" t="s">
        <v>5246</v>
      </c>
      <c r="C672" s="11"/>
      <c r="D672" s="11"/>
      <c r="E672" s="11"/>
      <c r="F672" s="11"/>
    </row>
    <row r="673" spans="1:6" ht="12" customHeight="1" x14ac:dyDescent="0.3">
      <c r="A673" s="182" t="s">
        <v>5247</v>
      </c>
      <c r="B673" s="163" t="s">
        <v>5248</v>
      </c>
      <c r="C673" s="11"/>
      <c r="D673" s="11"/>
      <c r="E673" s="11"/>
      <c r="F673" s="11"/>
    </row>
    <row r="674" spans="1:6" ht="30.75" customHeight="1" x14ac:dyDescent="0.3">
      <c r="A674" s="83">
        <v>1</v>
      </c>
      <c r="B674" s="166" t="s">
        <v>5249</v>
      </c>
      <c r="C674" s="82" t="s">
        <v>5250</v>
      </c>
      <c r="D674" s="83">
        <v>1</v>
      </c>
      <c r="E674" s="183"/>
      <c r="F674" s="183"/>
    </row>
    <row r="675" spans="1:6" ht="42.75" customHeight="1" x14ac:dyDescent="0.3">
      <c r="A675" s="68">
        <v>2</v>
      </c>
      <c r="B675" s="166" t="s">
        <v>5251</v>
      </c>
      <c r="C675" s="72" t="s">
        <v>5252</v>
      </c>
      <c r="D675" s="68">
        <v>1</v>
      </c>
      <c r="E675" s="184"/>
      <c r="F675" s="184"/>
    </row>
    <row r="676" spans="1:6" ht="12" customHeight="1" x14ac:dyDescent="0.3">
      <c r="A676" s="182" t="s">
        <v>5253</v>
      </c>
      <c r="B676" s="163" t="s">
        <v>5254</v>
      </c>
      <c r="C676" s="11"/>
      <c r="D676" s="11"/>
      <c r="E676" s="11"/>
      <c r="F676" s="11"/>
    </row>
    <row r="677" spans="1:6" ht="30.75" customHeight="1" x14ac:dyDescent="0.3">
      <c r="A677" s="83">
        <v>1</v>
      </c>
      <c r="B677" s="166" t="s">
        <v>5255</v>
      </c>
      <c r="C677" s="82" t="s">
        <v>5256</v>
      </c>
      <c r="D677" s="83">
        <v>1</v>
      </c>
      <c r="E677" s="183"/>
      <c r="F677" s="183"/>
    </row>
    <row r="678" spans="1:6" ht="12" customHeight="1" x14ac:dyDescent="0.3">
      <c r="A678" s="182" t="s">
        <v>5257</v>
      </c>
      <c r="B678" s="163" t="s">
        <v>5258</v>
      </c>
      <c r="C678" s="11"/>
      <c r="D678" s="11"/>
      <c r="E678" s="11"/>
      <c r="F678" s="11"/>
    </row>
    <row r="679" spans="1:6" ht="30.75" customHeight="1" x14ac:dyDescent="0.3">
      <c r="A679" s="83">
        <v>1</v>
      </c>
      <c r="B679" s="166" t="s">
        <v>5259</v>
      </c>
      <c r="C679" s="82" t="s">
        <v>5260</v>
      </c>
      <c r="D679" s="83">
        <v>1</v>
      </c>
      <c r="E679" s="183"/>
      <c r="F679" s="183"/>
    </row>
    <row r="680" spans="1:6" ht="25.5" customHeight="1" x14ac:dyDescent="0.3">
      <c r="A680" s="68">
        <v>2</v>
      </c>
      <c r="B680" s="9" t="s">
        <v>5261</v>
      </c>
      <c r="C680" s="72" t="s">
        <v>5262</v>
      </c>
      <c r="D680" s="68">
        <v>1</v>
      </c>
      <c r="E680" s="184"/>
      <c r="F680" s="184"/>
    </row>
    <row r="681" spans="1:6" ht="30.75" customHeight="1" x14ac:dyDescent="0.3">
      <c r="A681" s="83">
        <v>3</v>
      </c>
      <c r="B681" s="166" t="s">
        <v>5263</v>
      </c>
      <c r="C681" s="82" t="s">
        <v>5264</v>
      </c>
      <c r="D681" s="83">
        <v>1</v>
      </c>
      <c r="E681" s="183"/>
      <c r="F681" s="183"/>
    </row>
    <row r="682" spans="1:6" ht="12" customHeight="1" x14ac:dyDescent="0.3">
      <c r="A682" s="182" t="s">
        <v>5265</v>
      </c>
      <c r="B682" s="163" t="s">
        <v>5266</v>
      </c>
      <c r="C682" s="11"/>
      <c r="D682" s="11"/>
      <c r="E682" s="11"/>
      <c r="F682" s="11"/>
    </row>
    <row r="683" spans="1:6" ht="30.75" customHeight="1" x14ac:dyDescent="0.3">
      <c r="A683" s="83">
        <v>1</v>
      </c>
      <c r="B683" s="166" t="s">
        <v>5267</v>
      </c>
      <c r="C683" s="82" t="s">
        <v>5268</v>
      </c>
      <c r="D683" s="83">
        <v>3</v>
      </c>
      <c r="E683" s="183"/>
      <c r="F683" s="183"/>
    </row>
    <row r="684" spans="1:6" ht="30.75" customHeight="1" x14ac:dyDescent="0.3">
      <c r="A684" s="83">
        <v>2</v>
      </c>
      <c r="B684" s="166" t="s">
        <v>5269</v>
      </c>
      <c r="C684" s="82" t="s">
        <v>5270</v>
      </c>
      <c r="D684" s="83">
        <v>2</v>
      </c>
      <c r="E684" s="183"/>
      <c r="F684" s="183"/>
    </row>
    <row r="685" spans="1:6" ht="30.75" customHeight="1" x14ac:dyDescent="0.3">
      <c r="A685" s="83">
        <v>3</v>
      </c>
      <c r="B685" s="166" t="s">
        <v>5271</v>
      </c>
      <c r="C685" s="82" t="s">
        <v>5272</v>
      </c>
      <c r="D685" s="83">
        <v>40</v>
      </c>
      <c r="E685" s="185"/>
      <c r="F685" s="183"/>
    </row>
    <row r="686" spans="1:6" ht="12" customHeight="1" x14ac:dyDescent="0.3">
      <c r="A686" s="11"/>
      <c r="B686" s="162" t="s">
        <v>5273</v>
      </c>
      <c r="C686" s="11"/>
      <c r="D686" s="11"/>
      <c r="E686" s="11"/>
      <c r="F686" s="187"/>
    </row>
    <row r="687" spans="1:6" ht="9.75" customHeight="1" x14ac:dyDescent="0.3">
      <c r="A687" s="11"/>
      <c r="B687" s="162" t="s">
        <v>5274</v>
      </c>
      <c r="C687" s="11"/>
      <c r="D687" s="11"/>
      <c r="E687" s="11"/>
      <c r="F687" s="11"/>
    </row>
    <row r="688" spans="1:6" ht="12" customHeight="1" x14ac:dyDescent="0.3">
      <c r="A688" s="72" t="s">
        <v>5275</v>
      </c>
      <c r="B688" s="163" t="s">
        <v>5276</v>
      </c>
      <c r="C688" s="11"/>
      <c r="D688" s="11"/>
      <c r="E688" s="11"/>
      <c r="F688" s="11"/>
    </row>
    <row r="689" spans="1:6" ht="30.75" customHeight="1" x14ac:dyDescent="0.3">
      <c r="A689" s="83">
        <v>1</v>
      </c>
      <c r="B689" s="166" t="s">
        <v>5277</v>
      </c>
      <c r="C689" s="82" t="s">
        <v>5278</v>
      </c>
      <c r="D689" s="83">
        <v>1</v>
      </c>
      <c r="E689" s="183"/>
      <c r="F689" s="183"/>
    </row>
    <row r="690" spans="1:6" ht="42.75" customHeight="1" x14ac:dyDescent="0.3">
      <c r="A690" s="68">
        <v>2</v>
      </c>
      <c r="B690" s="166" t="s">
        <v>5279</v>
      </c>
      <c r="C690" s="72" t="s">
        <v>5280</v>
      </c>
      <c r="D690" s="68">
        <v>1</v>
      </c>
      <c r="E690" s="184"/>
      <c r="F690" s="184"/>
    </row>
    <row r="691" spans="1:6" ht="12" customHeight="1" x14ac:dyDescent="0.3">
      <c r="A691" s="72" t="s">
        <v>5281</v>
      </c>
      <c r="B691" s="163" t="s">
        <v>5282</v>
      </c>
      <c r="C691" s="11"/>
      <c r="D691" s="11"/>
      <c r="E691" s="11"/>
      <c r="F691" s="11"/>
    </row>
    <row r="692" spans="1:6" ht="30.75" customHeight="1" x14ac:dyDescent="0.3">
      <c r="A692" s="83">
        <v>1</v>
      </c>
      <c r="B692" s="166" t="s">
        <v>5283</v>
      </c>
      <c r="C692" s="82" t="s">
        <v>5284</v>
      </c>
      <c r="D692" s="83">
        <v>1</v>
      </c>
      <c r="E692" s="183"/>
      <c r="F692" s="183"/>
    </row>
    <row r="693" spans="1:6" ht="12" customHeight="1" x14ac:dyDescent="0.3">
      <c r="A693" s="72" t="s">
        <v>5285</v>
      </c>
      <c r="B693" s="163" t="s">
        <v>5286</v>
      </c>
      <c r="C693" s="11"/>
      <c r="D693" s="11"/>
      <c r="E693" s="11"/>
      <c r="F693" s="11"/>
    </row>
    <row r="694" spans="1:6" ht="30.75" customHeight="1" x14ac:dyDescent="0.3">
      <c r="A694" s="83">
        <v>1</v>
      </c>
      <c r="B694" s="166" t="s">
        <v>5287</v>
      </c>
      <c r="C694" s="82" t="s">
        <v>5288</v>
      </c>
      <c r="D694" s="83">
        <v>1</v>
      </c>
      <c r="E694" s="183"/>
      <c r="F694" s="183"/>
    </row>
    <row r="695" spans="1:6" ht="30.75" customHeight="1" x14ac:dyDescent="0.3">
      <c r="A695" s="83">
        <v>2</v>
      </c>
      <c r="B695" s="166" t="s">
        <v>5289</v>
      </c>
      <c r="C695" s="82" t="s">
        <v>5290</v>
      </c>
      <c r="D695" s="83">
        <v>80</v>
      </c>
      <c r="E695" s="185"/>
      <c r="F695" s="183"/>
    </row>
    <row r="696" spans="1:6" ht="12" customHeight="1" x14ac:dyDescent="0.3">
      <c r="A696" s="11"/>
      <c r="B696" s="162" t="s">
        <v>5291</v>
      </c>
      <c r="C696" s="11"/>
      <c r="D696" s="11"/>
      <c r="E696" s="11"/>
      <c r="F696" s="187"/>
    </row>
    <row r="697" spans="1:6" ht="9.75" customHeight="1" x14ac:dyDescent="0.3">
      <c r="A697" s="11"/>
      <c r="B697" s="162" t="s">
        <v>5292</v>
      </c>
      <c r="C697" s="11"/>
      <c r="D697" s="11"/>
      <c r="E697" s="11"/>
      <c r="F697" s="11"/>
    </row>
    <row r="698" spans="1:6" ht="12" customHeight="1" x14ac:dyDescent="0.3">
      <c r="A698" s="182" t="s">
        <v>5293</v>
      </c>
      <c r="B698" s="163" t="s">
        <v>5294</v>
      </c>
      <c r="C698" s="11"/>
      <c r="D698" s="11"/>
      <c r="E698" s="11"/>
      <c r="F698" s="11"/>
    </row>
    <row r="699" spans="1:6" ht="30.75" customHeight="1" x14ac:dyDescent="0.3">
      <c r="A699" s="83">
        <v>1</v>
      </c>
      <c r="B699" s="166" t="s">
        <v>5295</v>
      </c>
      <c r="C699" s="82" t="s">
        <v>5296</v>
      </c>
      <c r="D699" s="83">
        <v>4</v>
      </c>
      <c r="E699" s="183"/>
      <c r="F699" s="183"/>
    </row>
    <row r="700" spans="1:6" ht="42.75" customHeight="1" x14ac:dyDescent="0.3">
      <c r="A700" s="68">
        <v>2</v>
      </c>
      <c r="B700" s="166" t="s">
        <v>5297</v>
      </c>
      <c r="C700" s="72" t="s">
        <v>5298</v>
      </c>
      <c r="D700" s="68">
        <v>4</v>
      </c>
      <c r="E700" s="184"/>
      <c r="F700" s="184"/>
    </row>
    <row r="701" spans="1:6" ht="12" customHeight="1" x14ac:dyDescent="0.3">
      <c r="A701" s="182" t="s">
        <v>5299</v>
      </c>
      <c r="B701" s="163" t="s">
        <v>5300</v>
      </c>
      <c r="C701" s="11"/>
      <c r="D701" s="11"/>
      <c r="E701" s="11"/>
      <c r="F701" s="11"/>
    </row>
    <row r="702" spans="1:6" ht="30.75" customHeight="1" x14ac:dyDescent="0.3">
      <c r="A702" s="83">
        <v>1</v>
      </c>
      <c r="B702" s="166" t="s">
        <v>5301</v>
      </c>
      <c r="C702" s="82" t="s">
        <v>5302</v>
      </c>
      <c r="D702" s="83">
        <v>4</v>
      </c>
      <c r="E702" s="183"/>
      <c r="F702" s="183"/>
    </row>
    <row r="703" spans="1:6" ht="12" customHeight="1" x14ac:dyDescent="0.3">
      <c r="A703" s="182" t="s">
        <v>5303</v>
      </c>
      <c r="B703" s="163" t="s">
        <v>5304</v>
      </c>
      <c r="C703" s="11"/>
      <c r="D703" s="11"/>
      <c r="E703" s="11"/>
      <c r="F703" s="11"/>
    </row>
    <row r="704" spans="1:6" ht="25.5" customHeight="1" x14ac:dyDescent="0.3">
      <c r="A704" s="68">
        <v>1</v>
      </c>
      <c r="B704" s="9" t="s">
        <v>5305</v>
      </c>
      <c r="C704" s="72" t="s">
        <v>5306</v>
      </c>
      <c r="D704" s="68">
        <v>4</v>
      </c>
      <c r="E704" s="184"/>
      <c r="F704" s="184"/>
    </row>
    <row r="705" spans="1:6" ht="33.75" customHeight="1" x14ac:dyDescent="0.3">
      <c r="A705" s="68">
        <v>2</v>
      </c>
      <c r="B705" s="9" t="s">
        <v>5307</v>
      </c>
      <c r="C705" s="72" t="s">
        <v>5308</v>
      </c>
      <c r="D705" s="68">
        <v>1</v>
      </c>
      <c r="E705" s="184"/>
      <c r="F705" s="184"/>
    </row>
    <row r="706" spans="1:6" ht="18" customHeight="1" x14ac:dyDescent="0.3">
      <c r="A706" s="68">
        <v>3</v>
      </c>
      <c r="B706" s="9" t="s">
        <v>5309</v>
      </c>
      <c r="C706" s="72" t="s">
        <v>5310</v>
      </c>
      <c r="D706" s="68">
        <v>1</v>
      </c>
      <c r="E706" s="184"/>
      <c r="F706" s="184"/>
    </row>
    <row r="707" spans="1:6" ht="12" customHeight="1" x14ac:dyDescent="0.3">
      <c r="A707" s="182" t="s">
        <v>5311</v>
      </c>
      <c r="B707" s="163" t="s">
        <v>5312</v>
      </c>
      <c r="C707" s="11"/>
      <c r="D707" s="11"/>
      <c r="E707" s="11"/>
      <c r="F707" s="11"/>
    </row>
    <row r="708" spans="1:6" ht="30.75" customHeight="1" x14ac:dyDescent="0.3">
      <c r="A708" s="83">
        <v>1</v>
      </c>
      <c r="B708" s="166" t="s">
        <v>5313</v>
      </c>
      <c r="C708" s="82" t="s">
        <v>5314</v>
      </c>
      <c r="D708" s="83">
        <v>4</v>
      </c>
      <c r="E708" s="183"/>
      <c r="F708" s="183"/>
    </row>
    <row r="709" spans="1:6" ht="30.75" customHeight="1" x14ac:dyDescent="0.3">
      <c r="A709" s="83">
        <v>2</v>
      </c>
      <c r="B709" s="166" t="s">
        <v>5315</v>
      </c>
      <c r="C709" s="82" t="s">
        <v>5316</v>
      </c>
      <c r="D709" s="83">
        <v>80</v>
      </c>
      <c r="E709" s="185"/>
      <c r="F709" s="183"/>
    </row>
    <row r="710" spans="1:6" ht="30.75" customHeight="1" x14ac:dyDescent="0.3">
      <c r="A710" s="83">
        <v>3</v>
      </c>
      <c r="B710" s="166" t="s">
        <v>5317</v>
      </c>
      <c r="C710" s="82" t="s">
        <v>5318</v>
      </c>
      <c r="D710" s="83">
        <v>150</v>
      </c>
      <c r="E710" s="185"/>
      <c r="F710" s="183"/>
    </row>
    <row r="711" spans="1:6" ht="12" customHeight="1" x14ac:dyDescent="0.3">
      <c r="A711" s="11"/>
      <c r="B711" s="162" t="s">
        <v>5319</v>
      </c>
      <c r="C711" s="11"/>
      <c r="D711" s="11"/>
      <c r="E711" s="11"/>
      <c r="F711" s="187"/>
    </row>
    <row r="712" spans="1:6" ht="9.75" customHeight="1" x14ac:dyDescent="0.3">
      <c r="A712" s="11"/>
      <c r="B712" s="162" t="s">
        <v>5320</v>
      </c>
      <c r="C712" s="11"/>
      <c r="D712" s="11"/>
      <c r="E712" s="11"/>
      <c r="F712" s="11"/>
    </row>
    <row r="713" spans="1:6" ht="12" customHeight="1" x14ac:dyDescent="0.3">
      <c r="A713" s="182" t="s">
        <v>5321</v>
      </c>
      <c r="B713" s="163" t="s">
        <v>5322</v>
      </c>
      <c r="C713" s="11"/>
      <c r="D713" s="11"/>
      <c r="E713" s="11"/>
      <c r="F713" s="11"/>
    </row>
    <row r="714" spans="1:6" ht="30.75" customHeight="1" x14ac:dyDescent="0.3">
      <c r="A714" s="83">
        <v>1</v>
      </c>
      <c r="B714" s="166" t="s">
        <v>5323</v>
      </c>
      <c r="C714" s="82" t="s">
        <v>5324</v>
      </c>
      <c r="D714" s="83">
        <v>2</v>
      </c>
      <c r="E714" s="183"/>
      <c r="F714" s="183"/>
    </row>
    <row r="715" spans="1:6" ht="42.75" customHeight="1" x14ac:dyDescent="0.3">
      <c r="A715" s="68">
        <v>2</v>
      </c>
      <c r="B715" s="166" t="s">
        <v>5325</v>
      </c>
      <c r="C715" s="72" t="s">
        <v>5326</v>
      </c>
      <c r="D715" s="68">
        <v>2</v>
      </c>
      <c r="E715" s="184"/>
      <c r="F715" s="184"/>
    </row>
    <row r="716" spans="1:6" ht="12" customHeight="1" x14ac:dyDescent="0.3">
      <c r="A716" s="182" t="s">
        <v>5327</v>
      </c>
      <c r="B716" s="163" t="s">
        <v>5328</v>
      </c>
      <c r="C716" s="11"/>
      <c r="D716" s="11"/>
      <c r="E716" s="11"/>
      <c r="F716" s="11"/>
    </row>
    <row r="717" spans="1:6" ht="30.75" customHeight="1" x14ac:dyDescent="0.3">
      <c r="A717" s="83">
        <v>1</v>
      </c>
      <c r="B717" s="166" t="s">
        <v>5329</v>
      </c>
      <c r="C717" s="82" t="s">
        <v>5330</v>
      </c>
      <c r="D717" s="83">
        <v>2</v>
      </c>
      <c r="E717" s="183"/>
      <c r="F717" s="183"/>
    </row>
    <row r="718" spans="1:6" ht="12" customHeight="1" x14ac:dyDescent="0.3">
      <c r="A718" s="182" t="s">
        <v>5331</v>
      </c>
      <c r="B718" s="163" t="s">
        <v>5332</v>
      </c>
      <c r="C718" s="11"/>
      <c r="D718" s="11"/>
      <c r="E718" s="11"/>
      <c r="F718" s="11"/>
    </row>
    <row r="719" spans="1:6" ht="25.5" customHeight="1" x14ac:dyDescent="0.3">
      <c r="A719" s="68">
        <v>1</v>
      </c>
      <c r="B719" s="9" t="s">
        <v>5333</v>
      </c>
      <c r="C719" s="72" t="s">
        <v>5334</v>
      </c>
      <c r="D719" s="68">
        <v>4</v>
      </c>
      <c r="E719" s="184"/>
      <c r="F719" s="184"/>
    </row>
    <row r="720" spans="1:6" ht="33.75" customHeight="1" x14ac:dyDescent="0.3">
      <c r="A720" s="68">
        <v>2</v>
      </c>
      <c r="B720" s="9" t="s">
        <v>5335</v>
      </c>
      <c r="C720" s="72" t="s">
        <v>5336</v>
      </c>
      <c r="D720" s="68">
        <v>1</v>
      </c>
      <c r="E720" s="184"/>
      <c r="F720" s="184"/>
    </row>
    <row r="721" spans="1:6" ht="18" customHeight="1" x14ac:dyDescent="0.3">
      <c r="A721" s="68">
        <v>3</v>
      </c>
      <c r="B721" s="9" t="s">
        <v>5337</v>
      </c>
      <c r="C721" s="72" t="s">
        <v>5338</v>
      </c>
      <c r="D721" s="68">
        <v>2</v>
      </c>
      <c r="E721" s="184"/>
      <c r="F721" s="184"/>
    </row>
    <row r="722" spans="1:6" ht="30.75" customHeight="1" x14ac:dyDescent="0.3">
      <c r="A722" s="197" t="s">
        <v>5339</v>
      </c>
      <c r="B722" s="163" t="s">
        <v>5340</v>
      </c>
      <c r="C722" s="9"/>
      <c r="D722" s="9"/>
      <c r="E722" s="9"/>
      <c r="F722" s="9"/>
    </row>
    <row r="723" spans="1:6" ht="30.75" customHeight="1" x14ac:dyDescent="0.3">
      <c r="A723" s="83">
        <v>1</v>
      </c>
      <c r="B723" s="166" t="s">
        <v>5341</v>
      </c>
      <c r="C723" s="82" t="s">
        <v>5342</v>
      </c>
      <c r="D723" s="83">
        <v>2</v>
      </c>
      <c r="E723" s="183"/>
      <c r="F723" s="183"/>
    </row>
    <row r="724" spans="1:6" ht="30.75" customHeight="1" x14ac:dyDescent="0.3">
      <c r="A724" s="83">
        <v>2</v>
      </c>
      <c r="B724" s="166" t="s">
        <v>5343</v>
      </c>
      <c r="C724" s="82" t="s">
        <v>5344</v>
      </c>
      <c r="D724" s="83">
        <v>160</v>
      </c>
      <c r="E724" s="185"/>
      <c r="F724" s="183"/>
    </row>
    <row r="725" spans="1:6" ht="30.75" customHeight="1" x14ac:dyDescent="0.3">
      <c r="A725" s="83">
        <v>3</v>
      </c>
      <c r="B725" s="166" t="s">
        <v>5345</v>
      </c>
      <c r="C725" s="82" t="s">
        <v>5346</v>
      </c>
      <c r="D725" s="83">
        <v>200</v>
      </c>
      <c r="E725" s="185"/>
      <c r="F725" s="183"/>
    </row>
    <row r="726" spans="1:6" ht="12" customHeight="1" x14ac:dyDescent="0.3">
      <c r="A726" s="11"/>
      <c r="B726" s="162" t="s">
        <v>5347</v>
      </c>
      <c r="C726" s="11"/>
      <c r="D726" s="11"/>
      <c r="E726" s="11"/>
      <c r="F726" s="187"/>
    </row>
    <row r="727" spans="1:6" ht="9.75" customHeight="1" x14ac:dyDescent="0.3">
      <c r="A727" s="11"/>
      <c r="B727" s="162" t="s">
        <v>5348</v>
      </c>
      <c r="C727" s="11"/>
      <c r="D727" s="11"/>
      <c r="E727" s="11"/>
      <c r="F727" s="11"/>
    </row>
    <row r="728" spans="1:6" ht="12" customHeight="1" x14ac:dyDescent="0.3">
      <c r="A728" s="182" t="s">
        <v>5349</v>
      </c>
      <c r="B728" s="163" t="s">
        <v>5350</v>
      </c>
      <c r="C728" s="11"/>
      <c r="D728" s="11"/>
      <c r="E728" s="11"/>
      <c r="F728" s="11"/>
    </row>
    <row r="729" spans="1:6" ht="30.75" customHeight="1" x14ac:dyDescent="0.3">
      <c r="A729" s="83">
        <v>1</v>
      </c>
      <c r="B729" s="166" t="s">
        <v>5351</v>
      </c>
      <c r="C729" s="82" t="s">
        <v>5352</v>
      </c>
      <c r="D729" s="83">
        <v>2</v>
      </c>
      <c r="E729" s="183"/>
      <c r="F729" s="183"/>
    </row>
    <row r="730" spans="1:6" ht="42.75" customHeight="1" x14ac:dyDescent="0.3">
      <c r="A730" s="68">
        <v>2</v>
      </c>
      <c r="B730" s="166" t="s">
        <v>5353</v>
      </c>
      <c r="C730" s="72" t="s">
        <v>5354</v>
      </c>
      <c r="D730" s="68">
        <v>2</v>
      </c>
      <c r="E730" s="184"/>
      <c r="F730" s="184"/>
    </row>
    <row r="731" spans="1:6" ht="12" customHeight="1" x14ac:dyDescent="0.3">
      <c r="A731" s="182" t="s">
        <v>5355</v>
      </c>
      <c r="B731" s="163" t="s">
        <v>5356</v>
      </c>
      <c r="C731" s="11"/>
      <c r="D731" s="11"/>
      <c r="E731" s="11"/>
      <c r="F731" s="11"/>
    </row>
    <row r="732" spans="1:6" ht="33.75" customHeight="1" x14ac:dyDescent="0.3">
      <c r="A732" s="68">
        <v>1</v>
      </c>
      <c r="B732" s="166" t="s">
        <v>5357</v>
      </c>
      <c r="C732" s="72" t="s">
        <v>5358</v>
      </c>
      <c r="D732" s="68">
        <v>8</v>
      </c>
      <c r="E732" s="184"/>
      <c r="F732" s="184"/>
    </row>
    <row r="733" spans="1:6" ht="20.25" customHeight="1" x14ac:dyDescent="0.3">
      <c r="A733" s="68">
        <v>2</v>
      </c>
      <c r="B733" s="166" t="s">
        <v>5359</v>
      </c>
      <c r="C733" s="72" t="s">
        <v>5360</v>
      </c>
      <c r="D733" s="68">
        <v>1</v>
      </c>
      <c r="E733" s="184"/>
      <c r="F733" s="184"/>
    </row>
    <row r="734" spans="1:6" ht="12" customHeight="1" x14ac:dyDescent="0.3">
      <c r="A734" s="182" t="s">
        <v>5361</v>
      </c>
      <c r="B734" s="163" t="s">
        <v>5362</v>
      </c>
      <c r="C734" s="11"/>
      <c r="D734" s="11"/>
      <c r="E734" s="11"/>
      <c r="F734" s="11"/>
    </row>
    <row r="735" spans="1:6" ht="30.75" customHeight="1" x14ac:dyDescent="0.3">
      <c r="A735" s="83">
        <v>1</v>
      </c>
      <c r="B735" s="166" t="s">
        <v>5363</v>
      </c>
      <c r="C735" s="82" t="s">
        <v>5364</v>
      </c>
      <c r="D735" s="83">
        <v>2</v>
      </c>
      <c r="E735" s="183"/>
      <c r="F735" s="183"/>
    </row>
    <row r="736" spans="1:6" ht="12" customHeight="1" x14ac:dyDescent="0.3">
      <c r="A736" s="182" t="s">
        <v>5365</v>
      </c>
      <c r="B736" s="163" t="s">
        <v>5366</v>
      </c>
      <c r="C736" s="11"/>
      <c r="D736" s="11"/>
      <c r="E736" s="11"/>
      <c r="F736" s="11"/>
    </row>
    <row r="737" spans="1:6" ht="30.75" customHeight="1" x14ac:dyDescent="0.3">
      <c r="A737" s="83">
        <v>1</v>
      </c>
      <c r="B737" s="166" t="s">
        <v>5367</v>
      </c>
      <c r="C737" s="82" t="s">
        <v>5368</v>
      </c>
      <c r="D737" s="83">
        <v>2</v>
      </c>
      <c r="E737" s="183"/>
      <c r="F737" s="183"/>
    </row>
    <row r="738" spans="1:6" ht="30.75" customHeight="1" x14ac:dyDescent="0.3">
      <c r="A738" s="83">
        <v>2</v>
      </c>
      <c r="B738" s="166" t="s">
        <v>5369</v>
      </c>
      <c r="C738" s="82" t="s">
        <v>5370</v>
      </c>
      <c r="D738" s="83">
        <v>150</v>
      </c>
      <c r="E738" s="185"/>
      <c r="F738" s="183"/>
    </row>
    <row r="739" spans="1:6" ht="30.75" customHeight="1" x14ac:dyDescent="0.3">
      <c r="A739" s="83">
        <v>3</v>
      </c>
      <c r="B739" s="166" t="s">
        <v>5371</v>
      </c>
      <c r="C739" s="82" t="s">
        <v>5372</v>
      </c>
      <c r="D739" s="83">
        <v>2</v>
      </c>
      <c r="E739" s="183"/>
      <c r="F739" s="183"/>
    </row>
    <row r="740" spans="1:6" ht="30.75" customHeight="1" x14ac:dyDescent="0.3">
      <c r="A740" s="83">
        <v>4</v>
      </c>
      <c r="B740" s="166" t="s">
        <v>5373</v>
      </c>
      <c r="C740" s="82" t="s">
        <v>5374</v>
      </c>
      <c r="D740" s="83">
        <v>50</v>
      </c>
      <c r="E740" s="185"/>
      <c r="F740" s="183"/>
    </row>
    <row r="741" spans="1:6" ht="30.75" customHeight="1" x14ac:dyDescent="0.3">
      <c r="A741" s="83">
        <v>5</v>
      </c>
      <c r="B741" s="166" t="s">
        <v>5375</v>
      </c>
      <c r="C741" s="82" t="s">
        <v>5376</v>
      </c>
      <c r="D741" s="83">
        <v>50</v>
      </c>
      <c r="E741" s="185"/>
      <c r="F741" s="183"/>
    </row>
    <row r="742" spans="1:6" ht="12" customHeight="1" x14ac:dyDescent="0.3">
      <c r="A742" s="11"/>
      <c r="B742" s="162" t="s">
        <v>5377</v>
      </c>
      <c r="C742" s="11"/>
      <c r="D742" s="11"/>
      <c r="E742" s="11"/>
      <c r="F742" s="187"/>
    </row>
    <row r="743" spans="1:6" ht="9.75" customHeight="1" x14ac:dyDescent="0.3">
      <c r="A743" s="11"/>
      <c r="B743" s="162" t="s">
        <v>5378</v>
      </c>
      <c r="C743" s="11"/>
      <c r="D743" s="11"/>
      <c r="E743" s="11"/>
      <c r="F743" s="11"/>
    </row>
    <row r="744" spans="1:6" ht="12" customHeight="1" x14ac:dyDescent="0.3">
      <c r="A744" s="182" t="s">
        <v>5379</v>
      </c>
      <c r="B744" s="263" t="s">
        <v>5380</v>
      </c>
      <c r="C744" s="220"/>
      <c r="D744" s="220"/>
      <c r="E744" s="220"/>
      <c r="F744" s="221"/>
    </row>
    <row r="745" spans="1:6" ht="51" customHeight="1" x14ac:dyDescent="0.3">
      <c r="A745" s="83">
        <v>1</v>
      </c>
      <c r="B745" s="166" t="s">
        <v>5381</v>
      </c>
      <c r="C745" s="82" t="s">
        <v>5382</v>
      </c>
      <c r="D745" s="83">
        <v>2</v>
      </c>
      <c r="E745" s="183"/>
      <c r="F745" s="183"/>
    </row>
    <row r="746" spans="1:6" ht="12" customHeight="1" x14ac:dyDescent="0.3">
      <c r="A746" s="182" t="s">
        <v>5383</v>
      </c>
      <c r="B746" s="163" t="s">
        <v>5384</v>
      </c>
      <c r="C746" s="11"/>
      <c r="D746" s="11"/>
      <c r="E746" s="11"/>
      <c r="F746" s="11"/>
    </row>
    <row r="747" spans="1:6" ht="33.75" customHeight="1" x14ac:dyDescent="0.3">
      <c r="A747" s="68">
        <v>1</v>
      </c>
      <c r="B747" s="166" t="s">
        <v>5385</v>
      </c>
      <c r="C747" s="72" t="s">
        <v>5386</v>
      </c>
      <c r="D747" s="68">
        <v>1</v>
      </c>
      <c r="E747" s="184"/>
      <c r="F747" s="184"/>
    </row>
    <row r="748" spans="1:6" ht="17.25" customHeight="1" x14ac:dyDescent="0.3">
      <c r="A748" s="68">
        <v>2</v>
      </c>
      <c r="B748" s="166" t="s">
        <v>5387</v>
      </c>
      <c r="C748" s="72" t="s">
        <v>5388</v>
      </c>
      <c r="D748" s="68">
        <v>1</v>
      </c>
      <c r="E748" s="184"/>
      <c r="F748" s="184"/>
    </row>
    <row r="749" spans="1:6" ht="12" customHeight="1" x14ac:dyDescent="0.3">
      <c r="A749" s="182" t="s">
        <v>5389</v>
      </c>
      <c r="B749" s="163" t="s">
        <v>5390</v>
      </c>
      <c r="C749" s="11"/>
      <c r="D749" s="11"/>
      <c r="E749" s="11"/>
      <c r="F749" s="11"/>
    </row>
    <row r="750" spans="1:6" ht="68.25" customHeight="1" x14ac:dyDescent="0.3">
      <c r="A750" s="83">
        <v>1</v>
      </c>
      <c r="B750" s="166" t="s">
        <v>5391</v>
      </c>
      <c r="C750" s="82" t="s">
        <v>5392</v>
      </c>
      <c r="D750" s="83">
        <v>1</v>
      </c>
      <c r="E750" s="183"/>
      <c r="F750" s="183"/>
    </row>
    <row r="751" spans="1:6" ht="51" customHeight="1" x14ac:dyDescent="0.3">
      <c r="A751" s="83">
        <v>2</v>
      </c>
      <c r="B751" s="166" t="s">
        <v>5393</v>
      </c>
      <c r="C751" s="82" t="s">
        <v>5394</v>
      </c>
      <c r="D751" s="83">
        <v>1</v>
      </c>
      <c r="E751" s="183"/>
      <c r="F751" s="183"/>
    </row>
    <row r="752" spans="1:6" ht="33.75" customHeight="1" x14ac:dyDescent="0.3">
      <c r="A752" s="68">
        <v>3</v>
      </c>
      <c r="B752" s="166" t="s">
        <v>5395</v>
      </c>
      <c r="C752" s="72" t="s">
        <v>5396</v>
      </c>
      <c r="D752" s="68">
        <v>4</v>
      </c>
      <c r="E752" s="184"/>
      <c r="F752" s="184"/>
    </row>
    <row r="753" spans="1:6" ht="20.25" customHeight="1" x14ac:dyDescent="0.3">
      <c r="A753" s="68">
        <v>4</v>
      </c>
      <c r="B753" s="166" t="s">
        <v>5397</v>
      </c>
      <c r="C753" s="72" t="s">
        <v>5398</v>
      </c>
      <c r="D753" s="68">
        <v>1</v>
      </c>
      <c r="E753" s="184"/>
      <c r="F753" s="184"/>
    </row>
    <row r="754" spans="1:6" ht="12" customHeight="1" x14ac:dyDescent="0.3">
      <c r="A754" s="182" t="s">
        <v>5399</v>
      </c>
      <c r="B754" s="263" t="s">
        <v>5400</v>
      </c>
      <c r="C754" s="220"/>
      <c r="D754" s="220"/>
      <c r="E754" s="220"/>
      <c r="F754" s="221"/>
    </row>
    <row r="755" spans="1:6" ht="18" customHeight="1" x14ac:dyDescent="0.3">
      <c r="A755" s="68">
        <v>1</v>
      </c>
      <c r="B755" s="9" t="s">
        <v>5401</v>
      </c>
      <c r="C755" s="72" t="s">
        <v>5402</v>
      </c>
      <c r="D755" s="68">
        <v>1</v>
      </c>
      <c r="E755" s="184"/>
      <c r="F755" s="184"/>
    </row>
    <row r="756" spans="1:6" ht="25.5" customHeight="1" x14ac:dyDescent="0.3">
      <c r="A756" s="68">
        <v>2</v>
      </c>
      <c r="B756" s="166" t="s">
        <v>5403</v>
      </c>
      <c r="C756" s="72" t="s">
        <v>5404</v>
      </c>
      <c r="D756" s="68">
        <v>1</v>
      </c>
      <c r="E756" s="184"/>
      <c r="F756" s="184"/>
    </row>
    <row r="757" spans="1:6" ht="30.75" customHeight="1" x14ac:dyDescent="0.3">
      <c r="A757" s="83">
        <v>3</v>
      </c>
      <c r="B757" s="9" t="s">
        <v>5405</v>
      </c>
      <c r="C757" s="82" t="s">
        <v>5406</v>
      </c>
      <c r="D757" s="83">
        <v>1</v>
      </c>
      <c r="E757" s="183"/>
      <c r="F757" s="183"/>
    </row>
    <row r="758" spans="1:6" ht="30.75" customHeight="1" x14ac:dyDescent="0.3">
      <c r="A758" s="83">
        <v>4</v>
      </c>
      <c r="B758" s="166" t="s">
        <v>5407</v>
      </c>
      <c r="C758" s="82" t="s">
        <v>5408</v>
      </c>
      <c r="D758" s="83">
        <v>1</v>
      </c>
      <c r="E758" s="183"/>
      <c r="F758" s="183"/>
    </row>
    <row r="759" spans="1:6" ht="30.75" customHeight="1" x14ac:dyDescent="0.3">
      <c r="A759" s="83">
        <v>5</v>
      </c>
      <c r="B759" s="9" t="s">
        <v>5409</v>
      </c>
      <c r="C759" s="82" t="s">
        <v>5410</v>
      </c>
      <c r="D759" s="83">
        <v>3</v>
      </c>
      <c r="E759" s="183"/>
      <c r="F759" s="183"/>
    </row>
    <row r="760" spans="1:6" ht="30.75" customHeight="1" x14ac:dyDescent="0.3">
      <c r="A760" s="83">
        <v>6</v>
      </c>
      <c r="B760" s="9" t="s">
        <v>5411</v>
      </c>
      <c r="C760" s="82" t="s">
        <v>5412</v>
      </c>
      <c r="D760" s="83">
        <v>4</v>
      </c>
      <c r="E760" s="183"/>
      <c r="F760" s="183"/>
    </row>
    <row r="761" spans="1:6" ht="33.75" customHeight="1" x14ac:dyDescent="0.3">
      <c r="A761" s="68">
        <v>7</v>
      </c>
      <c r="B761" s="9" t="s">
        <v>5413</v>
      </c>
      <c r="C761" s="72" t="s">
        <v>5414</v>
      </c>
      <c r="D761" s="68">
        <v>1</v>
      </c>
      <c r="E761" s="184"/>
      <c r="F761" s="184"/>
    </row>
    <row r="762" spans="1:6" ht="12" customHeight="1" x14ac:dyDescent="0.3">
      <c r="A762" s="182" t="s">
        <v>5415</v>
      </c>
      <c r="B762" s="163" t="s">
        <v>5416</v>
      </c>
      <c r="C762" s="11"/>
      <c r="D762" s="11"/>
      <c r="E762" s="11"/>
      <c r="F762" s="11"/>
    </row>
    <row r="763" spans="1:6" ht="30.75" customHeight="1" x14ac:dyDescent="0.3">
      <c r="A763" s="83">
        <v>1</v>
      </c>
      <c r="B763" s="166" t="s">
        <v>5417</v>
      </c>
      <c r="C763" s="82" t="s">
        <v>5418</v>
      </c>
      <c r="D763" s="83">
        <v>6</v>
      </c>
      <c r="E763" s="183"/>
      <c r="F763" s="183"/>
    </row>
    <row r="764" spans="1:6" ht="30.75" customHeight="1" x14ac:dyDescent="0.3">
      <c r="A764" s="83">
        <v>2</v>
      </c>
      <c r="B764" s="166" t="s">
        <v>5419</v>
      </c>
      <c r="C764" s="82" t="s">
        <v>5420</v>
      </c>
      <c r="D764" s="83">
        <v>200</v>
      </c>
      <c r="E764" s="185"/>
      <c r="F764" s="183"/>
    </row>
    <row r="765" spans="1:6" ht="30.75" customHeight="1" x14ac:dyDescent="0.3">
      <c r="A765" s="83">
        <v>3</v>
      </c>
      <c r="B765" s="166" t="s">
        <v>5421</v>
      </c>
      <c r="C765" s="82" t="s">
        <v>5422</v>
      </c>
      <c r="D765" s="83">
        <v>8</v>
      </c>
      <c r="E765" s="183"/>
      <c r="F765" s="183"/>
    </row>
    <row r="766" spans="1:6" ht="30.75" customHeight="1" x14ac:dyDescent="0.3">
      <c r="A766" s="83">
        <v>4</v>
      </c>
      <c r="B766" s="166" t="s">
        <v>5423</v>
      </c>
      <c r="C766" s="82" t="s">
        <v>5424</v>
      </c>
      <c r="D766" s="83">
        <v>2</v>
      </c>
      <c r="E766" s="183"/>
      <c r="F766" s="183"/>
    </row>
    <row r="767" spans="1:6" ht="30.75" customHeight="1" x14ac:dyDescent="0.3">
      <c r="A767" s="83">
        <v>5</v>
      </c>
      <c r="B767" s="166" t="s">
        <v>5425</v>
      </c>
      <c r="C767" s="82" t="s">
        <v>5426</v>
      </c>
      <c r="D767" s="83">
        <v>2</v>
      </c>
      <c r="E767" s="183"/>
      <c r="F767" s="183"/>
    </row>
    <row r="768" spans="1:6" ht="30.75" customHeight="1" x14ac:dyDescent="0.3">
      <c r="A768" s="83">
        <v>6</v>
      </c>
      <c r="B768" s="166" t="s">
        <v>5427</v>
      </c>
      <c r="C768" s="82" t="s">
        <v>5428</v>
      </c>
      <c r="D768" s="83">
        <v>50</v>
      </c>
      <c r="E768" s="185"/>
      <c r="F768" s="183"/>
    </row>
    <row r="769" spans="1:6" ht="30.75" customHeight="1" x14ac:dyDescent="0.3">
      <c r="A769" s="83">
        <v>7</v>
      </c>
      <c r="B769" s="166" t="s">
        <v>5429</v>
      </c>
      <c r="C769" s="82" t="s">
        <v>5430</v>
      </c>
      <c r="D769" s="83">
        <v>80</v>
      </c>
      <c r="E769" s="185"/>
      <c r="F769" s="183"/>
    </row>
    <row r="770" spans="1:6" ht="33.75" customHeight="1" x14ac:dyDescent="0.3">
      <c r="A770" s="68">
        <v>8</v>
      </c>
      <c r="B770" s="166" t="s">
        <v>5431</v>
      </c>
      <c r="C770" s="72" t="s">
        <v>5432</v>
      </c>
      <c r="D770" s="68">
        <v>1</v>
      </c>
      <c r="E770" s="184"/>
      <c r="F770" s="184"/>
    </row>
    <row r="771" spans="1:6" ht="12" customHeight="1" x14ac:dyDescent="0.3">
      <c r="A771" s="11"/>
      <c r="B771" s="11"/>
      <c r="C771" s="11"/>
      <c r="D771" s="11"/>
      <c r="E771" s="11"/>
      <c r="F771" s="187"/>
    </row>
    <row r="772" spans="1:6" ht="9.75" customHeight="1" x14ac:dyDescent="0.3">
      <c r="A772" s="11"/>
      <c r="B772" s="11"/>
      <c r="C772" s="11"/>
      <c r="D772" s="11"/>
      <c r="E772" s="11"/>
      <c r="F772" s="11"/>
    </row>
    <row r="773" spans="1:6" ht="9.75" customHeight="1" x14ac:dyDescent="0.3">
      <c r="A773" s="11"/>
      <c r="B773" s="162" t="s">
        <v>5433</v>
      </c>
      <c r="C773" s="11"/>
      <c r="D773" s="11"/>
      <c r="E773" s="11"/>
      <c r="F773" s="11"/>
    </row>
    <row r="774" spans="1:6" ht="12" customHeight="1" x14ac:dyDescent="0.3">
      <c r="A774" s="182" t="s">
        <v>5434</v>
      </c>
      <c r="B774" s="263" t="s">
        <v>5435</v>
      </c>
      <c r="C774" s="220"/>
      <c r="D774" s="220"/>
      <c r="E774" s="220"/>
      <c r="F774" s="221"/>
    </row>
    <row r="775" spans="1:6" ht="51" customHeight="1" x14ac:dyDescent="0.3">
      <c r="A775" s="83">
        <v>1</v>
      </c>
      <c r="B775" s="9" t="s">
        <v>5436</v>
      </c>
      <c r="C775" s="82" t="s">
        <v>5437</v>
      </c>
      <c r="D775" s="83">
        <v>1</v>
      </c>
      <c r="E775" s="183"/>
      <c r="F775" s="183"/>
    </row>
    <row r="776" spans="1:6" ht="12" customHeight="1" x14ac:dyDescent="0.3">
      <c r="A776" s="182" t="s">
        <v>5438</v>
      </c>
      <c r="B776" s="163" t="s">
        <v>5439</v>
      </c>
      <c r="C776" s="11"/>
      <c r="D776" s="11"/>
      <c r="E776" s="11"/>
      <c r="F776" s="11"/>
    </row>
    <row r="777" spans="1:6" ht="33.75" customHeight="1" x14ac:dyDescent="0.3">
      <c r="A777" s="68">
        <v>1</v>
      </c>
      <c r="B777" s="166" t="s">
        <v>5440</v>
      </c>
      <c r="C777" s="72" t="s">
        <v>5441</v>
      </c>
      <c r="D777" s="68">
        <v>1</v>
      </c>
      <c r="E777" s="184"/>
      <c r="F777" s="184"/>
    </row>
    <row r="778" spans="1:6" ht="17.25" customHeight="1" x14ac:dyDescent="0.3">
      <c r="A778" s="68">
        <v>2</v>
      </c>
      <c r="B778" s="166" t="s">
        <v>5442</v>
      </c>
      <c r="C778" s="72" t="s">
        <v>5443</v>
      </c>
      <c r="D778" s="68">
        <v>1</v>
      </c>
      <c r="E778" s="184"/>
      <c r="F778" s="184"/>
    </row>
    <row r="779" spans="1:6" ht="12" customHeight="1" x14ac:dyDescent="0.3">
      <c r="A779" s="182" t="s">
        <v>5444</v>
      </c>
      <c r="B779" s="163" t="s">
        <v>5445</v>
      </c>
      <c r="C779" s="11"/>
      <c r="D779" s="11"/>
      <c r="E779" s="11"/>
      <c r="F779" s="11"/>
    </row>
    <row r="780" spans="1:6" ht="68.25" customHeight="1" x14ac:dyDescent="0.3">
      <c r="A780" s="83">
        <v>1</v>
      </c>
      <c r="B780" s="166" t="s">
        <v>5446</v>
      </c>
      <c r="C780" s="82" t="s">
        <v>5447</v>
      </c>
      <c r="D780" s="83">
        <v>1</v>
      </c>
      <c r="E780" s="183"/>
      <c r="F780" s="183"/>
    </row>
    <row r="781" spans="1:6" ht="51" customHeight="1" x14ac:dyDescent="0.3">
      <c r="A781" s="83">
        <v>2</v>
      </c>
      <c r="B781" s="166" t="s">
        <v>5448</v>
      </c>
      <c r="C781" s="82" t="s">
        <v>5449</v>
      </c>
      <c r="D781" s="83">
        <v>1</v>
      </c>
      <c r="E781" s="183"/>
      <c r="F781" s="183"/>
    </row>
    <row r="782" spans="1:6" ht="33.75" customHeight="1" x14ac:dyDescent="0.3">
      <c r="A782" s="68">
        <v>3</v>
      </c>
      <c r="B782" s="166" t="s">
        <v>5450</v>
      </c>
      <c r="C782" s="72" t="s">
        <v>5451</v>
      </c>
      <c r="D782" s="68">
        <v>4</v>
      </c>
      <c r="E782" s="184"/>
      <c r="F782" s="184"/>
    </row>
    <row r="783" spans="1:6" ht="20.25" customHeight="1" x14ac:dyDescent="0.3">
      <c r="A783" s="68">
        <v>4</v>
      </c>
      <c r="B783" s="166" t="s">
        <v>5452</v>
      </c>
      <c r="C783" s="72" t="s">
        <v>5453</v>
      </c>
      <c r="D783" s="68">
        <v>1</v>
      </c>
      <c r="E783" s="184"/>
      <c r="F783" s="184"/>
    </row>
    <row r="784" spans="1:6" ht="12" customHeight="1" x14ac:dyDescent="0.3">
      <c r="A784" s="182" t="s">
        <v>5454</v>
      </c>
      <c r="B784" s="263" t="s">
        <v>5455</v>
      </c>
      <c r="C784" s="220"/>
      <c r="D784" s="220"/>
      <c r="E784" s="220"/>
      <c r="F784" s="221"/>
    </row>
    <row r="785" spans="1:6" ht="18" customHeight="1" x14ac:dyDescent="0.3">
      <c r="A785" s="68">
        <v>1</v>
      </c>
      <c r="B785" s="9" t="s">
        <v>5456</v>
      </c>
      <c r="C785" s="72" t="s">
        <v>5457</v>
      </c>
      <c r="D785" s="68">
        <v>1</v>
      </c>
      <c r="E785" s="184"/>
      <c r="F785" s="184"/>
    </row>
    <row r="786" spans="1:6" ht="25.5" customHeight="1" x14ac:dyDescent="0.3">
      <c r="A786" s="68">
        <v>2</v>
      </c>
      <c r="B786" s="166" t="s">
        <v>5458</v>
      </c>
      <c r="C786" s="72" t="s">
        <v>5459</v>
      </c>
      <c r="D786" s="68">
        <v>1</v>
      </c>
      <c r="E786" s="184"/>
      <c r="F786" s="184"/>
    </row>
    <row r="787" spans="1:6" ht="30.75" customHeight="1" x14ac:dyDescent="0.3">
      <c r="A787" s="83">
        <v>3</v>
      </c>
      <c r="B787" s="9" t="s">
        <v>5460</v>
      </c>
      <c r="C787" s="82" t="s">
        <v>5461</v>
      </c>
      <c r="D787" s="83">
        <v>1</v>
      </c>
      <c r="E787" s="183"/>
      <c r="F787" s="183"/>
    </row>
    <row r="788" spans="1:6" ht="30.75" customHeight="1" x14ac:dyDescent="0.3">
      <c r="A788" s="83">
        <v>4</v>
      </c>
      <c r="B788" s="166" t="s">
        <v>5462</v>
      </c>
      <c r="C788" s="82" t="s">
        <v>5463</v>
      </c>
      <c r="D788" s="83">
        <v>1</v>
      </c>
      <c r="E788" s="183"/>
      <c r="F788" s="183"/>
    </row>
    <row r="789" spans="1:6" ht="30.75" customHeight="1" x14ac:dyDescent="0.3">
      <c r="A789" s="83">
        <v>5</v>
      </c>
      <c r="B789" s="9" t="s">
        <v>5464</v>
      </c>
      <c r="C789" s="82" t="s">
        <v>5465</v>
      </c>
      <c r="D789" s="83">
        <v>3</v>
      </c>
      <c r="E789" s="183"/>
      <c r="F789" s="183"/>
    </row>
    <row r="790" spans="1:6" ht="30.75" customHeight="1" x14ac:dyDescent="0.3">
      <c r="A790" s="83">
        <v>6</v>
      </c>
      <c r="B790" s="9" t="s">
        <v>5466</v>
      </c>
      <c r="C790" s="82" t="s">
        <v>5467</v>
      </c>
      <c r="D790" s="83">
        <v>8</v>
      </c>
      <c r="E790" s="183"/>
      <c r="F790" s="183"/>
    </row>
    <row r="791" spans="1:6" ht="33.75" customHeight="1" x14ac:dyDescent="0.3">
      <c r="A791" s="68">
        <v>7</v>
      </c>
      <c r="B791" s="9" t="s">
        <v>5468</v>
      </c>
      <c r="C791" s="72" t="s">
        <v>5469</v>
      </c>
      <c r="D791" s="68">
        <v>1</v>
      </c>
      <c r="E791" s="184"/>
      <c r="F791" s="184"/>
    </row>
    <row r="792" spans="1:6" ht="12" customHeight="1" x14ac:dyDescent="0.3">
      <c r="A792" s="182" t="s">
        <v>5470</v>
      </c>
      <c r="B792" s="163" t="s">
        <v>5471</v>
      </c>
      <c r="C792" s="11"/>
      <c r="D792" s="11"/>
      <c r="E792" s="11"/>
      <c r="F792" s="11"/>
    </row>
    <row r="793" spans="1:6" ht="30.75" customHeight="1" x14ac:dyDescent="0.3">
      <c r="A793" s="83">
        <v>1</v>
      </c>
      <c r="B793" s="166" t="s">
        <v>5472</v>
      </c>
      <c r="C793" s="82" t="s">
        <v>5473</v>
      </c>
      <c r="D793" s="83">
        <v>6</v>
      </c>
      <c r="E793" s="183"/>
      <c r="F793" s="183"/>
    </row>
    <row r="794" spans="1:6" ht="30.75" customHeight="1" x14ac:dyDescent="0.3">
      <c r="A794" s="83">
        <v>2</v>
      </c>
      <c r="B794" s="166" t="s">
        <v>5474</v>
      </c>
      <c r="C794" s="82" t="s">
        <v>5475</v>
      </c>
      <c r="D794" s="83">
        <v>200</v>
      </c>
      <c r="E794" s="185"/>
      <c r="F794" s="183"/>
    </row>
    <row r="795" spans="1:6" ht="30.75" customHeight="1" x14ac:dyDescent="0.3">
      <c r="A795" s="83">
        <v>3</v>
      </c>
      <c r="B795" s="166" t="s">
        <v>5476</v>
      </c>
      <c r="C795" s="82" t="s">
        <v>5477</v>
      </c>
      <c r="D795" s="83">
        <v>8</v>
      </c>
      <c r="E795" s="183"/>
      <c r="F795" s="183"/>
    </row>
    <row r="796" spans="1:6" ht="30.75" customHeight="1" x14ac:dyDescent="0.3">
      <c r="A796" s="83">
        <v>4</v>
      </c>
      <c r="B796" s="166" t="s">
        <v>5478</v>
      </c>
      <c r="C796" s="82" t="s">
        <v>5479</v>
      </c>
      <c r="D796" s="83">
        <v>2</v>
      </c>
      <c r="E796" s="183"/>
      <c r="F796" s="183"/>
    </row>
    <row r="797" spans="1:6" ht="30.75" customHeight="1" x14ac:dyDescent="0.3">
      <c r="A797" s="83">
        <v>5</v>
      </c>
      <c r="B797" s="166" t="s">
        <v>5480</v>
      </c>
      <c r="C797" s="82" t="s">
        <v>5481</v>
      </c>
      <c r="D797" s="83">
        <v>2</v>
      </c>
      <c r="E797" s="183"/>
      <c r="F797" s="183"/>
    </row>
    <row r="798" spans="1:6" ht="30.75" customHeight="1" x14ac:dyDescent="0.3">
      <c r="A798" s="83">
        <v>6</v>
      </c>
      <c r="B798" s="166" t="s">
        <v>5482</v>
      </c>
      <c r="C798" s="82" t="s">
        <v>5483</v>
      </c>
      <c r="D798" s="83">
        <v>50</v>
      </c>
      <c r="E798" s="185"/>
      <c r="F798" s="183"/>
    </row>
    <row r="799" spans="1:6" ht="30.75" customHeight="1" x14ac:dyDescent="0.3">
      <c r="A799" s="83">
        <v>7</v>
      </c>
      <c r="B799" s="166" t="s">
        <v>5484</v>
      </c>
      <c r="C799" s="82" t="s">
        <v>5485</v>
      </c>
      <c r="D799" s="83">
        <v>80</v>
      </c>
      <c r="E799" s="185"/>
      <c r="F799" s="183"/>
    </row>
    <row r="800" spans="1:6" ht="33.75" customHeight="1" x14ac:dyDescent="0.3">
      <c r="A800" s="68">
        <v>8</v>
      </c>
      <c r="B800" s="166" t="s">
        <v>5486</v>
      </c>
      <c r="C800" s="72" t="s">
        <v>5487</v>
      </c>
      <c r="D800" s="68">
        <v>1</v>
      </c>
      <c r="E800" s="184"/>
      <c r="F800" s="184"/>
    </row>
    <row r="801" spans="1:6" ht="12" customHeight="1" x14ac:dyDescent="0.3">
      <c r="A801" s="11"/>
      <c r="B801" s="11"/>
      <c r="C801" s="11"/>
      <c r="D801" s="11"/>
      <c r="E801" s="11"/>
      <c r="F801" s="184"/>
    </row>
    <row r="802" spans="1:6" ht="9.75" customHeight="1" x14ac:dyDescent="0.3">
      <c r="A802" s="11"/>
      <c r="B802" s="162" t="s">
        <v>5488</v>
      </c>
      <c r="C802" s="11"/>
      <c r="D802" s="11"/>
      <c r="E802" s="11"/>
      <c r="F802" s="11"/>
    </row>
    <row r="803" spans="1:6" ht="12" customHeight="1" x14ac:dyDescent="0.3">
      <c r="A803" s="182" t="s">
        <v>5489</v>
      </c>
      <c r="B803" s="163" t="s">
        <v>5490</v>
      </c>
      <c r="C803" s="11"/>
      <c r="D803" s="11"/>
      <c r="E803" s="11"/>
      <c r="F803" s="11"/>
    </row>
    <row r="804" spans="1:6" ht="30.75" customHeight="1" x14ac:dyDescent="0.3">
      <c r="A804" s="83">
        <v>1</v>
      </c>
      <c r="B804" s="166" t="s">
        <v>5491</v>
      </c>
      <c r="C804" s="82" t="s">
        <v>5492</v>
      </c>
      <c r="D804" s="83">
        <v>1</v>
      </c>
      <c r="E804" s="183"/>
      <c r="F804" s="183"/>
    </row>
    <row r="805" spans="1:6" ht="33.75" customHeight="1" x14ac:dyDescent="0.3">
      <c r="A805" s="68">
        <v>2</v>
      </c>
      <c r="B805" s="166" t="s">
        <v>5493</v>
      </c>
      <c r="C805" s="72" t="s">
        <v>5494</v>
      </c>
      <c r="D805" s="68">
        <v>1</v>
      </c>
      <c r="E805" s="184"/>
      <c r="F805" s="184"/>
    </row>
    <row r="806" spans="1:6" ht="12" customHeight="1" x14ac:dyDescent="0.3">
      <c r="A806" s="182" t="s">
        <v>5495</v>
      </c>
      <c r="B806" s="163" t="s">
        <v>5496</v>
      </c>
      <c r="C806" s="11"/>
      <c r="D806" s="11"/>
      <c r="E806" s="11"/>
      <c r="F806" s="11"/>
    </row>
    <row r="807" spans="1:6" ht="30.75" customHeight="1" x14ac:dyDescent="0.3">
      <c r="A807" s="83">
        <v>1</v>
      </c>
      <c r="B807" s="166" t="s">
        <v>5497</v>
      </c>
      <c r="C807" s="82" t="s">
        <v>5498</v>
      </c>
      <c r="D807" s="83">
        <v>1</v>
      </c>
      <c r="E807" s="183"/>
      <c r="F807" s="183"/>
    </row>
    <row r="808" spans="1:6" ht="12" customHeight="1" x14ac:dyDescent="0.3">
      <c r="A808" s="11"/>
      <c r="B808" s="162" t="s">
        <v>5499</v>
      </c>
      <c r="C808" s="11"/>
      <c r="D808" s="11"/>
      <c r="E808" s="11"/>
      <c r="F808" s="187"/>
    </row>
    <row r="809" spans="1:6" ht="9.75" customHeight="1" x14ac:dyDescent="0.3">
      <c r="A809" s="11"/>
      <c r="B809" s="162" t="s">
        <v>5500</v>
      </c>
      <c r="C809" s="11"/>
      <c r="D809" s="11"/>
      <c r="E809" s="11"/>
      <c r="F809" s="11"/>
    </row>
    <row r="810" spans="1:6" ht="12" customHeight="1" x14ac:dyDescent="0.3">
      <c r="A810" s="182" t="s">
        <v>5501</v>
      </c>
      <c r="B810" s="163" t="s">
        <v>5502</v>
      </c>
      <c r="C810" s="11"/>
      <c r="D810" s="11"/>
      <c r="E810" s="11"/>
      <c r="F810" s="11"/>
    </row>
    <row r="811" spans="1:6" ht="30.75" customHeight="1" x14ac:dyDescent="0.3">
      <c r="A811" s="83">
        <v>1</v>
      </c>
      <c r="B811" s="166" t="s">
        <v>5503</v>
      </c>
      <c r="C811" s="82" t="s">
        <v>5504</v>
      </c>
      <c r="D811" s="83">
        <v>1</v>
      </c>
      <c r="E811" s="183"/>
      <c r="F811" s="183"/>
    </row>
    <row r="812" spans="1:6" ht="42.75" customHeight="1" x14ac:dyDescent="0.3">
      <c r="A812" s="68">
        <v>2</v>
      </c>
      <c r="B812" s="166" t="s">
        <v>5505</v>
      </c>
      <c r="C812" s="72" t="s">
        <v>5506</v>
      </c>
      <c r="D812" s="68">
        <v>1</v>
      </c>
      <c r="E812" s="184"/>
      <c r="F812" s="184"/>
    </row>
    <row r="813" spans="1:6" ht="12" customHeight="1" x14ac:dyDescent="0.3">
      <c r="A813" s="182" t="s">
        <v>5507</v>
      </c>
      <c r="B813" s="163" t="s">
        <v>5508</v>
      </c>
      <c r="C813" s="11"/>
      <c r="D813" s="11"/>
      <c r="E813" s="11"/>
      <c r="F813" s="11"/>
    </row>
    <row r="814" spans="1:6" ht="30.75" customHeight="1" x14ac:dyDescent="0.3">
      <c r="A814" s="83">
        <v>1</v>
      </c>
      <c r="B814" s="166" t="s">
        <v>5509</v>
      </c>
      <c r="C814" s="82" t="s">
        <v>5510</v>
      </c>
      <c r="D814" s="83">
        <v>1</v>
      </c>
      <c r="E814" s="183"/>
      <c r="F814" s="183"/>
    </row>
    <row r="815" spans="1:6" ht="12" customHeight="1" x14ac:dyDescent="0.3">
      <c r="A815" s="182" t="s">
        <v>5511</v>
      </c>
      <c r="B815" s="163" t="s">
        <v>5512</v>
      </c>
      <c r="C815" s="11"/>
      <c r="D815" s="11"/>
      <c r="E815" s="11"/>
      <c r="F815" s="11"/>
    </row>
    <row r="816" spans="1:6" ht="30.75" customHeight="1" x14ac:dyDescent="0.3">
      <c r="A816" s="83">
        <v>1</v>
      </c>
      <c r="B816" s="166" t="s">
        <v>5513</v>
      </c>
      <c r="C816" s="82" t="s">
        <v>5514</v>
      </c>
      <c r="D816" s="83">
        <v>1</v>
      </c>
      <c r="E816" s="183"/>
      <c r="F816" s="183"/>
    </row>
    <row r="817" spans="1:6" ht="30.75" customHeight="1" x14ac:dyDescent="0.3">
      <c r="A817" s="83">
        <v>2</v>
      </c>
      <c r="B817" s="166" t="s">
        <v>5515</v>
      </c>
      <c r="C817" s="82" t="s">
        <v>5516</v>
      </c>
      <c r="D817" s="83">
        <v>80</v>
      </c>
      <c r="E817" s="185"/>
      <c r="F817" s="183"/>
    </row>
    <row r="818" spans="1:6" ht="12" customHeight="1" x14ac:dyDescent="0.3">
      <c r="A818" s="11"/>
      <c r="B818" s="162" t="s">
        <v>5517</v>
      </c>
      <c r="C818" s="11"/>
      <c r="D818" s="11"/>
      <c r="E818" s="11"/>
      <c r="F818" s="187"/>
    </row>
    <row r="819" spans="1:6" ht="9.75" customHeight="1" x14ac:dyDescent="0.3">
      <c r="A819" s="11"/>
      <c r="B819" s="162" t="s">
        <v>5518</v>
      </c>
      <c r="C819" s="11"/>
      <c r="D819" s="11"/>
      <c r="E819" s="11"/>
      <c r="F819" s="11"/>
    </row>
    <row r="820" spans="1:6" ht="12" customHeight="1" x14ac:dyDescent="0.3">
      <c r="A820" s="182" t="s">
        <v>5519</v>
      </c>
      <c r="B820" s="163" t="s">
        <v>5520</v>
      </c>
      <c r="C820" s="11"/>
      <c r="D820" s="11"/>
      <c r="E820" s="11"/>
      <c r="F820" s="11"/>
    </row>
    <row r="821" spans="1:6" ht="30.75" customHeight="1" x14ac:dyDescent="0.3">
      <c r="A821" s="83">
        <v>1</v>
      </c>
      <c r="B821" s="166" t="s">
        <v>5521</v>
      </c>
      <c r="C821" s="195" t="s">
        <v>5522</v>
      </c>
      <c r="D821" s="83">
        <v>1</v>
      </c>
      <c r="E821" s="196"/>
      <c r="F821" s="183"/>
    </row>
    <row r="822" spans="1:6" ht="12" customHeight="1" x14ac:dyDescent="0.3">
      <c r="A822" s="11"/>
      <c r="B822" s="162" t="s">
        <v>5523</v>
      </c>
      <c r="C822" s="11"/>
      <c r="D822" s="11"/>
      <c r="E822" s="11"/>
      <c r="F822" s="187"/>
    </row>
    <row r="823" spans="1:6" ht="9.75" customHeight="1" x14ac:dyDescent="0.3">
      <c r="A823" s="11"/>
      <c r="B823" s="162" t="s">
        <v>5524</v>
      </c>
      <c r="C823" s="11"/>
      <c r="D823" s="11"/>
      <c r="E823" s="11"/>
      <c r="F823" s="11"/>
    </row>
    <row r="824" spans="1:6" ht="12" customHeight="1" x14ac:dyDescent="0.3">
      <c r="A824" s="182" t="s">
        <v>5525</v>
      </c>
      <c r="B824" s="163" t="s">
        <v>5526</v>
      </c>
      <c r="C824" s="11"/>
      <c r="D824" s="11"/>
      <c r="E824" s="11"/>
      <c r="F824" s="11"/>
    </row>
    <row r="825" spans="1:6" ht="37.5" customHeight="1" x14ac:dyDescent="0.3">
      <c r="A825" s="68">
        <v>1</v>
      </c>
      <c r="B825" s="166" t="s">
        <v>5527</v>
      </c>
      <c r="C825" s="72" t="s">
        <v>5528</v>
      </c>
      <c r="D825" s="68">
        <v>1008</v>
      </c>
      <c r="E825" s="184"/>
      <c r="F825" s="184"/>
    </row>
    <row r="826" spans="1:6" ht="12" customHeight="1" x14ac:dyDescent="0.3">
      <c r="A826" s="182" t="s">
        <v>5529</v>
      </c>
      <c r="B826" s="163" t="s">
        <v>5530</v>
      </c>
      <c r="C826" s="11"/>
      <c r="D826" s="11"/>
      <c r="E826" s="11"/>
      <c r="F826" s="11"/>
    </row>
    <row r="827" spans="1:6" ht="30.75" customHeight="1" x14ac:dyDescent="0.3">
      <c r="A827" s="83">
        <v>1</v>
      </c>
      <c r="B827" s="166" t="s">
        <v>5531</v>
      </c>
      <c r="C827" s="82" t="s">
        <v>5532</v>
      </c>
      <c r="D827" s="83">
        <v>1</v>
      </c>
      <c r="E827" s="183"/>
      <c r="F827" s="183"/>
    </row>
    <row r="828" spans="1:6" ht="33.75" customHeight="1" x14ac:dyDescent="0.3">
      <c r="A828" s="68">
        <v>2</v>
      </c>
      <c r="B828" s="9" t="s">
        <v>5533</v>
      </c>
      <c r="C828" s="72" t="s">
        <v>5534</v>
      </c>
      <c r="D828" s="68">
        <v>1</v>
      </c>
      <c r="E828" s="184"/>
      <c r="F828" s="184"/>
    </row>
    <row r="829" spans="1:6" ht="30.75" customHeight="1" x14ac:dyDescent="0.3">
      <c r="A829" s="83">
        <v>3</v>
      </c>
      <c r="B829" s="9" t="s">
        <v>5535</v>
      </c>
      <c r="C829" s="82" t="s">
        <v>5536</v>
      </c>
      <c r="D829" s="83">
        <v>2</v>
      </c>
      <c r="E829" s="183"/>
      <c r="F829" s="183"/>
    </row>
    <row r="830" spans="1:6" ht="30.75" customHeight="1" x14ac:dyDescent="0.3">
      <c r="A830" s="83">
        <v>4</v>
      </c>
      <c r="B830" s="9" t="s">
        <v>5537</v>
      </c>
      <c r="C830" s="82" t="s">
        <v>5538</v>
      </c>
      <c r="D830" s="83">
        <v>2</v>
      </c>
      <c r="E830" s="183"/>
      <c r="F830" s="183"/>
    </row>
    <row r="831" spans="1:6" ht="12" customHeight="1" x14ac:dyDescent="0.3">
      <c r="A831" s="182" t="s">
        <v>5539</v>
      </c>
      <c r="B831" s="163" t="s">
        <v>5540</v>
      </c>
      <c r="C831" s="11"/>
      <c r="D831" s="11"/>
      <c r="E831" s="11"/>
      <c r="F831" s="11"/>
    </row>
    <row r="832" spans="1:6" ht="30.75" customHeight="1" x14ac:dyDescent="0.3">
      <c r="A832" s="83">
        <v>1</v>
      </c>
      <c r="B832" s="166" t="s">
        <v>5541</v>
      </c>
      <c r="C832" s="82" t="s">
        <v>5542</v>
      </c>
      <c r="D832" s="83">
        <v>2</v>
      </c>
      <c r="E832" s="183"/>
      <c r="F832" s="183"/>
    </row>
    <row r="833" spans="1:6" ht="30.75" customHeight="1" x14ac:dyDescent="0.3">
      <c r="A833" s="83">
        <v>2</v>
      </c>
      <c r="B833" s="166" t="s">
        <v>5543</v>
      </c>
      <c r="C833" s="82" t="s">
        <v>5544</v>
      </c>
      <c r="D833" s="83">
        <v>2</v>
      </c>
      <c r="E833" s="183"/>
      <c r="F833" s="183"/>
    </row>
    <row r="834" spans="1:6" ht="12" customHeight="1" x14ac:dyDescent="0.3">
      <c r="A834" s="11"/>
      <c r="B834" s="162" t="s">
        <v>5545</v>
      </c>
      <c r="C834" s="11"/>
      <c r="D834" s="11"/>
      <c r="E834" s="11"/>
      <c r="F834" s="187"/>
    </row>
    <row r="835" spans="1:6" ht="9.75" customHeight="1" x14ac:dyDescent="0.3">
      <c r="A835" s="11"/>
      <c r="B835" s="162" t="s">
        <v>5546</v>
      </c>
      <c r="C835" s="11"/>
      <c r="D835" s="11"/>
      <c r="E835" s="11"/>
      <c r="F835" s="11"/>
    </row>
    <row r="836" spans="1:6" ht="12" customHeight="1" x14ac:dyDescent="0.3">
      <c r="A836" s="182" t="s">
        <v>5547</v>
      </c>
      <c r="B836" s="163" t="s">
        <v>5548</v>
      </c>
      <c r="C836" s="11"/>
      <c r="D836" s="11"/>
      <c r="E836" s="11"/>
      <c r="F836" s="11"/>
    </row>
    <row r="837" spans="1:6" ht="51" customHeight="1" x14ac:dyDescent="0.3">
      <c r="A837" s="83">
        <v>1</v>
      </c>
      <c r="B837" s="9" t="s">
        <v>5549</v>
      </c>
      <c r="C837" s="82" t="s">
        <v>5550</v>
      </c>
      <c r="D837" s="83">
        <v>1</v>
      </c>
      <c r="E837" s="183"/>
      <c r="F837" s="183"/>
    </row>
    <row r="838" spans="1:6" ht="30.75" customHeight="1" x14ac:dyDescent="0.3">
      <c r="A838" s="83">
        <v>3</v>
      </c>
      <c r="B838" s="166" t="s">
        <v>5551</v>
      </c>
      <c r="C838" s="82" t="s">
        <v>5552</v>
      </c>
      <c r="D838" s="83">
        <v>5</v>
      </c>
      <c r="E838" s="183"/>
      <c r="F838" s="183"/>
    </row>
    <row r="839" spans="1:6" ht="42.75" customHeight="1" x14ac:dyDescent="0.3">
      <c r="A839" s="68">
        <v>4</v>
      </c>
      <c r="B839" s="166" t="s">
        <v>5553</v>
      </c>
      <c r="C839" s="72" t="s">
        <v>5554</v>
      </c>
      <c r="D839" s="68">
        <v>5</v>
      </c>
      <c r="E839" s="184"/>
      <c r="F839" s="184"/>
    </row>
    <row r="840" spans="1:6" ht="30.75" customHeight="1" x14ac:dyDescent="0.3">
      <c r="A840" s="83">
        <v>5</v>
      </c>
      <c r="B840" s="9" t="s">
        <v>5555</v>
      </c>
      <c r="C840" s="82" t="s">
        <v>5556</v>
      </c>
      <c r="D840" s="83">
        <v>5</v>
      </c>
      <c r="E840" s="183"/>
      <c r="F840" s="183"/>
    </row>
    <row r="841" spans="1:6" ht="30.75" customHeight="1" x14ac:dyDescent="0.3">
      <c r="A841" s="83">
        <v>6</v>
      </c>
      <c r="B841" s="9" t="s">
        <v>5557</v>
      </c>
      <c r="C841" s="82" t="s">
        <v>5558</v>
      </c>
      <c r="D841" s="83">
        <v>5</v>
      </c>
      <c r="E841" s="183"/>
      <c r="F841" s="183"/>
    </row>
    <row r="842" spans="1:6" ht="12" customHeight="1" x14ac:dyDescent="0.3">
      <c r="A842" s="182" t="s">
        <v>5559</v>
      </c>
      <c r="B842" s="163" t="s">
        <v>5560</v>
      </c>
      <c r="C842" s="11"/>
      <c r="D842" s="11"/>
      <c r="E842" s="11"/>
      <c r="F842" s="11"/>
    </row>
    <row r="843" spans="1:6" ht="33.75" customHeight="1" x14ac:dyDescent="0.3">
      <c r="A843" s="68">
        <v>1</v>
      </c>
      <c r="B843" s="9" t="s">
        <v>5561</v>
      </c>
      <c r="C843" s="72" t="s">
        <v>5562</v>
      </c>
      <c r="D843" s="68">
        <v>5</v>
      </c>
      <c r="E843" s="184"/>
      <c r="F843" s="184"/>
    </row>
    <row r="844" spans="1:6" ht="18" customHeight="1" x14ac:dyDescent="0.3">
      <c r="A844" s="68">
        <v>2</v>
      </c>
      <c r="B844" s="9" t="s">
        <v>5563</v>
      </c>
      <c r="C844" s="72" t="s">
        <v>5564</v>
      </c>
      <c r="D844" s="68">
        <v>1</v>
      </c>
      <c r="E844" s="184"/>
      <c r="F844" s="184"/>
    </row>
    <row r="845" spans="1:6" ht="17.25" customHeight="1" x14ac:dyDescent="0.3">
      <c r="A845" s="68">
        <v>3</v>
      </c>
      <c r="B845" s="166" t="s">
        <v>5565</v>
      </c>
      <c r="C845" s="72" t="s">
        <v>5566</v>
      </c>
      <c r="D845" s="68">
        <v>1</v>
      </c>
      <c r="E845" s="184"/>
      <c r="F845" s="184"/>
    </row>
    <row r="846" spans="1:6" ht="12" customHeight="1" x14ac:dyDescent="0.3">
      <c r="A846" s="182" t="s">
        <v>5567</v>
      </c>
      <c r="B846" s="163" t="s">
        <v>5568</v>
      </c>
      <c r="C846" s="11"/>
      <c r="D846" s="11"/>
      <c r="E846" s="11"/>
      <c r="F846" s="11"/>
    </row>
    <row r="847" spans="1:6" ht="42.75" customHeight="1" x14ac:dyDescent="0.3">
      <c r="A847" s="68">
        <v>1</v>
      </c>
      <c r="B847" s="9" t="s">
        <v>5569</v>
      </c>
      <c r="C847" s="72" t="s">
        <v>5570</v>
      </c>
      <c r="D847" s="68">
        <v>13</v>
      </c>
      <c r="E847" s="184"/>
      <c r="F847" s="184"/>
    </row>
    <row r="848" spans="1:6" ht="77.25" customHeight="1" x14ac:dyDescent="0.3">
      <c r="A848" s="83">
        <v>2</v>
      </c>
      <c r="B848" s="166" t="s">
        <v>5571</v>
      </c>
      <c r="C848" s="82" t="s">
        <v>5572</v>
      </c>
      <c r="D848" s="83">
        <v>2</v>
      </c>
      <c r="E848" s="183"/>
      <c r="F848" s="183"/>
    </row>
    <row r="849" spans="1:6" ht="33.75" customHeight="1" x14ac:dyDescent="0.3">
      <c r="A849" s="68">
        <v>3</v>
      </c>
      <c r="B849" s="166" t="s">
        <v>5573</v>
      </c>
      <c r="C849" s="72" t="s">
        <v>5574</v>
      </c>
      <c r="D849" s="68">
        <v>12</v>
      </c>
      <c r="E849" s="184"/>
      <c r="F849" s="184"/>
    </row>
    <row r="850" spans="1:6" ht="42.75" customHeight="1" x14ac:dyDescent="0.3">
      <c r="A850" s="68">
        <v>4</v>
      </c>
      <c r="B850" s="9" t="s">
        <v>5575</v>
      </c>
      <c r="C850" s="72" t="s">
        <v>5576</v>
      </c>
      <c r="D850" s="68">
        <v>2</v>
      </c>
      <c r="E850" s="184"/>
      <c r="F850" s="184"/>
    </row>
    <row r="851" spans="1:6" ht="12" customHeight="1" x14ac:dyDescent="0.3">
      <c r="A851" s="182" t="s">
        <v>5577</v>
      </c>
      <c r="B851" s="163" t="s">
        <v>5578</v>
      </c>
      <c r="C851" s="11"/>
      <c r="D851" s="11"/>
      <c r="E851" s="11"/>
      <c r="F851" s="11"/>
    </row>
    <row r="852" spans="1:6" ht="18" customHeight="1" x14ac:dyDescent="0.3">
      <c r="A852" s="68">
        <v>1</v>
      </c>
      <c r="B852" s="9" t="s">
        <v>5579</v>
      </c>
      <c r="C852" s="72" t="s">
        <v>5580</v>
      </c>
      <c r="D852" s="68">
        <v>8</v>
      </c>
      <c r="E852" s="184"/>
      <c r="F852" s="184"/>
    </row>
    <row r="853" spans="1:6" ht="25.5" customHeight="1" x14ac:dyDescent="0.3">
      <c r="A853" s="68">
        <v>2</v>
      </c>
      <c r="B853" s="9" t="s">
        <v>5581</v>
      </c>
      <c r="C853" s="72" t="s">
        <v>5582</v>
      </c>
      <c r="D853" s="68">
        <v>1</v>
      </c>
      <c r="E853" s="184"/>
      <c r="F853" s="184"/>
    </row>
    <row r="854" spans="1:6" ht="30.75" customHeight="1" x14ac:dyDescent="0.3">
      <c r="A854" s="83">
        <v>3</v>
      </c>
      <c r="B854" s="166" t="s">
        <v>5583</v>
      </c>
      <c r="C854" s="82" t="s">
        <v>5584</v>
      </c>
      <c r="D854" s="83">
        <v>3</v>
      </c>
      <c r="E854" s="183"/>
      <c r="F854" s="183"/>
    </row>
    <row r="855" spans="1:6" ht="18" customHeight="1" x14ac:dyDescent="0.3">
      <c r="A855" s="68">
        <v>4</v>
      </c>
      <c r="B855" s="9" t="s">
        <v>5585</v>
      </c>
      <c r="C855" s="72" t="s">
        <v>5586</v>
      </c>
      <c r="D855" s="68">
        <v>1</v>
      </c>
      <c r="E855" s="184"/>
      <c r="F855" s="184"/>
    </row>
    <row r="856" spans="1:6" ht="33.75" customHeight="1" x14ac:dyDescent="0.3">
      <c r="A856" s="68">
        <v>5</v>
      </c>
      <c r="B856" s="9" t="s">
        <v>5587</v>
      </c>
      <c r="C856" s="72" t="s">
        <v>5588</v>
      </c>
      <c r="D856" s="68">
        <v>1</v>
      </c>
      <c r="E856" s="184"/>
      <c r="F856" s="184"/>
    </row>
    <row r="857" spans="1:6" ht="30.75" customHeight="1" x14ac:dyDescent="0.3">
      <c r="A857" s="83">
        <v>6</v>
      </c>
      <c r="B857" s="166" t="s">
        <v>5589</v>
      </c>
      <c r="C857" s="82" t="s">
        <v>5590</v>
      </c>
      <c r="D857" s="83">
        <v>1</v>
      </c>
      <c r="E857" s="183"/>
      <c r="F857" s="183"/>
    </row>
    <row r="858" spans="1:6" ht="12" customHeight="1" x14ac:dyDescent="0.3">
      <c r="A858" s="182" t="s">
        <v>5591</v>
      </c>
      <c r="B858" s="163" t="s">
        <v>5592</v>
      </c>
      <c r="C858" s="11"/>
      <c r="D858" s="11"/>
      <c r="E858" s="11"/>
      <c r="F858" s="11"/>
    </row>
    <row r="859" spans="1:6" ht="33.75" customHeight="1" x14ac:dyDescent="0.3">
      <c r="A859" s="68">
        <v>1</v>
      </c>
      <c r="B859" s="166" t="s">
        <v>5593</v>
      </c>
      <c r="C859" s="72" t="s">
        <v>5594</v>
      </c>
      <c r="D859" s="68">
        <v>1</v>
      </c>
      <c r="E859" s="184"/>
      <c r="F859" s="184"/>
    </row>
    <row r="860" spans="1:6" ht="12" customHeight="1" x14ac:dyDescent="0.3">
      <c r="A860" s="182" t="s">
        <v>5595</v>
      </c>
      <c r="B860" s="163" t="s">
        <v>5596</v>
      </c>
      <c r="C860" s="11"/>
      <c r="D860" s="11"/>
      <c r="E860" s="11"/>
      <c r="F860" s="11"/>
    </row>
    <row r="861" spans="1:6" ht="30.75" customHeight="1" x14ac:dyDescent="0.3">
      <c r="A861" s="83">
        <v>1</v>
      </c>
      <c r="B861" s="166" t="s">
        <v>5597</v>
      </c>
      <c r="C861" s="82" t="s">
        <v>5598</v>
      </c>
      <c r="D861" s="83">
        <v>6</v>
      </c>
      <c r="E861" s="183"/>
      <c r="F861" s="183"/>
    </row>
    <row r="862" spans="1:6" ht="30.75" customHeight="1" x14ac:dyDescent="0.3">
      <c r="A862" s="83">
        <v>2</v>
      </c>
      <c r="B862" s="166" t="s">
        <v>5599</v>
      </c>
      <c r="C862" s="82" t="s">
        <v>5600</v>
      </c>
      <c r="D862" s="83">
        <v>150</v>
      </c>
      <c r="E862" s="185"/>
      <c r="F862" s="183"/>
    </row>
    <row r="863" spans="1:6" ht="30.75" customHeight="1" x14ac:dyDescent="0.3">
      <c r="A863" s="83">
        <v>3</v>
      </c>
      <c r="B863" s="166" t="s">
        <v>5601</v>
      </c>
      <c r="C863" s="82" t="s">
        <v>5602</v>
      </c>
      <c r="D863" s="83">
        <v>15</v>
      </c>
      <c r="E863" s="183"/>
      <c r="F863" s="183"/>
    </row>
    <row r="864" spans="1:6" ht="30.75" customHeight="1" x14ac:dyDescent="0.3">
      <c r="A864" s="83">
        <v>4</v>
      </c>
      <c r="B864" s="166" t="s">
        <v>5603</v>
      </c>
      <c r="C864" s="82" t="s">
        <v>5604</v>
      </c>
      <c r="D864" s="83">
        <v>4</v>
      </c>
      <c r="E864" s="183"/>
      <c r="F864" s="183"/>
    </row>
    <row r="865" spans="1:6" ht="30.75" customHeight="1" x14ac:dyDescent="0.3">
      <c r="A865" s="83">
        <v>5</v>
      </c>
      <c r="B865" s="166" t="s">
        <v>5605</v>
      </c>
      <c r="C865" s="82" t="s">
        <v>5606</v>
      </c>
      <c r="D865" s="83">
        <v>4</v>
      </c>
      <c r="E865" s="183"/>
      <c r="F865" s="183"/>
    </row>
    <row r="866" spans="1:6" ht="30.75" customHeight="1" x14ac:dyDescent="0.3">
      <c r="A866" s="83">
        <v>6</v>
      </c>
      <c r="B866" s="166" t="s">
        <v>5607</v>
      </c>
      <c r="C866" s="82" t="s">
        <v>5608</v>
      </c>
      <c r="D866" s="83">
        <v>100</v>
      </c>
      <c r="E866" s="185"/>
      <c r="F866" s="183"/>
    </row>
    <row r="867" spans="1:6" ht="30.75" customHeight="1" x14ac:dyDescent="0.3">
      <c r="A867" s="83">
        <v>7</v>
      </c>
      <c r="B867" s="166" t="s">
        <v>5609</v>
      </c>
      <c r="C867" s="82" t="s">
        <v>5610</v>
      </c>
      <c r="D867" s="83">
        <v>150</v>
      </c>
      <c r="E867" s="185"/>
      <c r="F867" s="183"/>
    </row>
    <row r="868" spans="1:6" ht="30.75" customHeight="1" x14ac:dyDescent="0.3">
      <c r="A868" s="83">
        <v>8</v>
      </c>
      <c r="B868" s="166" t="s">
        <v>5611</v>
      </c>
      <c r="C868" s="82" t="s">
        <v>5612</v>
      </c>
      <c r="D868" s="83">
        <v>6</v>
      </c>
      <c r="E868" s="183"/>
      <c r="F868" s="183"/>
    </row>
    <row r="869" spans="1:6" ht="46.5" customHeight="1" x14ac:dyDescent="0.3">
      <c r="A869" s="83">
        <v>9</v>
      </c>
      <c r="B869" s="166" t="s">
        <v>5613</v>
      </c>
      <c r="C869" s="82" t="s">
        <v>5614</v>
      </c>
      <c r="D869" s="83">
        <v>1</v>
      </c>
      <c r="E869" s="183"/>
      <c r="F869" s="183"/>
    </row>
    <row r="870" spans="1:6" ht="12" customHeight="1" x14ac:dyDescent="0.3">
      <c r="A870" s="11"/>
      <c r="B870" s="182" t="s">
        <v>5615</v>
      </c>
      <c r="C870" s="11"/>
      <c r="D870" s="11"/>
      <c r="E870" s="11"/>
      <c r="F870" s="187"/>
    </row>
    <row r="871" spans="1:6" ht="12.75" customHeight="1" x14ac:dyDescent="0.3"/>
    <row r="872" spans="1:6" ht="12.75" customHeight="1" x14ac:dyDescent="0.3"/>
    <row r="873" spans="1:6" ht="12.75" customHeight="1" x14ac:dyDescent="0.3"/>
    <row r="874" spans="1:6" ht="12.75" customHeight="1" x14ac:dyDescent="0.3"/>
    <row r="875" spans="1:6" ht="12.75" customHeight="1" x14ac:dyDescent="0.3"/>
    <row r="876" spans="1:6" ht="12.75" customHeight="1" x14ac:dyDescent="0.3"/>
    <row r="877" spans="1:6" ht="12.75" customHeight="1" x14ac:dyDescent="0.3"/>
    <row r="878" spans="1:6" ht="12.75" customHeight="1" x14ac:dyDescent="0.3"/>
    <row r="879" spans="1:6" ht="12.75" customHeight="1" x14ac:dyDescent="0.3"/>
    <row r="880" spans="1:6"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16">
    <mergeCell ref="B319:F319"/>
    <mergeCell ref="C338:E338"/>
    <mergeCell ref="B774:F774"/>
    <mergeCell ref="B784:F784"/>
    <mergeCell ref="B340:F340"/>
    <mergeCell ref="B351:F351"/>
    <mergeCell ref="C370:E370"/>
    <mergeCell ref="A427:F427"/>
    <mergeCell ref="A484:F484"/>
    <mergeCell ref="B744:F744"/>
    <mergeCell ref="B754:F754"/>
    <mergeCell ref="A1:G1"/>
    <mergeCell ref="A2:G2"/>
    <mergeCell ref="A3:F3"/>
    <mergeCell ref="C28:F28"/>
    <mergeCell ref="B308:F308"/>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00"/>
  <sheetViews>
    <sheetView workbookViewId="0"/>
  </sheetViews>
  <sheetFormatPr defaultColWidth="14.3984375" defaultRowHeight="15" customHeight="1" x14ac:dyDescent="0.3"/>
  <cols>
    <col min="1" max="1" width="11.8984375" customWidth="1"/>
    <col min="2" max="2" width="111.09765625" customWidth="1"/>
    <col min="3" max="3" width="36.296875" customWidth="1"/>
    <col min="4" max="4" width="19.8984375" customWidth="1"/>
    <col min="5" max="26" width="8.69921875" customWidth="1"/>
  </cols>
  <sheetData>
    <row r="1" spans="1:4" ht="60.75" customHeight="1" x14ac:dyDescent="0.3">
      <c r="A1" s="233" t="s">
        <v>5616</v>
      </c>
      <c r="B1" s="213"/>
      <c r="C1" s="213"/>
      <c r="D1" s="213"/>
    </row>
    <row r="2" spans="1:4" ht="21" customHeight="1" x14ac:dyDescent="0.3">
      <c r="A2" s="264" t="s">
        <v>5617</v>
      </c>
      <c r="B2" s="215"/>
      <c r="C2" s="215"/>
    </row>
    <row r="3" spans="1:4" ht="22.5" customHeight="1" x14ac:dyDescent="0.3">
      <c r="A3" s="265" t="s">
        <v>5618</v>
      </c>
      <c r="B3" s="266" t="s">
        <v>5619</v>
      </c>
      <c r="C3" s="198" t="s">
        <v>5620</v>
      </c>
    </row>
    <row r="4" spans="1:4" ht="24.75" customHeight="1" x14ac:dyDescent="0.3">
      <c r="A4" s="217"/>
      <c r="B4" s="217"/>
      <c r="C4" s="199" t="s">
        <v>5621</v>
      </c>
    </row>
    <row r="5" spans="1:4" ht="41.25" customHeight="1" x14ac:dyDescent="0.3">
      <c r="A5" s="200">
        <v>1</v>
      </c>
      <c r="B5" s="9" t="s">
        <v>5622</v>
      </c>
      <c r="C5" s="201"/>
    </row>
    <row r="6" spans="1:4" ht="41.25" customHeight="1" x14ac:dyDescent="0.3">
      <c r="A6" s="200">
        <v>2</v>
      </c>
      <c r="B6" s="202" t="s">
        <v>5623</v>
      </c>
      <c r="C6" s="201"/>
    </row>
    <row r="7" spans="1:4" ht="41.25" customHeight="1" x14ac:dyDescent="0.3">
      <c r="A7" s="200">
        <v>3</v>
      </c>
      <c r="B7" s="202" t="s">
        <v>5624</v>
      </c>
      <c r="C7" s="201"/>
    </row>
    <row r="8" spans="1:4" ht="31.5" customHeight="1" x14ac:dyDescent="0.3">
      <c r="A8" s="200">
        <v>4</v>
      </c>
      <c r="B8" s="203" t="s">
        <v>5625</v>
      </c>
      <c r="C8" s="204"/>
    </row>
    <row r="9" spans="1:4" ht="12.75" customHeight="1" x14ac:dyDescent="0.3"/>
    <row r="10" spans="1:4" ht="12.75" customHeight="1" x14ac:dyDescent="0.3"/>
    <row r="11" spans="1:4" ht="12.75" customHeight="1" x14ac:dyDescent="0.3"/>
    <row r="12" spans="1:4" ht="12.75" customHeight="1" x14ac:dyDescent="0.3"/>
    <row r="13" spans="1:4" ht="12.75" customHeight="1" x14ac:dyDescent="0.3"/>
    <row r="14" spans="1:4" ht="12.75" customHeight="1" x14ac:dyDescent="0.3"/>
    <row r="15" spans="1:4" ht="12.75" customHeight="1" x14ac:dyDescent="0.3"/>
    <row r="16" spans="1:4" ht="12.75" customHeight="1" x14ac:dyDescent="0.3"/>
    <row r="17" ht="12.75" customHeight="1" x14ac:dyDescent="0.3"/>
    <row r="18" ht="12.75" customHeight="1" x14ac:dyDescent="0.3"/>
    <row r="19" ht="12.75" customHeight="1" x14ac:dyDescent="0.3"/>
    <row r="20" ht="12.75" customHeight="1" x14ac:dyDescent="0.3"/>
    <row r="21" ht="12.75" customHeight="1" x14ac:dyDescent="0.3"/>
    <row r="22" ht="12.75" customHeight="1" x14ac:dyDescent="0.3"/>
    <row r="23" ht="12.75" customHeight="1" x14ac:dyDescent="0.3"/>
    <row r="24" ht="12.75" customHeight="1" x14ac:dyDescent="0.3"/>
    <row r="25" ht="12.75" customHeight="1" x14ac:dyDescent="0.3"/>
    <row r="26" ht="12.75" customHeight="1" x14ac:dyDescent="0.3"/>
    <row r="27" ht="12.75" customHeight="1" x14ac:dyDescent="0.3"/>
    <row r="28" ht="12.75" customHeight="1" x14ac:dyDescent="0.3"/>
    <row r="29" ht="12.75" customHeight="1" x14ac:dyDescent="0.3"/>
    <row r="30" ht="12.75" customHeight="1" x14ac:dyDescent="0.3"/>
    <row r="31" ht="12.75" customHeight="1" x14ac:dyDescent="0.3"/>
    <row r="32"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4">
    <mergeCell ref="A1:D1"/>
    <mergeCell ref="A2:C2"/>
    <mergeCell ref="A3:A4"/>
    <mergeCell ref="B3:B4"/>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00"/>
  <sheetViews>
    <sheetView workbookViewId="0"/>
  </sheetViews>
  <sheetFormatPr defaultColWidth="14.3984375" defaultRowHeight="15" customHeight="1" x14ac:dyDescent="0.3"/>
  <cols>
    <col min="1" max="1" width="5.8984375" customWidth="1"/>
    <col min="2" max="2" width="100.296875" customWidth="1"/>
    <col min="3" max="3" width="8.296875" customWidth="1"/>
    <col min="4" max="4" width="11.09765625" customWidth="1"/>
    <col min="5" max="5" width="14" customWidth="1"/>
    <col min="6" max="6" width="20" customWidth="1"/>
    <col min="7" max="26" width="8.69921875" customWidth="1"/>
  </cols>
  <sheetData>
    <row r="1" spans="1:6" ht="13.5" customHeight="1" x14ac:dyDescent="0.3">
      <c r="A1" s="205"/>
      <c r="B1" s="1" t="s">
        <v>5626</v>
      </c>
      <c r="C1" s="205"/>
      <c r="D1" s="205"/>
      <c r="E1" s="205"/>
      <c r="F1" s="205"/>
    </row>
    <row r="2" spans="1:6" ht="24" customHeight="1" x14ac:dyDescent="0.3">
      <c r="A2" s="212" t="s">
        <v>5627</v>
      </c>
      <c r="B2" s="213"/>
      <c r="C2" s="213"/>
      <c r="D2" s="213"/>
      <c r="E2" s="213"/>
      <c r="F2" s="213"/>
    </row>
    <row r="3" spans="1:6" ht="13.5" customHeight="1" x14ac:dyDescent="0.3">
      <c r="A3" s="206"/>
      <c r="B3" s="207" t="s">
        <v>5628</v>
      </c>
      <c r="C3" s="206"/>
      <c r="D3" s="206"/>
      <c r="E3" s="206"/>
      <c r="F3" s="206"/>
    </row>
    <row r="4" spans="1:6" ht="27" customHeight="1" x14ac:dyDescent="0.3">
      <c r="A4" s="175" t="s">
        <v>5629</v>
      </c>
      <c r="B4" s="3" t="s">
        <v>5630</v>
      </c>
      <c r="C4" s="4" t="s">
        <v>5631</v>
      </c>
      <c r="D4" s="3" t="s">
        <v>5632</v>
      </c>
      <c r="E4" s="4" t="s">
        <v>5633</v>
      </c>
      <c r="F4" s="4" t="s">
        <v>5634</v>
      </c>
    </row>
    <row r="5" spans="1:6" ht="27" customHeight="1" x14ac:dyDescent="0.3">
      <c r="A5" s="208">
        <v>1</v>
      </c>
      <c r="B5" s="9" t="s">
        <v>5635</v>
      </c>
      <c r="C5" s="268" t="s">
        <v>5636</v>
      </c>
      <c r="D5" s="270">
        <v>1</v>
      </c>
      <c r="E5" s="271"/>
      <c r="F5" s="271"/>
    </row>
    <row r="6" spans="1:6" ht="13.5" customHeight="1" x14ac:dyDescent="0.3">
      <c r="A6" s="208">
        <v>2</v>
      </c>
      <c r="B6" s="9" t="s">
        <v>5637</v>
      </c>
      <c r="C6" s="269"/>
      <c r="D6" s="269"/>
      <c r="E6" s="269"/>
      <c r="F6" s="269"/>
    </row>
    <row r="7" spans="1:6" ht="13.5" customHeight="1" x14ac:dyDescent="0.3">
      <c r="A7" s="208">
        <v>3</v>
      </c>
      <c r="B7" s="9" t="s">
        <v>5638</v>
      </c>
      <c r="C7" s="269"/>
      <c r="D7" s="269"/>
      <c r="E7" s="269"/>
      <c r="F7" s="269"/>
    </row>
    <row r="8" spans="1:6" ht="13.5" customHeight="1" x14ac:dyDescent="0.3">
      <c r="A8" s="208">
        <v>4</v>
      </c>
      <c r="B8" s="9" t="s">
        <v>5639</v>
      </c>
      <c r="C8" s="269"/>
      <c r="D8" s="269"/>
      <c r="E8" s="269"/>
      <c r="F8" s="269"/>
    </row>
    <row r="9" spans="1:6" ht="13.5" customHeight="1" x14ac:dyDescent="0.3">
      <c r="A9" s="208">
        <v>5</v>
      </c>
      <c r="B9" s="9" t="s">
        <v>5640</v>
      </c>
      <c r="C9" s="269"/>
      <c r="D9" s="269"/>
      <c r="E9" s="269"/>
      <c r="F9" s="269"/>
    </row>
    <row r="10" spans="1:6" ht="13.5" customHeight="1" x14ac:dyDescent="0.3">
      <c r="A10" s="208">
        <v>6</v>
      </c>
      <c r="B10" s="6" t="s">
        <v>5641</v>
      </c>
      <c r="C10" s="269"/>
      <c r="D10" s="269"/>
      <c r="E10" s="269"/>
      <c r="F10" s="269"/>
    </row>
    <row r="11" spans="1:6" ht="13.5" customHeight="1" x14ac:dyDescent="0.3">
      <c r="A11" s="208">
        <v>7</v>
      </c>
      <c r="B11" s="6" t="s">
        <v>5642</v>
      </c>
      <c r="C11" s="269"/>
      <c r="D11" s="269"/>
      <c r="E11" s="269"/>
      <c r="F11" s="269"/>
    </row>
    <row r="12" spans="1:6" ht="17.25" customHeight="1" x14ac:dyDescent="0.3">
      <c r="A12" s="208">
        <v>8</v>
      </c>
      <c r="B12" s="6" t="s">
        <v>5643</v>
      </c>
      <c r="C12" s="217"/>
      <c r="D12" s="217"/>
      <c r="E12" s="217"/>
      <c r="F12" s="217"/>
    </row>
    <row r="13" spans="1:6" ht="41.25" customHeight="1" x14ac:dyDescent="0.3">
      <c r="A13" s="208">
        <v>9</v>
      </c>
      <c r="B13" s="9" t="s">
        <v>5644</v>
      </c>
      <c r="C13" s="138" t="s">
        <v>5645</v>
      </c>
      <c r="D13" s="208">
        <v>180</v>
      </c>
      <c r="E13" s="209"/>
      <c r="F13" s="209"/>
    </row>
    <row r="14" spans="1:6" ht="18" customHeight="1" x14ac:dyDescent="0.3">
      <c r="A14" s="208">
        <v>10</v>
      </c>
      <c r="B14" s="6" t="s">
        <v>5646</v>
      </c>
      <c r="C14" s="273" t="s">
        <v>5647</v>
      </c>
      <c r="D14" s="274">
        <v>1</v>
      </c>
      <c r="E14" s="267"/>
      <c r="F14" s="267"/>
    </row>
    <row r="15" spans="1:6" ht="21" customHeight="1" x14ac:dyDescent="0.3">
      <c r="A15" s="208">
        <v>11</v>
      </c>
      <c r="B15" s="9" t="s">
        <v>5648</v>
      </c>
      <c r="C15" s="217"/>
      <c r="D15" s="217"/>
      <c r="E15" s="217"/>
      <c r="F15" s="217"/>
    </row>
    <row r="16" spans="1:6" ht="13.5" customHeight="1" x14ac:dyDescent="0.3">
      <c r="A16" s="11"/>
      <c r="B16" s="210" t="s">
        <v>5649</v>
      </c>
      <c r="C16" s="11"/>
      <c r="D16" s="11"/>
      <c r="E16" s="11"/>
      <c r="F16" s="11"/>
    </row>
    <row r="17" spans="1:6" ht="52.5" customHeight="1" x14ac:dyDescent="0.3">
      <c r="A17" s="208">
        <v>12</v>
      </c>
      <c r="B17" s="9" t="s">
        <v>5650</v>
      </c>
      <c r="C17" s="268" t="s">
        <v>5651</v>
      </c>
      <c r="D17" s="270">
        <v>1</v>
      </c>
      <c r="E17" s="271"/>
      <c r="F17" s="271"/>
    </row>
    <row r="18" spans="1:6" ht="13.5" customHeight="1" x14ac:dyDescent="0.3">
      <c r="A18" s="208">
        <v>13</v>
      </c>
      <c r="B18" s="6" t="s">
        <v>5652</v>
      </c>
      <c r="C18" s="269"/>
      <c r="D18" s="269"/>
      <c r="E18" s="269"/>
      <c r="F18" s="269"/>
    </row>
    <row r="19" spans="1:6" ht="13.5" customHeight="1" x14ac:dyDescent="0.3">
      <c r="A19" s="208">
        <v>14</v>
      </c>
      <c r="B19" s="6" t="s">
        <v>5653</v>
      </c>
      <c r="C19" s="217"/>
      <c r="D19" s="217"/>
      <c r="E19" s="217"/>
      <c r="F19" s="217"/>
    </row>
    <row r="20" spans="1:6" ht="13.5" customHeight="1" x14ac:dyDescent="0.3">
      <c r="A20" s="272" t="s">
        <v>5654</v>
      </c>
      <c r="B20" s="220"/>
      <c r="C20" s="220"/>
      <c r="D20" s="220"/>
      <c r="E20" s="221"/>
      <c r="F20" s="211"/>
    </row>
    <row r="21" spans="1:6" ht="12.75" customHeight="1" x14ac:dyDescent="0.3"/>
    <row r="22" spans="1:6" ht="12.75" customHeight="1" x14ac:dyDescent="0.3"/>
    <row r="23" spans="1:6" ht="12.75" customHeight="1" x14ac:dyDescent="0.3"/>
    <row r="24" spans="1:6" ht="12.75" customHeight="1" x14ac:dyDescent="0.3"/>
    <row r="25" spans="1:6" ht="12.75" customHeight="1" x14ac:dyDescent="0.3"/>
    <row r="26" spans="1:6" ht="12.75" customHeight="1" x14ac:dyDescent="0.3"/>
    <row r="27" spans="1:6" ht="12.75" customHeight="1" x14ac:dyDescent="0.3"/>
    <row r="28" spans="1:6" ht="12.75" customHeight="1" x14ac:dyDescent="0.3"/>
    <row r="29" spans="1:6" ht="12.75" customHeight="1" x14ac:dyDescent="0.3"/>
    <row r="30" spans="1:6" ht="12.75" customHeight="1" x14ac:dyDescent="0.3"/>
    <row r="31" spans="1:6" ht="12.75" customHeight="1" x14ac:dyDescent="0.3"/>
    <row r="32" spans="1:6"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14">
    <mergeCell ref="A20:E20"/>
    <mergeCell ref="A2:F2"/>
    <mergeCell ref="C5:C12"/>
    <mergeCell ref="D5:D12"/>
    <mergeCell ref="E5:E12"/>
    <mergeCell ref="F5:F12"/>
    <mergeCell ref="C14:C15"/>
    <mergeCell ref="D14:D15"/>
    <mergeCell ref="E14:E15"/>
    <mergeCell ref="F14:F15"/>
    <mergeCell ref="C17:C19"/>
    <mergeCell ref="D17:D19"/>
    <mergeCell ref="E17:E19"/>
    <mergeCell ref="F17:F1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 OF ELECTRICAL &amp; ELV BOQ</vt:lpstr>
      <vt:lpstr>ELECTRICAL &amp; ELV BOQ</vt:lpstr>
      <vt:lpstr>LIGHT FIXTURES</vt:lpstr>
      <vt:lpstr>LMS</vt:lpstr>
      <vt:lpstr>FIRE FIGHTING</vt:lpstr>
      <vt:lpstr>SUMMARY OF HVAC WORK</vt:lpstr>
      <vt:lpstr>HVAC BOQ</vt:lpstr>
      <vt:lpstr>IT BOQ</vt:lpstr>
      <vt:lpstr>Hybrid PBX Solution</vt:lpstr>
      <vt:lpstr>AV</vt:lpstr>
      <vt:lpstr>AUDIO &amp; VISUAL SYSTEMS</vt:lpstr>
      <vt:lpstr>SUMMARY OF Kitchen Work BOQ</vt:lpstr>
      <vt:lpstr>PNG PIPELINE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Dhoundiyal</dc:creator>
  <cp:lastModifiedBy>Nitesh Kumar</cp:lastModifiedBy>
  <dcterms:created xsi:type="dcterms:W3CDTF">2026-05-04T02:54:06Z</dcterms:created>
  <dcterms:modified xsi:type="dcterms:W3CDTF">2026-05-18T20:14:37Z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2026-04-30T00:00:00Z</vt:filetime>
  </property>
  <property fmtid="{D5CDD505-2E9C-101B-9397-08002B2CF9AE}" pid="3" name="Creator">
    <vt:lpwstr>Microsoft® Excel® 2021</vt:lpwstr>
  </property>
  <property fmtid="{D5CDD505-2E9C-101B-9397-08002B2CF9AE}" pid="4" name="LastSaved">
    <vt:filetime>2026-05-04T00:00:00Z</vt:filetime>
  </property>
  <property fmtid="{D5CDD505-2E9C-101B-9397-08002B2CF9AE}" pid="5" name="Producer">
    <vt:lpwstr>Microsoft® Excel® 2021; modified using iText® 5.5.7 ©2000-2015 iText Group NV (AGPL-version)</vt:lpwstr>
  </property>
</Properties>
</file>